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8962B785C3974A41/ドキュメント/"/>
    </mc:Choice>
  </mc:AlternateContent>
  <xr:revisionPtr revIDLastSave="1545" documentId="8_{C2E6DA4C-1CE9-4921-9DC7-9AE152C6DC2F}" xr6:coauthVersionLast="47" xr6:coauthVersionMax="47" xr10:uidLastSave="{31035872-13C8-432D-801F-426870743506}"/>
  <bookViews>
    <workbookView minimized="1" xWindow="0" yWindow="768" windowWidth="17280" windowHeight="8880" activeTab="3" xr2:uid="{9435FB05-1377-4214-AB8A-65AE34D1BDD2}"/>
  </bookViews>
  <sheets>
    <sheet name="Sheet2" sheetId="3" r:id="rId1"/>
    <sheet name="netflix_daily_master" sheetId="1" r:id="rId2"/>
    <sheet name="kpis" sheetId="2" r:id="rId3"/>
    <sheet name="Dashboard" sheetId="4" r:id="rId4"/>
  </sheets>
  <definedNames>
    <definedName name="NativeTimeline_date">#N/A</definedName>
    <definedName name="Slicer_reviews_count">#N/A</definedName>
    <definedName name="Slicer_Sentiment_status">#N/A</definedName>
    <definedName name="Slicer_StockReturn_Category">#N/A</definedName>
    <definedName name="Slicer_Trading_status">#N/A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2" l="1"/>
  <c r="E17" i="2"/>
  <c r="E13" i="2"/>
  <c r="E9" i="2"/>
  <c r="A26" i="2"/>
  <c r="A21" i="2"/>
  <c r="A16" i="2"/>
  <c r="B12" i="2"/>
  <c r="B11" i="2"/>
  <c r="B10" i="2"/>
  <c r="B9" i="2"/>
  <c r="B8" i="2"/>
  <c r="B7" i="2"/>
  <c r="B6" i="2"/>
  <c r="B5" i="2"/>
  <c r="B4" i="2" a="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<sst xmlns="http://schemas.openxmlformats.org/spreadsheetml/2006/main" count="116" uniqueCount="91">
  <si>
    <t>date</t>
  </si>
  <si>
    <t>stock_close</t>
  </si>
  <si>
    <t>stock_volume</t>
  </si>
  <si>
    <t>stock_daily_return_pct</t>
  </si>
  <si>
    <t>reviews_count</t>
  </si>
  <si>
    <t>reviews_avg_rating</t>
  </si>
  <si>
    <t>reviews_sentiment_score</t>
  </si>
  <si>
    <t>titles_released_count</t>
  </si>
  <si>
    <t>titles_avg_imdb_score</t>
  </si>
  <si>
    <t>is_trading_day</t>
  </si>
  <si>
    <t>Column1</t>
  </si>
  <si>
    <t>Year</t>
  </si>
  <si>
    <t>Month</t>
  </si>
  <si>
    <t>Month-Year</t>
  </si>
  <si>
    <t>Trading_status</t>
  </si>
  <si>
    <t>StockReturn_Category</t>
  </si>
  <si>
    <t>Sentiment_status</t>
  </si>
  <si>
    <t>KPI CARDS</t>
  </si>
  <si>
    <t>Latest StockPrice</t>
  </si>
  <si>
    <t>Average stock price</t>
  </si>
  <si>
    <t>Average Daily Return</t>
  </si>
  <si>
    <t>Positive Return Days</t>
  </si>
  <si>
    <t>Total Reviews</t>
  </si>
  <si>
    <t>Average Review Rating</t>
  </si>
  <si>
    <t>Total Tiles Released</t>
  </si>
  <si>
    <t>Average IMDb Score</t>
  </si>
  <si>
    <t>Trading Days</t>
  </si>
  <si>
    <t>Column2</t>
  </si>
  <si>
    <t>Row Labels</t>
  </si>
  <si>
    <t>Grand Total</t>
  </si>
  <si>
    <t>Oct</t>
  </si>
  <si>
    <t>Nov</t>
  </si>
  <si>
    <t>Dec</t>
  </si>
  <si>
    <t>Jan</t>
  </si>
  <si>
    <t>Mar</t>
  </si>
  <si>
    <t>May</t>
  </si>
  <si>
    <t>Jul</t>
  </si>
  <si>
    <t>Sum of stock_close</t>
  </si>
  <si>
    <t>Sum of stock_daily_return_pct</t>
  </si>
  <si>
    <t>Apr 2020</t>
  </si>
  <si>
    <t>Apr 2025</t>
  </si>
  <si>
    <t>Apr 2026</t>
  </si>
  <si>
    <t>Aug 2020</t>
  </si>
  <si>
    <t>Aug 2021</t>
  </si>
  <si>
    <t>Aug 2024</t>
  </si>
  <si>
    <t>Dec 2020</t>
  </si>
  <si>
    <t>Feb 2019</t>
  </si>
  <si>
    <t>Feb 2020</t>
  </si>
  <si>
    <t>Jan 2019</t>
  </si>
  <si>
    <t>Jan 2023</t>
  </si>
  <si>
    <t>Jul 2020</t>
  </si>
  <si>
    <t>Jul 2022</t>
  </si>
  <si>
    <t>Jun 2020</t>
  </si>
  <si>
    <t>Jun 2024</t>
  </si>
  <si>
    <t>Jun 2025</t>
  </si>
  <si>
    <t>Mar 2020</t>
  </si>
  <si>
    <t>May 2022</t>
  </si>
  <si>
    <t>May 2023</t>
  </si>
  <si>
    <t>May 2024</t>
  </si>
  <si>
    <t>May 2025</t>
  </si>
  <si>
    <t>Nov 2019</t>
  </si>
  <si>
    <t>Nov 2023</t>
  </si>
  <si>
    <t>Nov 2024</t>
  </si>
  <si>
    <t>Oct 2019</t>
  </si>
  <si>
    <t>Oct 2021</t>
  </si>
  <si>
    <t>Oct 2022</t>
  </si>
  <si>
    <t>Sep 2022</t>
  </si>
  <si>
    <t>Sum of stock_volume</t>
  </si>
  <si>
    <t>Average of stock_close</t>
  </si>
  <si>
    <t>Average of stock_daily_return_pct</t>
  </si>
  <si>
    <t>Negative</t>
  </si>
  <si>
    <t>No Change</t>
  </si>
  <si>
    <t>Positive</t>
  </si>
  <si>
    <t>Count of date</t>
  </si>
  <si>
    <t>Sum of reviews_count</t>
  </si>
  <si>
    <t>Average of reviews_avg_rating</t>
  </si>
  <si>
    <t>Average of reviews_sentiment_score</t>
  </si>
  <si>
    <t>Neutral</t>
  </si>
  <si>
    <t>Average of titles_avg_imdb_score</t>
  </si>
  <si>
    <t>Count of reviews_count</t>
  </si>
  <si>
    <t>Non-Trading Day</t>
  </si>
  <si>
    <t>Trading Day</t>
  </si>
  <si>
    <t>Count of StockReturn_Category</t>
  </si>
  <si>
    <t>Average of stock_volume</t>
  </si>
  <si>
    <t>Sum of reviews_sentiment_score</t>
  </si>
  <si>
    <t>Count of reviews_avg_rating</t>
  </si>
  <si>
    <t>Sum of is_trading_day</t>
  </si>
  <si>
    <t>Max of stock_daily_return_pct</t>
  </si>
  <si>
    <t>Count of stock_volume</t>
  </si>
  <si>
    <t>Count of stock_daily_return_pct</t>
  </si>
  <si>
    <t>Sum of titles_released_count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</si>
</sst>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64" formatCode="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 fontId="0" fillId="0" borderId="0" xfId="0" applyNumberFormat="1"/>
    <xf numFmtId="9" fontId="0" fillId="0" borderId="0" xfId="2" applyFont="1"/>
    <xf numFmtId="41"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4" fontId="0" fillId="0" borderId="0" xfId="0" applyNumberFormat="1"/>
    <xf numFmtId="165" fontId="0" fillId="0" borderId="0" xfId="0" applyNumberFormat="1"/>
    <xf numFmtId="1"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0">
    <dxf>
      <fill>
        <patternFill patternType="darkHorizontal">
          <fgColor auto="1"/>
          <bgColor auto="1"/>
        </patternFill>
      </fill>
    </dxf>
    <dxf/>
    <dxf>
      <fill>
        <patternFill>
          <bgColor rgb="FFC0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3" defaultTableStyle="TableStyleMedium2" defaultPivotStyle="PivotStyleLight16">
    <tableStyle name="Slicer Style 1" pivot="0" table="0" count="1" xr9:uid="{47486DE5-0231-4340-A07E-57BB4C1FB7D6}">
      <tableStyleElement type="wholeTable" dxfId="2"/>
    </tableStyle>
    <tableStyle name="Slicer Style 2" pivot="0" table="0" count="1" xr9:uid="{96923F14-F63D-4A72-80B9-06DCFE6BD4B8}">
      <tableStyleElement type="wholeTable" dxfId="1"/>
    </tableStyle>
    <tableStyle name="Slicer Style 3" pivot="0" table="0" count="1" xr9:uid="{739185B1-A7DF-4D27-8ADA-5819B34A205E}">
      <tableStyleElement type="wholeTable" dxfId="0"/>
    </tableStyle>
  </tableStyles>
  <colors>
    <mruColors>
      <color rgb="FFFFFFFF"/>
      <color rgb="FF141414"/>
      <color rgb="FFE50914"/>
      <color rgb="FF100E0E"/>
      <color rgb="FF262222"/>
      <color rgb="FF3E3838"/>
      <color rgb="FF221F1F"/>
      <color rgb="FF00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Netflix Stock Price Trend</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Sheet2!$B$1</c:f>
              <c:strCache>
                <c:ptCount val="1"/>
                <c:pt idx="0">
                  <c:v>Sum of stock_close</c:v>
                </c:pt>
              </c:strCache>
            </c:strRef>
          </c:tx>
          <c:spPr>
            <a:solidFill>
              <a:schemeClr val="accent1"/>
            </a:solidFill>
            <a:ln>
              <a:solidFill>
                <a:srgbClr val="C00000"/>
              </a:solidFill>
            </a:ln>
            <a:effectLst/>
          </c:spPr>
          <c:invertIfNegative val="0"/>
          <c:cat>
            <c:multiLvlStrRef>
              <c:f>Sheet2!$A$2:$A$20</c:f>
              <c:multiLvlStrCache>
                <c:ptCount val="9"/>
                <c:lvl>
                  <c:pt idx="0">
                    <c:v>Oct</c:v>
                  </c:pt>
                  <c:pt idx="1">
                    <c:v>May</c:v>
                  </c:pt>
                  <c:pt idx="2">
                    <c:v>Dec</c:v>
                  </c:pt>
                  <c:pt idx="3">
                    <c:v>Nov</c:v>
                  </c:pt>
                  <c:pt idx="4">
                    <c:v>Jan</c:v>
                  </c:pt>
                  <c:pt idx="5">
                    <c:v>Dec</c:v>
                  </c:pt>
                  <c:pt idx="6">
                    <c:v>Dec</c:v>
                  </c:pt>
                  <c:pt idx="7">
                    <c:v>Jul</c:v>
                  </c:pt>
                  <c:pt idx="8">
                    <c:v>Mar</c:v>
                  </c:pt>
                </c:lvl>
                <c:lvl>
                  <c:pt idx="0">
                    <c:v>2018</c:v>
                  </c:pt>
                  <c:pt idx="1">
                    <c:v>2019</c:v>
                  </c:pt>
                  <c:pt idx="2">
                    <c:v>2020</c:v>
                  </c:pt>
                  <c:pt idx="3">
                    <c:v>2021</c:v>
                  </c:pt>
                  <c:pt idx="4">
                    <c:v>2022</c:v>
                  </c:pt>
                  <c:pt idx="5">
                    <c:v>2023</c:v>
                  </c:pt>
                  <c:pt idx="6">
                    <c:v>2024</c:v>
                  </c:pt>
                  <c:pt idx="7">
                    <c:v>2025</c:v>
                  </c:pt>
                  <c:pt idx="8">
                    <c:v>2026</c:v>
                  </c:pt>
                </c:lvl>
              </c:multiLvlStrCache>
            </c:multiLvlStrRef>
          </c:cat>
          <c:val>
            <c:numRef>
              <c:f>Sheet2!$B$2:$B$20</c:f>
              <c:numCache>
                <c:formatCode>0</c:formatCode>
                <c:ptCount val="9"/>
                <c:pt idx="0">
                  <c:v>1036.2</c:v>
                </c:pt>
                <c:pt idx="1">
                  <c:v>1117.21</c:v>
                </c:pt>
                <c:pt idx="2">
                  <c:v>1597.8300000000006</c:v>
                </c:pt>
                <c:pt idx="3">
                  <c:v>2002.1600000000003</c:v>
                </c:pt>
                <c:pt idx="4">
                  <c:v>1518.5200000000007</c:v>
                </c:pt>
                <c:pt idx="5">
                  <c:v>1469.8600000000004</c:v>
                </c:pt>
                <c:pt idx="6">
                  <c:v>2833.8400000000006</c:v>
                </c:pt>
                <c:pt idx="7">
                  <c:v>3829.0100000000007</c:v>
                </c:pt>
                <c:pt idx="8">
                  <c:v>2947.08</c:v>
                </c:pt>
              </c:numCache>
            </c:numRef>
          </c:val>
          <c:extLst>
            <c:ext xmlns:c16="http://schemas.microsoft.com/office/drawing/2014/chart" uri="{C3380CC4-5D6E-409C-BE32-E72D297353CC}">
              <c16:uniqueId val="{00000000-4B59-48B6-AA5E-2CCD6691EF26}"/>
            </c:ext>
          </c:extLst>
        </c:ser>
        <c:ser>
          <c:idx val="1"/>
          <c:order val="1"/>
          <c:tx>
            <c:strRef>
              <c:f>Sheet2!$C$1</c:f>
              <c:strCache>
                <c:ptCount val="1"/>
                <c:pt idx="0">
                  <c:v>Sum of stock_daily_return_pct</c:v>
                </c:pt>
              </c:strCache>
            </c:strRef>
          </c:tx>
          <c:spPr>
            <a:solidFill>
              <a:schemeClr val="accent2"/>
            </a:solidFill>
            <a:ln>
              <a:noFill/>
            </a:ln>
            <a:effectLst/>
          </c:spPr>
          <c:invertIfNegative val="0"/>
          <c:cat>
            <c:multiLvlStrRef>
              <c:f>Sheet2!$A$2:$A$20</c:f>
              <c:multiLvlStrCache>
                <c:ptCount val="9"/>
                <c:lvl>
                  <c:pt idx="0">
                    <c:v>Oct</c:v>
                  </c:pt>
                  <c:pt idx="1">
                    <c:v>May</c:v>
                  </c:pt>
                  <c:pt idx="2">
                    <c:v>Dec</c:v>
                  </c:pt>
                  <c:pt idx="3">
                    <c:v>Nov</c:v>
                  </c:pt>
                  <c:pt idx="4">
                    <c:v>Jan</c:v>
                  </c:pt>
                  <c:pt idx="5">
                    <c:v>Dec</c:v>
                  </c:pt>
                  <c:pt idx="6">
                    <c:v>Dec</c:v>
                  </c:pt>
                  <c:pt idx="7">
                    <c:v>Jul</c:v>
                  </c:pt>
                  <c:pt idx="8">
                    <c:v>Mar</c:v>
                  </c:pt>
                </c:lvl>
                <c:lvl>
                  <c:pt idx="0">
                    <c:v>2018</c:v>
                  </c:pt>
                  <c:pt idx="1">
                    <c:v>2019</c:v>
                  </c:pt>
                  <c:pt idx="2">
                    <c:v>2020</c:v>
                  </c:pt>
                  <c:pt idx="3">
                    <c:v>2021</c:v>
                  </c:pt>
                  <c:pt idx="4">
                    <c:v>2022</c:v>
                  </c:pt>
                  <c:pt idx="5">
                    <c:v>2023</c:v>
                  </c:pt>
                  <c:pt idx="6">
                    <c:v>2024</c:v>
                  </c:pt>
                  <c:pt idx="7">
                    <c:v>2025</c:v>
                  </c:pt>
                  <c:pt idx="8">
                    <c:v>2026</c:v>
                  </c:pt>
                </c:lvl>
              </c:multiLvlStrCache>
            </c:multiLvlStrRef>
          </c:cat>
          <c:val>
            <c:numRef>
              <c:f>Sheet2!$C$2:$C$20</c:f>
              <c:numCache>
                <c:formatCode>0</c:formatCode>
                <c:ptCount val="9"/>
                <c:pt idx="0">
                  <c:v>-28.933</c:v>
                </c:pt>
                <c:pt idx="1">
                  <c:v>-1.3120000000000005</c:v>
                </c:pt>
                <c:pt idx="2">
                  <c:v>11.218</c:v>
                </c:pt>
                <c:pt idx="3">
                  <c:v>-11.789000000000001</c:v>
                </c:pt>
                <c:pt idx="4">
                  <c:v>-15.510999999999996</c:v>
                </c:pt>
                <c:pt idx="5">
                  <c:v>-1.0780000000000003</c:v>
                </c:pt>
                <c:pt idx="6">
                  <c:v>1.770999999999999</c:v>
                </c:pt>
                <c:pt idx="7">
                  <c:v>-12.782</c:v>
                </c:pt>
                <c:pt idx="8">
                  <c:v>4.0629999999999979</c:v>
                </c:pt>
              </c:numCache>
            </c:numRef>
          </c:val>
          <c:extLst>
            <c:ext xmlns:c16="http://schemas.microsoft.com/office/drawing/2014/chart" uri="{C3380CC4-5D6E-409C-BE32-E72D297353CC}">
              <c16:uniqueId val="{00000002-4B59-48B6-AA5E-2CCD6691EF26}"/>
            </c:ext>
          </c:extLst>
        </c:ser>
        <c:dLbls>
          <c:showLegendKey val="0"/>
          <c:showVal val="0"/>
          <c:showCatName val="0"/>
          <c:showSerName val="0"/>
          <c:showPercent val="0"/>
          <c:showBubbleSize val="0"/>
        </c:dLbls>
        <c:gapWidth val="219"/>
        <c:overlap val="100"/>
        <c:axId val="293148528"/>
        <c:axId val="459540463"/>
      </c:barChart>
      <c:catAx>
        <c:axId val="293148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40463"/>
        <c:crosses val="autoZero"/>
        <c:auto val="1"/>
        <c:lblAlgn val="ctr"/>
        <c:lblOffset val="100"/>
        <c:noMultiLvlLbl val="0"/>
      </c:catAx>
      <c:valAx>
        <c:axId val="45954046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48528"/>
        <c:crosses val="autoZero"/>
        <c:crossBetween val="between"/>
        <c:dispUnits>
          <c:builtInUnit val="hundre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rgbClr val="C00000"/>
        </a:soli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Monthly</a:t>
            </a:r>
            <a:r>
              <a:rPr lang="en-IN" baseline="0">
                <a:solidFill>
                  <a:schemeClr val="bg1"/>
                </a:solidFill>
              </a:rPr>
              <a:t> Stock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Sheet2!$K$3</c:f>
              <c:strCache>
                <c:ptCount val="1"/>
                <c:pt idx="0">
                  <c:v>Average of stock_close</c:v>
                </c:pt>
              </c:strCache>
            </c:strRef>
          </c:tx>
          <c:spPr>
            <a:solidFill>
              <a:schemeClr val="accent1"/>
            </a:solidFill>
            <a:ln>
              <a:noFill/>
            </a:ln>
            <a:effectLst/>
          </c:spPr>
          <c:invertIfNegative val="0"/>
          <c:cat>
            <c:strRef>
              <c:f>Sheet2!$J$4:$J$32</c:f>
              <c:strCache>
                <c:ptCount val="28"/>
                <c:pt idx="0">
                  <c:v>Apr 2020</c:v>
                </c:pt>
                <c:pt idx="1">
                  <c:v>Apr 2025</c:v>
                </c:pt>
                <c:pt idx="2">
                  <c:v>Apr 2026</c:v>
                </c:pt>
                <c:pt idx="3">
                  <c:v>Aug 2020</c:v>
                </c:pt>
                <c:pt idx="4">
                  <c:v>Aug 2021</c:v>
                </c:pt>
                <c:pt idx="5">
                  <c:v>Aug 2024</c:v>
                </c:pt>
                <c:pt idx="6">
                  <c:v>Dec 2020</c:v>
                </c:pt>
                <c:pt idx="7">
                  <c:v>Feb 2019</c:v>
                </c:pt>
                <c:pt idx="8">
                  <c:v>Feb 2020</c:v>
                </c:pt>
                <c:pt idx="9">
                  <c:v>Jan 2019</c:v>
                </c:pt>
                <c:pt idx="10">
                  <c:v>Jan 2023</c:v>
                </c:pt>
                <c:pt idx="11">
                  <c:v>Jul 2020</c:v>
                </c:pt>
                <c:pt idx="12">
                  <c:v>Jul 2022</c:v>
                </c:pt>
                <c:pt idx="13">
                  <c:v>Jun 2020</c:v>
                </c:pt>
                <c:pt idx="14">
                  <c:v>Jun 2024</c:v>
                </c:pt>
                <c:pt idx="15">
                  <c:v>Jun 2025</c:v>
                </c:pt>
                <c:pt idx="16">
                  <c:v>Mar 2020</c:v>
                </c:pt>
                <c:pt idx="17">
                  <c:v>May 2022</c:v>
                </c:pt>
                <c:pt idx="18">
                  <c:v>May 2023</c:v>
                </c:pt>
                <c:pt idx="19">
                  <c:v>May 2024</c:v>
                </c:pt>
                <c:pt idx="20">
                  <c:v>May 2025</c:v>
                </c:pt>
                <c:pt idx="21">
                  <c:v>Nov 2019</c:v>
                </c:pt>
                <c:pt idx="22">
                  <c:v>Nov 2023</c:v>
                </c:pt>
                <c:pt idx="23">
                  <c:v>Nov 2024</c:v>
                </c:pt>
                <c:pt idx="24">
                  <c:v>Oct 2019</c:v>
                </c:pt>
                <c:pt idx="25">
                  <c:v>Oct 2021</c:v>
                </c:pt>
                <c:pt idx="26">
                  <c:v>Oct 2022</c:v>
                </c:pt>
                <c:pt idx="27">
                  <c:v>Sep 2022</c:v>
                </c:pt>
              </c:strCache>
            </c:strRef>
          </c:cat>
          <c:val>
            <c:numRef>
              <c:f>Sheet2!$K$4:$K$32</c:f>
              <c:numCache>
                <c:formatCode>0.0</c:formatCode>
                <c:ptCount val="28"/>
                <c:pt idx="0">
                  <c:v>40.074333333333335</c:v>
                </c:pt>
                <c:pt idx="1">
                  <c:v>97.722000000000008</c:v>
                </c:pt>
                <c:pt idx="2">
                  <c:v>100.11076923076922</c:v>
                </c:pt>
                <c:pt idx="3">
                  <c:v>49.756774193548402</c:v>
                </c:pt>
                <c:pt idx="4">
                  <c:v>53.270322580645171</c:v>
                </c:pt>
                <c:pt idx="5">
                  <c:v>65.941935483870978</c:v>
                </c:pt>
                <c:pt idx="6">
                  <c:v>51.542903225806469</c:v>
                </c:pt>
                <c:pt idx="7">
                  <c:v>35.458571428571432</c:v>
                </c:pt>
                <c:pt idx="8">
                  <c:v>37.241379310344826</c:v>
                </c:pt>
                <c:pt idx="9">
                  <c:v>32.496774193548383</c:v>
                </c:pt>
                <c:pt idx="10">
                  <c:v>33.29451612903226</c:v>
                </c:pt>
                <c:pt idx="11">
                  <c:v>49.875483870967727</c:v>
                </c:pt>
                <c:pt idx="12">
                  <c:v>19.885483870967743</c:v>
                </c:pt>
                <c:pt idx="13">
                  <c:v>43.756666666666653</c:v>
                </c:pt>
                <c:pt idx="14">
                  <c:v>66.297333333333327</c:v>
                </c:pt>
                <c:pt idx="15">
                  <c:v>124.55333333333331</c:v>
                </c:pt>
                <c:pt idx="16">
                  <c:v>35.071935483870959</c:v>
                </c:pt>
                <c:pt idx="17">
                  <c:v>18.714516129032255</c:v>
                </c:pt>
                <c:pt idx="18">
                  <c:v>34.95870967741935</c:v>
                </c:pt>
                <c:pt idx="19">
                  <c:v>61.862258064516134</c:v>
                </c:pt>
                <c:pt idx="20">
                  <c:v>117.01419354838706</c:v>
                </c:pt>
                <c:pt idx="21">
                  <c:v>29.936999999999998</c:v>
                </c:pt>
                <c:pt idx="22">
                  <c:v>45.660666666666692</c:v>
                </c:pt>
                <c:pt idx="23">
                  <c:v>83.245666666666665</c:v>
                </c:pt>
                <c:pt idx="24">
                  <c:v>27.746129032258057</c:v>
                </c:pt>
                <c:pt idx="25">
                  <c:v>64.337419354838715</c:v>
                </c:pt>
                <c:pt idx="26">
                  <c:v>25.589354838709685</c:v>
                </c:pt>
                <c:pt idx="27">
                  <c:v>23.175666666666665</c:v>
                </c:pt>
              </c:numCache>
            </c:numRef>
          </c:val>
          <c:extLst>
            <c:ext xmlns:c16="http://schemas.microsoft.com/office/drawing/2014/chart" uri="{C3380CC4-5D6E-409C-BE32-E72D297353CC}">
              <c16:uniqueId val="{00000000-DE82-433A-9152-779C5155FD96}"/>
            </c:ext>
          </c:extLst>
        </c:ser>
        <c:ser>
          <c:idx val="1"/>
          <c:order val="1"/>
          <c:tx>
            <c:strRef>
              <c:f>Sheet2!$L$3</c:f>
              <c:strCache>
                <c:ptCount val="1"/>
                <c:pt idx="0">
                  <c:v>Sum of stock_volume</c:v>
                </c:pt>
              </c:strCache>
            </c:strRef>
          </c:tx>
          <c:spPr>
            <a:solidFill>
              <a:srgbClr val="C00000"/>
            </a:solidFill>
            <a:ln>
              <a:noFill/>
            </a:ln>
            <a:effectLst/>
          </c:spPr>
          <c:invertIfNegative val="0"/>
          <c:cat>
            <c:strRef>
              <c:f>Sheet2!$J$4:$J$32</c:f>
              <c:strCache>
                <c:ptCount val="28"/>
                <c:pt idx="0">
                  <c:v>Apr 2020</c:v>
                </c:pt>
                <c:pt idx="1">
                  <c:v>Apr 2025</c:v>
                </c:pt>
                <c:pt idx="2">
                  <c:v>Apr 2026</c:v>
                </c:pt>
                <c:pt idx="3">
                  <c:v>Aug 2020</c:v>
                </c:pt>
                <c:pt idx="4">
                  <c:v>Aug 2021</c:v>
                </c:pt>
                <c:pt idx="5">
                  <c:v>Aug 2024</c:v>
                </c:pt>
                <c:pt idx="6">
                  <c:v>Dec 2020</c:v>
                </c:pt>
                <c:pt idx="7">
                  <c:v>Feb 2019</c:v>
                </c:pt>
                <c:pt idx="8">
                  <c:v>Feb 2020</c:v>
                </c:pt>
                <c:pt idx="9">
                  <c:v>Jan 2019</c:v>
                </c:pt>
                <c:pt idx="10">
                  <c:v>Jan 2023</c:v>
                </c:pt>
                <c:pt idx="11">
                  <c:v>Jul 2020</c:v>
                </c:pt>
                <c:pt idx="12">
                  <c:v>Jul 2022</c:v>
                </c:pt>
                <c:pt idx="13">
                  <c:v>Jun 2020</c:v>
                </c:pt>
                <c:pt idx="14">
                  <c:v>Jun 2024</c:v>
                </c:pt>
                <c:pt idx="15">
                  <c:v>Jun 2025</c:v>
                </c:pt>
                <c:pt idx="16">
                  <c:v>Mar 2020</c:v>
                </c:pt>
                <c:pt idx="17">
                  <c:v>May 2022</c:v>
                </c:pt>
                <c:pt idx="18">
                  <c:v>May 2023</c:v>
                </c:pt>
                <c:pt idx="19">
                  <c:v>May 2024</c:v>
                </c:pt>
                <c:pt idx="20">
                  <c:v>May 2025</c:v>
                </c:pt>
                <c:pt idx="21">
                  <c:v>Nov 2019</c:v>
                </c:pt>
                <c:pt idx="22">
                  <c:v>Nov 2023</c:v>
                </c:pt>
                <c:pt idx="23">
                  <c:v>Nov 2024</c:v>
                </c:pt>
                <c:pt idx="24">
                  <c:v>Oct 2019</c:v>
                </c:pt>
                <c:pt idx="25">
                  <c:v>Oct 2021</c:v>
                </c:pt>
                <c:pt idx="26">
                  <c:v>Oct 2022</c:v>
                </c:pt>
                <c:pt idx="27">
                  <c:v>Sep 2022</c:v>
                </c:pt>
              </c:strCache>
            </c:strRef>
          </c:cat>
          <c:val>
            <c:numRef>
              <c:f>Sheet2!$L$4:$L$32</c:f>
              <c:numCache>
                <c:formatCode>0.0,,</c:formatCode>
                <c:ptCount val="28"/>
                <c:pt idx="0">
                  <c:v>2251116000</c:v>
                </c:pt>
                <c:pt idx="1">
                  <c:v>1229551000</c:v>
                </c:pt>
                <c:pt idx="2">
                  <c:v>230791340</c:v>
                </c:pt>
                <c:pt idx="3">
                  <c:v>1162619000</c:v>
                </c:pt>
                <c:pt idx="4">
                  <c:v>547477000</c:v>
                </c:pt>
                <c:pt idx="5">
                  <c:v>673177000</c:v>
                </c:pt>
                <c:pt idx="6">
                  <c:v>775641000</c:v>
                </c:pt>
                <c:pt idx="7">
                  <c:v>1481921000</c:v>
                </c:pt>
                <c:pt idx="8">
                  <c:v>1140560000</c:v>
                </c:pt>
                <c:pt idx="9">
                  <c:v>3066164000</c:v>
                </c:pt>
                <c:pt idx="10">
                  <c:v>2064174000</c:v>
                </c:pt>
                <c:pt idx="11">
                  <c:v>2322063000</c:v>
                </c:pt>
                <c:pt idx="12">
                  <c:v>2700837000</c:v>
                </c:pt>
                <c:pt idx="13">
                  <c:v>1172799000</c:v>
                </c:pt>
                <c:pt idx="14">
                  <c:v>542109000</c:v>
                </c:pt>
                <c:pt idx="15">
                  <c:v>549972000</c:v>
                </c:pt>
                <c:pt idx="16">
                  <c:v>2019791000</c:v>
                </c:pt>
                <c:pt idx="17">
                  <c:v>2516158000</c:v>
                </c:pt>
                <c:pt idx="18">
                  <c:v>1454850000</c:v>
                </c:pt>
                <c:pt idx="19">
                  <c:v>689993000</c:v>
                </c:pt>
                <c:pt idx="20">
                  <c:v>752076000</c:v>
                </c:pt>
                <c:pt idx="21">
                  <c:v>1136459000</c:v>
                </c:pt>
                <c:pt idx="22">
                  <c:v>717437000</c:v>
                </c:pt>
                <c:pt idx="23">
                  <c:v>641615000</c:v>
                </c:pt>
                <c:pt idx="24">
                  <c:v>2315564000</c:v>
                </c:pt>
                <c:pt idx="25">
                  <c:v>985763000</c:v>
                </c:pt>
                <c:pt idx="26">
                  <c:v>3352638000</c:v>
                </c:pt>
                <c:pt idx="27">
                  <c:v>2339207000</c:v>
                </c:pt>
              </c:numCache>
            </c:numRef>
          </c:val>
          <c:extLst>
            <c:ext xmlns:c16="http://schemas.microsoft.com/office/drawing/2014/chart" uri="{C3380CC4-5D6E-409C-BE32-E72D297353CC}">
              <c16:uniqueId val="{00000002-DE82-433A-9152-779C5155FD96}"/>
            </c:ext>
          </c:extLst>
        </c:ser>
        <c:ser>
          <c:idx val="2"/>
          <c:order val="2"/>
          <c:tx>
            <c:strRef>
              <c:f>Sheet2!$M$3</c:f>
              <c:strCache>
                <c:ptCount val="1"/>
                <c:pt idx="0">
                  <c:v>Average of stock_daily_return_pct</c:v>
                </c:pt>
              </c:strCache>
            </c:strRef>
          </c:tx>
          <c:spPr>
            <a:solidFill>
              <a:schemeClr val="accent3"/>
            </a:solidFill>
            <a:ln>
              <a:noFill/>
            </a:ln>
            <a:effectLst/>
          </c:spPr>
          <c:invertIfNegative val="0"/>
          <c:cat>
            <c:strRef>
              <c:f>Sheet2!$J$4:$J$32</c:f>
              <c:strCache>
                <c:ptCount val="28"/>
                <c:pt idx="0">
                  <c:v>Apr 2020</c:v>
                </c:pt>
                <c:pt idx="1">
                  <c:v>Apr 2025</c:v>
                </c:pt>
                <c:pt idx="2">
                  <c:v>Apr 2026</c:v>
                </c:pt>
                <c:pt idx="3">
                  <c:v>Aug 2020</c:v>
                </c:pt>
                <c:pt idx="4">
                  <c:v>Aug 2021</c:v>
                </c:pt>
                <c:pt idx="5">
                  <c:v>Aug 2024</c:v>
                </c:pt>
                <c:pt idx="6">
                  <c:v>Dec 2020</c:v>
                </c:pt>
                <c:pt idx="7">
                  <c:v>Feb 2019</c:v>
                </c:pt>
                <c:pt idx="8">
                  <c:v>Feb 2020</c:v>
                </c:pt>
                <c:pt idx="9">
                  <c:v>Jan 2019</c:v>
                </c:pt>
                <c:pt idx="10">
                  <c:v>Jan 2023</c:v>
                </c:pt>
                <c:pt idx="11">
                  <c:v>Jul 2020</c:v>
                </c:pt>
                <c:pt idx="12">
                  <c:v>Jul 2022</c:v>
                </c:pt>
                <c:pt idx="13">
                  <c:v>Jun 2020</c:v>
                </c:pt>
                <c:pt idx="14">
                  <c:v>Jun 2024</c:v>
                </c:pt>
                <c:pt idx="15">
                  <c:v>Jun 2025</c:v>
                </c:pt>
                <c:pt idx="16">
                  <c:v>Mar 2020</c:v>
                </c:pt>
                <c:pt idx="17">
                  <c:v>May 2022</c:v>
                </c:pt>
                <c:pt idx="18">
                  <c:v>May 2023</c:v>
                </c:pt>
                <c:pt idx="19">
                  <c:v>May 2024</c:v>
                </c:pt>
                <c:pt idx="20">
                  <c:v>May 2025</c:v>
                </c:pt>
                <c:pt idx="21">
                  <c:v>Nov 2019</c:v>
                </c:pt>
                <c:pt idx="22">
                  <c:v>Nov 2023</c:v>
                </c:pt>
                <c:pt idx="23">
                  <c:v>Nov 2024</c:v>
                </c:pt>
                <c:pt idx="24">
                  <c:v>Oct 2019</c:v>
                </c:pt>
                <c:pt idx="25">
                  <c:v>Oct 2021</c:v>
                </c:pt>
                <c:pt idx="26">
                  <c:v>Oct 2022</c:v>
                </c:pt>
                <c:pt idx="27">
                  <c:v>Sep 2022</c:v>
                </c:pt>
              </c:strCache>
            </c:strRef>
          </c:cat>
          <c:val>
            <c:numRef>
              <c:f>Sheet2!$M$4:$M$32</c:f>
              <c:numCache>
                <c:formatCode>0.00</c:formatCode>
                <c:ptCount val="28"/>
                <c:pt idx="0">
                  <c:v>0.31743333333333335</c:v>
                </c:pt>
                <c:pt idx="1">
                  <c:v>0.77486666666666659</c:v>
                </c:pt>
                <c:pt idx="2">
                  <c:v>0.22269230769230769</c:v>
                </c:pt>
                <c:pt idx="3">
                  <c:v>0.24377419354838709</c:v>
                </c:pt>
                <c:pt idx="4">
                  <c:v>0.32474193548387092</c:v>
                </c:pt>
                <c:pt idx="5">
                  <c:v>0.31780645161290316</c:v>
                </c:pt>
                <c:pt idx="6">
                  <c:v>0.3618709677419355</c:v>
                </c:pt>
                <c:pt idx="7">
                  <c:v>0.1968928571428572</c:v>
                </c:pt>
                <c:pt idx="8">
                  <c:v>0.34282758620689657</c:v>
                </c:pt>
                <c:pt idx="9">
                  <c:v>0.57196774193548394</c:v>
                </c:pt>
                <c:pt idx="10">
                  <c:v>0.46151612903225814</c:v>
                </c:pt>
                <c:pt idx="11">
                  <c:v>0.2490322580645162</c:v>
                </c:pt>
                <c:pt idx="12">
                  <c:v>0.96725806451612906</c:v>
                </c:pt>
                <c:pt idx="13">
                  <c:v>0.23280000000000001</c:v>
                </c:pt>
                <c:pt idx="14">
                  <c:v>0.19293333333333335</c:v>
                </c:pt>
                <c:pt idx="15">
                  <c:v>0.21506666666666668</c:v>
                </c:pt>
                <c:pt idx="16">
                  <c:v>0.2395483870967742</c:v>
                </c:pt>
                <c:pt idx="17">
                  <c:v>0.24825806451612906</c:v>
                </c:pt>
                <c:pt idx="18">
                  <c:v>0.42193548387096774</c:v>
                </c:pt>
                <c:pt idx="19">
                  <c:v>0.41580645161290325</c:v>
                </c:pt>
                <c:pt idx="20">
                  <c:v>0.39535483870967753</c:v>
                </c:pt>
                <c:pt idx="21">
                  <c:v>0.32876666666666665</c:v>
                </c:pt>
                <c:pt idx="22">
                  <c:v>0.31513333333333332</c:v>
                </c:pt>
                <c:pt idx="23">
                  <c:v>0.49619999999999997</c:v>
                </c:pt>
                <c:pt idx="24">
                  <c:v>0.24548387096774196</c:v>
                </c:pt>
                <c:pt idx="25">
                  <c:v>0.32151612903225807</c:v>
                </c:pt>
                <c:pt idx="26">
                  <c:v>0.31419354838709684</c:v>
                </c:pt>
                <c:pt idx="27">
                  <c:v>0.31286666666666663</c:v>
                </c:pt>
              </c:numCache>
            </c:numRef>
          </c:val>
          <c:extLst>
            <c:ext xmlns:c16="http://schemas.microsoft.com/office/drawing/2014/chart" uri="{C3380CC4-5D6E-409C-BE32-E72D297353CC}">
              <c16:uniqueId val="{00000003-DE82-433A-9152-779C5155FD96}"/>
            </c:ext>
          </c:extLst>
        </c:ser>
        <c:dLbls>
          <c:showLegendKey val="0"/>
          <c:showVal val="0"/>
          <c:showCatName val="0"/>
          <c:showSerName val="0"/>
          <c:showPercent val="0"/>
          <c:showBubbleSize val="0"/>
        </c:dLbls>
        <c:gapWidth val="219"/>
        <c:overlap val="-27"/>
        <c:axId val="461165856"/>
        <c:axId val="459667663"/>
      </c:barChart>
      <c:catAx>
        <c:axId val="461165856"/>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67663"/>
        <c:crosses val="autoZero"/>
        <c:auto val="1"/>
        <c:lblAlgn val="ctr"/>
        <c:lblOffset val="100"/>
        <c:noMultiLvlLbl val="0"/>
      </c:catAx>
      <c:valAx>
        <c:axId val="4596676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165856"/>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[netflix_daily_master (1).xlsx]Sheet2!PivotTable3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Daily Return Distribution </a:t>
            </a:r>
          </a:p>
        </c:rich>
      </c:tx>
      <c:overlay val="0"/>
      <c:spPr>
        <a:solidFill>
          <a:schemeClr val="bg1"/>
        </a:solidFill>
        <a:ln>
          <a:solidFill>
            <a:schemeClr val="bg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E50914">
              <a:alpha val="87059"/>
            </a:srgbClr>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2"/>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3"/>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ser>
          <c:idx val="0"/>
          <c:order val="0"/>
          <c:tx>
            <c:strRef>
              <c:f>Sheet2!$P$3</c:f>
              <c:strCache>
                <c:ptCount val="1"/>
                <c:pt idx="0">
                  <c:v>Total</c:v>
                </c:pt>
              </c:strCache>
            </c:strRef>
          </c:tx>
          <c:spPr>
            <a:solidFill>
              <a:srgbClr val="E50914">
                <a:alpha val="87059"/>
              </a:srgbClr>
            </a:solidFill>
            <a:ln>
              <a:solidFill>
                <a:schemeClr val="bg1"/>
              </a:solidFill>
            </a:ln>
          </c:spPr>
          <c:dPt>
            <c:idx val="0"/>
            <c:bubble3D val="0"/>
            <c:spPr>
              <a:solidFill>
                <a:srgbClr val="E50914">
                  <a:alpha val="87059"/>
                </a:srgb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50-4FA8-9F91-91BF93345CE3}"/>
              </c:ext>
            </c:extLst>
          </c:dPt>
          <c:dPt>
            <c:idx val="1"/>
            <c:bubble3D val="0"/>
            <c:spPr>
              <a:solidFill>
                <a:srgbClr val="E50914">
                  <a:alpha val="87059"/>
                </a:srgb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50-4FA8-9F91-91BF93345CE3}"/>
              </c:ext>
            </c:extLst>
          </c:dPt>
          <c:dPt>
            <c:idx val="2"/>
            <c:bubble3D val="0"/>
            <c:spPr>
              <a:solidFill>
                <a:srgbClr val="E50914">
                  <a:alpha val="87059"/>
                </a:srgb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50-4FA8-9F91-91BF93345C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Sheet2!$O$4:$O$7</c:f>
              <c:strCache>
                <c:ptCount val="3"/>
                <c:pt idx="0">
                  <c:v>Negative</c:v>
                </c:pt>
                <c:pt idx="1">
                  <c:v>No Change</c:v>
                </c:pt>
                <c:pt idx="2">
                  <c:v>Positive</c:v>
                </c:pt>
              </c:strCache>
            </c:strRef>
          </c:cat>
          <c:val>
            <c:numRef>
              <c:f>Sheet2!$P$4:$P$7</c:f>
              <c:numCache>
                <c:formatCode>General</c:formatCode>
                <c:ptCount val="3"/>
                <c:pt idx="0">
                  <c:v>944</c:v>
                </c:pt>
                <c:pt idx="1">
                  <c:v>868</c:v>
                </c:pt>
                <c:pt idx="2">
                  <c:v>968</c:v>
                </c:pt>
              </c:numCache>
            </c:numRef>
          </c:val>
          <c:extLst>
            <c:ext xmlns:c16="http://schemas.microsoft.com/office/drawing/2014/chart" uri="{C3380CC4-5D6E-409C-BE32-E72D297353CC}">
              <c16:uniqueId val="{00000000-5B62-4D3E-850D-1849E510096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(1).xlsx]Sheet2!PivotTable4</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b="1">
                <a:solidFill>
                  <a:schemeClr val="bg1"/>
                </a:solidFill>
              </a:rPr>
              <a:t>Review Activity &amp; Customer Sentiment Trend</a:t>
            </a:r>
          </a:p>
        </c:rich>
      </c:tx>
      <c:overlay val="0"/>
      <c:spPr>
        <a:solidFill>
          <a:schemeClr val="tx1"/>
        </a:solidFill>
        <a:ln>
          <a:solidFill>
            <a:schemeClr val="bg1"/>
          </a:solid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s>
    <c:plotArea>
      <c:layout/>
      <c:barChart>
        <c:barDir val="col"/>
        <c:grouping val="clustered"/>
        <c:varyColors val="0"/>
        <c:ser>
          <c:idx val="0"/>
          <c:order val="0"/>
          <c:tx>
            <c:strRef>
              <c:f>Sheet2!$S$3</c:f>
              <c:strCache>
                <c:ptCount val="1"/>
                <c:pt idx="0">
                  <c:v>Sum of reviews_count</c:v>
                </c:pt>
              </c:strCache>
            </c:strRef>
          </c:tx>
          <c:spPr>
            <a:solidFill>
              <a:srgbClr val="C00000"/>
            </a:solidFill>
            <a:ln>
              <a:noFill/>
            </a:ln>
            <a:effectLst/>
          </c:spPr>
          <c:invertIfNegative val="0"/>
          <c:cat>
            <c:strRef>
              <c:f>Sheet2!$R$4:$R$13</c:f>
              <c:strCache>
                <c:ptCount val="9"/>
                <c:pt idx="0">
                  <c:v>2018</c:v>
                </c:pt>
                <c:pt idx="1">
                  <c:v>2019</c:v>
                </c:pt>
                <c:pt idx="2">
                  <c:v>2020</c:v>
                </c:pt>
                <c:pt idx="3">
                  <c:v>2021</c:v>
                </c:pt>
                <c:pt idx="4">
                  <c:v>2022</c:v>
                </c:pt>
                <c:pt idx="5">
                  <c:v>2023</c:v>
                </c:pt>
                <c:pt idx="6">
                  <c:v>2024</c:v>
                </c:pt>
                <c:pt idx="7">
                  <c:v>2025</c:v>
                </c:pt>
                <c:pt idx="8">
                  <c:v>2026</c:v>
                </c:pt>
              </c:strCache>
            </c:strRef>
          </c:cat>
          <c:val>
            <c:numRef>
              <c:f>Sheet2!$S$4:$S$13</c:f>
              <c:numCache>
                <c:formatCode>General</c:formatCode>
                <c:ptCount val="9"/>
                <c:pt idx="0">
                  <c:v>4802</c:v>
                </c:pt>
                <c:pt idx="1">
                  <c:v>16879</c:v>
                </c:pt>
                <c:pt idx="2">
                  <c:v>28569</c:v>
                </c:pt>
                <c:pt idx="3">
                  <c:v>17737</c:v>
                </c:pt>
                <c:pt idx="4">
                  <c:v>15125</c:v>
                </c:pt>
                <c:pt idx="5">
                  <c:v>12853</c:v>
                </c:pt>
                <c:pt idx="6">
                  <c:v>27554</c:v>
                </c:pt>
                <c:pt idx="7">
                  <c:v>21123</c:v>
                </c:pt>
                <c:pt idx="8">
                  <c:v>6951</c:v>
                </c:pt>
              </c:numCache>
            </c:numRef>
          </c:val>
          <c:extLst>
            <c:ext xmlns:c16="http://schemas.microsoft.com/office/drawing/2014/chart" uri="{C3380CC4-5D6E-409C-BE32-E72D297353CC}">
              <c16:uniqueId val="{00000000-D33A-41BC-8A46-84B0CE3132E8}"/>
            </c:ext>
          </c:extLst>
        </c:ser>
        <c:ser>
          <c:idx val="1"/>
          <c:order val="1"/>
          <c:tx>
            <c:strRef>
              <c:f>Sheet2!$T$3</c:f>
              <c:strCache>
                <c:ptCount val="1"/>
                <c:pt idx="0">
                  <c:v>Average of reviews_avg_rating</c:v>
                </c:pt>
              </c:strCache>
            </c:strRef>
          </c:tx>
          <c:spPr>
            <a:solidFill>
              <a:schemeClr val="accent2">
                <a:alpha val="70000"/>
              </a:schemeClr>
            </a:solidFill>
            <a:ln>
              <a:noFill/>
            </a:ln>
            <a:effectLst/>
          </c:spPr>
          <c:invertIfNegative val="0"/>
          <c:cat>
            <c:strRef>
              <c:f>Sheet2!$R$4:$R$13</c:f>
              <c:strCache>
                <c:ptCount val="9"/>
                <c:pt idx="0">
                  <c:v>2018</c:v>
                </c:pt>
                <c:pt idx="1">
                  <c:v>2019</c:v>
                </c:pt>
                <c:pt idx="2">
                  <c:v>2020</c:v>
                </c:pt>
                <c:pt idx="3">
                  <c:v>2021</c:v>
                </c:pt>
                <c:pt idx="4">
                  <c:v>2022</c:v>
                </c:pt>
                <c:pt idx="5">
                  <c:v>2023</c:v>
                </c:pt>
                <c:pt idx="6">
                  <c:v>2024</c:v>
                </c:pt>
                <c:pt idx="7">
                  <c:v>2025</c:v>
                </c:pt>
                <c:pt idx="8">
                  <c:v>2026</c:v>
                </c:pt>
              </c:strCache>
            </c:strRef>
          </c:cat>
          <c:val>
            <c:numRef>
              <c:f>Sheet2!$T$4:$T$13</c:f>
              <c:numCache>
                <c:formatCode>General</c:formatCode>
                <c:ptCount val="9"/>
                <c:pt idx="0">
                  <c:v>3.2649549549549541</c:v>
                </c:pt>
                <c:pt idx="1">
                  <c:v>3.0991232876712318</c:v>
                </c:pt>
                <c:pt idx="2">
                  <c:v>3.1349180327868873</c:v>
                </c:pt>
                <c:pt idx="3">
                  <c:v>2.7819726027397245</c:v>
                </c:pt>
                <c:pt idx="4">
                  <c:v>2.7008493150684925</c:v>
                </c:pt>
                <c:pt idx="5">
                  <c:v>2.2382739726027387</c:v>
                </c:pt>
                <c:pt idx="6">
                  <c:v>2.6782666666666661</c:v>
                </c:pt>
                <c:pt idx="7">
                  <c:v>3.0745569620253166</c:v>
                </c:pt>
                <c:pt idx="8">
                  <c:v>3.1953153153153155</c:v>
                </c:pt>
              </c:numCache>
            </c:numRef>
          </c:val>
          <c:extLst>
            <c:ext xmlns:c16="http://schemas.microsoft.com/office/drawing/2014/chart" uri="{C3380CC4-5D6E-409C-BE32-E72D297353CC}">
              <c16:uniqueId val="{00000002-D33A-41BC-8A46-84B0CE3132E8}"/>
            </c:ext>
          </c:extLst>
        </c:ser>
        <c:ser>
          <c:idx val="2"/>
          <c:order val="2"/>
          <c:tx>
            <c:strRef>
              <c:f>Sheet2!$U$3</c:f>
              <c:strCache>
                <c:ptCount val="1"/>
                <c:pt idx="0">
                  <c:v>Average of reviews_sentiment_score</c:v>
                </c:pt>
              </c:strCache>
            </c:strRef>
          </c:tx>
          <c:spPr>
            <a:solidFill>
              <a:schemeClr val="accent3">
                <a:alpha val="70000"/>
              </a:schemeClr>
            </a:solidFill>
            <a:ln>
              <a:noFill/>
            </a:ln>
            <a:effectLst/>
          </c:spPr>
          <c:invertIfNegative val="0"/>
          <c:cat>
            <c:strRef>
              <c:f>Sheet2!$R$4:$R$13</c:f>
              <c:strCache>
                <c:ptCount val="9"/>
                <c:pt idx="0">
                  <c:v>2018</c:v>
                </c:pt>
                <c:pt idx="1">
                  <c:v>2019</c:v>
                </c:pt>
                <c:pt idx="2">
                  <c:v>2020</c:v>
                </c:pt>
                <c:pt idx="3">
                  <c:v>2021</c:v>
                </c:pt>
                <c:pt idx="4">
                  <c:v>2022</c:v>
                </c:pt>
                <c:pt idx="5">
                  <c:v>2023</c:v>
                </c:pt>
                <c:pt idx="6">
                  <c:v>2024</c:v>
                </c:pt>
                <c:pt idx="7">
                  <c:v>2025</c:v>
                </c:pt>
                <c:pt idx="8">
                  <c:v>2026</c:v>
                </c:pt>
              </c:strCache>
            </c:strRef>
          </c:cat>
          <c:val>
            <c:numRef>
              <c:f>Sheet2!$U$4:$U$13</c:f>
              <c:numCache>
                <c:formatCode>General</c:formatCode>
                <c:ptCount val="9"/>
                <c:pt idx="0">
                  <c:v>0.27565495495495485</c:v>
                </c:pt>
                <c:pt idx="1">
                  <c:v>0.27451095890410965</c:v>
                </c:pt>
                <c:pt idx="2">
                  <c:v>0.27188497267759587</c:v>
                </c:pt>
                <c:pt idx="3">
                  <c:v>0.19635342465753428</c:v>
                </c:pt>
                <c:pt idx="4">
                  <c:v>0.17230082191780821</c:v>
                </c:pt>
                <c:pt idx="5">
                  <c:v>8.2340547945205497E-2</c:v>
                </c:pt>
                <c:pt idx="6">
                  <c:v>9.6703666666666674E-2</c:v>
                </c:pt>
                <c:pt idx="7">
                  <c:v>0.14958354430379739</c:v>
                </c:pt>
                <c:pt idx="8">
                  <c:v>0.19098288288288295</c:v>
                </c:pt>
              </c:numCache>
            </c:numRef>
          </c:val>
          <c:extLst>
            <c:ext xmlns:c16="http://schemas.microsoft.com/office/drawing/2014/chart" uri="{C3380CC4-5D6E-409C-BE32-E72D297353CC}">
              <c16:uniqueId val="{00000003-D33A-41BC-8A46-84B0CE3132E8}"/>
            </c:ext>
          </c:extLst>
        </c:ser>
        <c:dLbls>
          <c:showLegendKey val="0"/>
          <c:showVal val="0"/>
          <c:showCatName val="0"/>
          <c:showSerName val="0"/>
          <c:showPercent val="0"/>
          <c:showBubbleSize val="0"/>
        </c:dLbls>
        <c:gapWidth val="80"/>
        <c:overlap val="25"/>
        <c:axId val="681182368"/>
        <c:axId val="459549103"/>
      </c:barChart>
      <c:catAx>
        <c:axId val="6811823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9549103"/>
        <c:crosses val="autoZero"/>
        <c:auto val="1"/>
        <c:lblAlgn val="ctr"/>
        <c:lblOffset val="100"/>
        <c:noMultiLvlLbl val="0"/>
      </c:catAx>
      <c:valAx>
        <c:axId val="4595491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8118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Customer Sentiment Distribution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55486725296776E-2"/>
          <c:y val="0.17171296296296298"/>
          <c:w val="0.77357602219153887"/>
          <c:h val="0.72088764946048411"/>
        </c:manualLayout>
      </c:layout>
      <c:barChart>
        <c:barDir val="col"/>
        <c:grouping val="clustered"/>
        <c:varyColors val="0"/>
        <c:ser>
          <c:idx val="0"/>
          <c:order val="0"/>
          <c:tx>
            <c:strRef>
              <c:f>Sheet2!$R$27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Sheet2!$Q$28:$Q$31</c:f>
              <c:strCache>
                <c:ptCount val="3"/>
                <c:pt idx="0">
                  <c:v>Negative</c:v>
                </c:pt>
                <c:pt idx="1">
                  <c:v>Neutral</c:v>
                </c:pt>
                <c:pt idx="2">
                  <c:v>Positive</c:v>
                </c:pt>
              </c:strCache>
            </c:strRef>
          </c:cat>
          <c:val>
            <c:numRef>
              <c:f>Sheet2!$R$28:$R$31</c:f>
              <c:numCache>
                <c:formatCode>General</c:formatCode>
                <c:ptCount val="3"/>
                <c:pt idx="0">
                  <c:v>43</c:v>
                </c:pt>
                <c:pt idx="1">
                  <c:v>666</c:v>
                </c:pt>
                <c:pt idx="2">
                  <c:v>2071</c:v>
                </c:pt>
              </c:numCache>
            </c:numRef>
          </c:val>
          <c:extLst>
            <c:ext xmlns:c16="http://schemas.microsoft.com/office/drawing/2014/chart" uri="{C3380CC4-5D6E-409C-BE32-E72D297353CC}">
              <c16:uniqueId val="{00000000-D54C-490E-82D6-5A1291FF9879}"/>
            </c:ext>
          </c:extLst>
        </c:ser>
        <c:dLbls>
          <c:dLblPos val="outEnd"/>
          <c:showLegendKey val="0"/>
          <c:showVal val="1"/>
          <c:showCatName val="0"/>
          <c:showSerName val="0"/>
          <c:showPercent val="0"/>
          <c:showBubbleSize val="0"/>
        </c:dLbls>
        <c:gapWidth val="219"/>
        <c:overlap val="-27"/>
        <c:axId val="681232480"/>
        <c:axId val="459598063"/>
      </c:barChart>
      <c:catAx>
        <c:axId val="6812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98063"/>
        <c:crosses val="autoZero"/>
        <c:auto val="1"/>
        <c:lblAlgn val="ctr"/>
        <c:lblOffset val="100"/>
        <c:noMultiLvlLbl val="0"/>
      </c:catAx>
      <c:valAx>
        <c:axId val="45959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32480"/>
        <c:crosses val="autoZero"/>
        <c:crossBetween val="between"/>
      </c:valAx>
      <c:spPr>
        <a:no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Reviews vs Stock Performance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pivotFmt>
    </c:pivotFmts>
    <c:plotArea>
      <c:layout/>
      <c:barChart>
        <c:barDir val="col"/>
        <c:grouping val="stacked"/>
        <c:varyColors val="0"/>
        <c:ser>
          <c:idx val="0"/>
          <c:order val="0"/>
          <c:tx>
            <c:strRef>
              <c:f>Sheet2!$X$3</c:f>
              <c:strCache>
                <c:ptCount val="1"/>
                <c:pt idx="0">
                  <c:v>Average of stock_close</c:v>
                </c:pt>
              </c:strCache>
            </c:strRef>
          </c:tx>
          <c:spPr>
            <a:solidFill>
              <a:srgbClr val="C00000"/>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Sheet2!$X$4:$X$13</c:f>
              <c:numCache>
                <c:formatCode>0.0</c:formatCode>
                <c:ptCount val="9"/>
                <c:pt idx="0">
                  <c:v>30.822522522522529</c:v>
                </c:pt>
                <c:pt idx="1">
                  <c:v>32.903945205479445</c:v>
                </c:pt>
                <c:pt idx="2">
                  <c:v>44.531065573770483</c:v>
                </c:pt>
                <c:pt idx="3">
                  <c:v>55.820739726027355</c:v>
                </c:pt>
                <c:pt idx="4">
                  <c:v>28.570136986301371</c:v>
                </c:pt>
                <c:pt idx="5">
                  <c:v>39.046958904109594</c:v>
                </c:pt>
                <c:pt idx="6">
                  <c:v>67.18959016393444</c:v>
                </c:pt>
                <c:pt idx="7">
                  <c:v>109.44542465753419</c:v>
                </c:pt>
                <c:pt idx="8">
                  <c:v>88.393482142857152</c:v>
                </c:pt>
              </c:numCache>
            </c:numRef>
          </c:val>
          <c:extLst>
            <c:ext xmlns:c16="http://schemas.microsoft.com/office/drawing/2014/chart" uri="{C3380CC4-5D6E-409C-BE32-E72D297353CC}">
              <c16:uniqueId val="{00000000-D771-46FA-B3FA-9968A89AFC12}"/>
            </c:ext>
          </c:extLst>
        </c:ser>
        <c:ser>
          <c:idx val="1"/>
          <c:order val="1"/>
          <c:tx>
            <c:strRef>
              <c:f>Sheet2!$Y$3</c:f>
              <c:strCache>
                <c:ptCount val="1"/>
                <c:pt idx="0">
                  <c:v>Count of reviews_avg_rating</c:v>
                </c:pt>
              </c:strCache>
            </c:strRef>
          </c:tx>
          <c:spPr>
            <a:solidFill>
              <a:schemeClr val="accent2"/>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Sheet2!$Y$4:$Y$13</c:f>
              <c:numCache>
                <c:formatCode>General</c:formatCode>
                <c:ptCount val="9"/>
                <c:pt idx="0">
                  <c:v>111</c:v>
                </c:pt>
                <c:pt idx="1">
                  <c:v>365</c:v>
                </c:pt>
                <c:pt idx="2">
                  <c:v>366</c:v>
                </c:pt>
                <c:pt idx="3">
                  <c:v>365</c:v>
                </c:pt>
                <c:pt idx="4">
                  <c:v>365</c:v>
                </c:pt>
                <c:pt idx="5">
                  <c:v>365</c:v>
                </c:pt>
                <c:pt idx="6">
                  <c:v>300</c:v>
                </c:pt>
                <c:pt idx="7">
                  <c:v>316</c:v>
                </c:pt>
                <c:pt idx="8">
                  <c:v>111</c:v>
                </c:pt>
              </c:numCache>
            </c:numRef>
          </c:val>
          <c:extLst>
            <c:ext xmlns:c16="http://schemas.microsoft.com/office/drawing/2014/chart" uri="{C3380CC4-5D6E-409C-BE32-E72D297353CC}">
              <c16:uniqueId val="{00000002-D771-46FA-B3FA-9968A89AFC12}"/>
            </c:ext>
          </c:extLst>
        </c:ser>
        <c:ser>
          <c:idx val="2"/>
          <c:order val="2"/>
          <c:tx>
            <c:strRef>
              <c:f>Sheet2!$Z$3</c:f>
              <c:strCache>
                <c:ptCount val="1"/>
                <c:pt idx="0">
                  <c:v>Sum of reviews_sentiment_score</c:v>
                </c:pt>
              </c:strCache>
            </c:strRef>
          </c:tx>
          <c:spPr>
            <a:solidFill>
              <a:srgbClr val="FF0000"/>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Sheet2!$Z$4:$Z$13</c:f>
              <c:numCache>
                <c:formatCode>0.0</c:formatCode>
                <c:ptCount val="9"/>
                <c:pt idx="0">
                  <c:v>30.597699999999989</c:v>
                </c:pt>
                <c:pt idx="1">
                  <c:v>100.19650000000001</c:v>
                </c:pt>
                <c:pt idx="2">
                  <c:v>99.509900000000087</c:v>
                </c:pt>
                <c:pt idx="3">
                  <c:v>71.669000000000011</c:v>
                </c:pt>
                <c:pt idx="4">
                  <c:v>62.889800000000001</c:v>
                </c:pt>
                <c:pt idx="5">
                  <c:v>30.054300000000005</c:v>
                </c:pt>
                <c:pt idx="6">
                  <c:v>29.011100000000003</c:v>
                </c:pt>
                <c:pt idx="7">
                  <c:v>47.268399999999978</c:v>
                </c:pt>
                <c:pt idx="8">
                  <c:v>21.199100000000008</c:v>
                </c:pt>
              </c:numCache>
            </c:numRef>
          </c:val>
          <c:extLst>
            <c:ext xmlns:c16="http://schemas.microsoft.com/office/drawing/2014/chart" uri="{C3380CC4-5D6E-409C-BE32-E72D297353CC}">
              <c16:uniqueId val="{00000003-D771-46FA-B3FA-9968A89AFC12}"/>
            </c:ext>
          </c:extLst>
        </c:ser>
        <c:ser>
          <c:idx val="3"/>
          <c:order val="3"/>
          <c:tx>
            <c:strRef>
              <c:f>Sheet2!$AA$3</c:f>
              <c:strCache>
                <c:ptCount val="1"/>
                <c:pt idx="0">
                  <c:v>Count of reviews_count</c:v>
                </c:pt>
              </c:strCache>
            </c:strRef>
          </c:tx>
          <c:spPr>
            <a:solidFill>
              <a:schemeClr val="accent2">
                <a:lumMod val="75000"/>
              </a:schemeClr>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Sheet2!$AA$4:$AA$13</c:f>
              <c:numCache>
                <c:formatCode>General</c:formatCode>
                <c:ptCount val="9"/>
                <c:pt idx="0">
                  <c:v>111</c:v>
                </c:pt>
                <c:pt idx="1">
                  <c:v>365</c:v>
                </c:pt>
                <c:pt idx="2">
                  <c:v>366</c:v>
                </c:pt>
                <c:pt idx="3">
                  <c:v>365</c:v>
                </c:pt>
                <c:pt idx="4">
                  <c:v>365</c:v>
                </c:pt>
                <c:pt idx="5">
                  <c:v>365</c:v>
                </c:pt>
                <c:pt idx="6">
                  <c:v>366</c:v>
                </c:pt>
                <c:pt idx="7">
                  <c:v>365</c:v>
                </c:pt>
                <c:pt idx="8">
                  <c:v>112</c:v>
                </c:pt>
              </c:numCache>
            </c:numRef>
          </c:val>
          <c:extLst>
            <c:ext xmlns:c16="http://schemas.microsoft.com/office/drawing/2014/chart" uri="{C3380CC4-5D6E-409C-BE32-E72D297353CC}">
              <c16:uniqueId val="{00000004-D771-46FA-B3FA-9968A89AFC12}"/>
            </c:ext>
          </c:extLst>
        </c:ser>
        <c:dLbls>
          <c:showLegendKey val="0"/>
          <c:showVal val="0"/>
          <c:showCatName val="0"/>
          <c:showSerName val="0"/>
          <c:showPercent val="0"/>
          <c:showBubbleSize val="0"/>
        </c:dLbls>
        <c:gapWidth val="219"/>
        <c:overlap val="100"/>
        <c:axId val="618720336"/>
        <c:axId val="622279536"/>
      </c:barChart>
      <c:catAx>
        <c:axId val="6187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79536"/>
        <c:crosses val="autoZero"/>
        <c:auto val="1"/>
        <c:lblAlgn val="ctr"/>
        <c:lblOffset val="100"/>
        <c:noMultiLvlLbl val="0"/>
      </c:catAx>
      <c:valAx>
        <c:axId val="622279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720336"/>
        <c:crosses val="autoZero"/>
        <c:crossBetween val="between"/>
      </c:valAx>
      <c:spPr>
        <a:noFill/>
        <a:ln>
          <a:noFill/>
        </a:ln>
        <a:effectLst/>
      </c:spPr>
    </c:plotArea>
    <c:legend>
      <c:legendPos val="b"/>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Trading vs Non-Trading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Sheet2!$Y$31</c:f>
              <c:strCache>
                <c:ptCount val="1"/>
                <c:pt idx="0">
                  <c:v>Average of stock_volume</c:v>
                </c:pt>
              </c:strCache>
            </c:strRef>
          </c:tx>
          <c:spPr>
            <a:solidFill>
              <a:schemeClr val="accent1"/>
            </a:solidFill>
            <a:ln>
              <a:noFill/>
            </a:ln>
            <a:effectLst/>
          </c:spPr>
          <c:invertIfNegative val="0"/>
          <c:cat>
            <c:strRef>
              <c:f>Sheet2!$X$32:$X$34</c:f>
              <c:strCache>
                <c:ptCount val="2"/>
                <c:pt idx="0">
                  <c:v>Non-Trading Day</c:v>
                </c:pt>
                <c:pt idx="1">
                  <c:v>Trading Day</c:v>
                </c:pt>
              </c:strCache>
            </c:strRef>
          </c:cat>
          <c:val>
            <c:numRef>
              <c:f>Sheet2!$Y$32:$Y$34</c:f>
              <c:numCache>
                <c:formatCode>General</c:formatCode>
                <c:ptCount val="2"/>
                <c:pt idx="0">
                  <c:v>31499059.066820275</c:v>
                </c:pt>
                <c:pt idx="1">
                  <c:v>50059459.429916315</c:v>
                </c:pt>
              </c:numCache>
            </c:numRef>
          </c:val>
          <c:extLst>
            <c:ext xmlns:c16="http://schemas.microsoft.com/office/drawing/2014/chart" uri="{C3380CC4-5D6E-409C-BE32-E72D297353CC}">
              <c16:uniqueId val="{00000000-3627-47DB-872A-CA7B32693B9F}"/>
            </c:ext>
          </c:extLst>
        </c:ser>
        <c:ser>
          <c:idx val="1"/>
          <c:order val="1"/>
          <c:tx>
            <c:strRef>
              <c:f>Sheet2!$Z$31</c:f>
              <c:strCache>
                <c:ptCount val="1"/>
                <c:pt idx="0">
                  <c:v>Count of date</c:v>
                </c:pt>
              </c:strCache>
            </c:strRef>
          </c:tx>
          <c:spPr>
            <a:solidFill>
              <a:schemeClr val="accent2"/>
            </a:solidFill>
            <a:ln>
              <a:noFill/>
            </a:ln>
            <a:effectLst/>
          </c:spPr>
          <c:invertIfNegative val="0"/>
          <c:cat>
            <c:strRef>
              <c:f>Sheet2!$X$32:$X$34</c:f>
              <c:strCache>
                <c:ptCount val="2"/>
                <c:pt idx="0">
                  <c:v>Non-Trading Day</c:v>
                </c:pt>
                <c:pt idx="1">
                  <c:v>Trading Day</c:v>
                </c:pt>
              </c:strCache>
            </c:strRef>
          </c:cat>
          <c:val>
            <c:numRef>
              <c:f>Sheet2!$Z$32:$Z$34</c:f>
              <c:numCache>
                <c:formatCode>General</c:formatCode>
                <c:ptCount val="2"/>
                <c:pt idx="0">
                  <c:v>868</c:v>
                </c:pt>
                <c:pt idx="1">
                  <c:v>1912</c:v>
                </c:pt>
              </c:numCache>
            </c:numRef>
          </c:val>
          <c:extLst>
            <c:ext xmlns:c16="http://schemas.microsoft.com/office/drawing/2014/chart" uri="{C3380CC4-5D6E-409C-BE32-E72D297353CC}">
              <c16:uniqueId val="{00000002-3627-47DB-872A-CA7B32693B9F}"/>
            </c:ext>
          </c:extLst>
        </c:ser>
        <c:ser>
          <c:idx val="2"/>
          <c:order val="2"/>
          <c:tx>
            <c:strRef>
              <c:f>Sheet2!$AA$31</c:f>
              <c:strCache>
                <c:ptCount val="1"/>
                <c:pt idx="0">
                  <c:v>Count of StockReturn_Category</c:v>
                </c:pt>
              </c:strCache>
            </c:strRef>
          </c:tx>
          <c:spPr>
            <a:solidFill>
              <a:schemeClr val="accent3"/>
            </a:solidFill>
            <a:ln>
              <a:noFill/>
            </a:ln>
            <a:effectLst/>
          </c:spPr>
          <c:invertIfNegative val="0"/>
          <c:cat>
            <c:strRef>
              <c:f>Sheet2!$X$32:$X$34</c:f>
              <c:strCache>
                <c:ptCount val="2"/>
                <c:pt idx="0">
                  <c:v>Non-Trading Day</c:v>
                </c:pt>
                <c:pt idx="1">
                  <c:v>Trading Day</c:v>
                </c:pt>
              </c:strCache>
            </c:strRef>
          </c:cat>
          <c:val>
            <c:numRef>
              <c:f>Sheet2!$AA$32:$AA$34</c:f>
              <c:numCache>
                <c:formatCode>General</c:formatCode>
                <c:ptCount val="2"/>
                <c:pt idx="0">
                  <c:v>868</c:v>
                </c:pt>
                <c:pt idx="1">
                  <c:v>1912</c:v>
                </c:pt>
              </c:numCache>
            </c:numRef>
          </c:val>
          <c:extLst>
            <c:ext xmlns:c16="http://schemas.microsoft.com/office/drawing/2014/chart" uri="{C3380CC4-5D6E-409C-BE32-E72D297353CC}">
              <c16:uniqueId val="{00000003-3627-47DB-872A-CA7B32693B9F}"/>
            </c:ext>
          </c:extLst>
        </c:ser>
        <c:dLbls>
          <c:showLegendKey val="0"/>
          <c:showVal val="0"/>
          <c:showCatName val="0"/>
          <c:showSerName val="0"/>
          <c:showPercent val="0"/>
          <c:showBubbleSize val="0"/>
        </c:dLbls>
        <c:gapWidth val="219"/>
        <c:overlap val="-27"/>
        <c:axId val="577824016"/>
        <c:axId val="622265616"/>
      </c:barChart>
      <c:catAx>
        <c:axId val="57782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265616"/>
        <c:crosses val="autoZero"/>
        <c:auto val="1"/>
        <c:lblAlgn val="ctr"/>
        <c:lblOffset val="100"/>
        <c:noMultiLvlLbl val="0"/>
      </c:catAx>
      <c:valAx>
        <c:axId val="6222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82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[netflix_daily_master (1).xlsx]Sheet2!PivotTable3</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Daily Return Distribution </a:t>
            </a:r>
          </a:p>
        </c:rich>
      </c:tx>
      <c:layout>
        <c:manualLayout>
          <c:xMode val="edge"/>
          <c:yMode val="edge"/>
          <c:x val="0.20230994152046783"/>
          <c:y val="7.7092515470100445E-2"/>
        </c:manualLayout>
      </c:layout>
      <c:overlay val="0"/>
      <c:spPr>
        <a:solidFill>
          <a:schemeClr val="bg1"/>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E50914">
              <a:alpha val="87059"/>
            </a:srgbClr>
          </a:solidFill>
          <a:ln>
            <a:solidFill>
              <a:schemeClr val="bg1"/>
            </a:solid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2"/>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3"/>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4"/>
        <c:spPr>
          <a:solidFill>
            <a:srgbClr val="E50914">
              <a:alpha val="87059"/>
            </a:srgbClr>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6"/>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7"/>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8"/>
        <c:spPr>
          <a:solidFill>
            <a:srgbClr val="E50914">
              <a:alpha val="87059"/>
            </a:srgbClr>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10"/>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
        <c:idx val="11"/>
        <c:spPr>
          <a:solidFill>
            <a:srgbClr val="E50914">
              <a:alpha val="87059"/>
            </a:srgb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ser>
          <c:idx val="0"/>
          <c:order val="0"/>
          <c:tx>
            <c:strRef>
              <c:f>Sheet2!$P$3</c:f>
              <c:strCache>
                <c:ptCount val="1"/>
                <c:pt idx="0">
                  <c:v>Total</c:v>
                </c:pt>
              </c:strCache>
            </c:strRef>
          </c:tx>
          <c:spPr>
            <a:solidFill>
              <a:srgbClr val="E50914">
                <a:alpha val="87059"/>
              </a:srgbClr>
            </a:solidFill>
            <a:ln>
              <a:solidFill>
                <a:schemeClr val="bg1"/>
              </a:solidFill>
            </a:ln>
          </c:spPr>
          <c:dPt>
            <c:idx val="0"/>
            <c:bubble3D val="0"/>
            <c:spPr>
              <a:solidFill>
                <a:srgbClr val="E50914">
                  <a:alpha val="87059"/>
                </a:srgb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CC-4299-B7DC-B81A2AA25891}"/>
              </c:ext>
            </c:extLst>
          </c:dPt>
          <c:dPt>
            <c:idx val="1"/>
            <c:bubble3D val="0"/>
            <c:spPr>
              <a:solidFill>
                <a:srgbClr val="E50914">
                  <a:alpha val="87059"/>
                </a:srgb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CC-4299-B7DC-B81A2AA25891}"/>
              </c:ext>
            </c:extLst>
          </c:dPt>
          <c:dPt>
            <c:idx val="2"/>
            <c:bubble3D val="0"/>
            <c:spPr>
              <a:solidFill>
                <a:srgbClr val="E50914">
                  <a:alpha val="87059"/>
                </a:srgbClr>
              </a:solidFill>
              <a:ln>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CC-4299-B7DC-B81A2AA258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Sheet2!$O$4:$O$7</c:f>
              <c:strCache>
                <c:ptCount val="3"/>
                <c:pt idx="0">
                  <c:v>Negative</c:v>
                </c:pt>
                <c:pt idx="1">
                  <c:v>No Change</c:v>
                </c:pt>
                <c:pt idx="2">
                  <c:v>Positive</c:v>
                </c:pt>
              </c:strCache>
            </c:strRef>
          </c:cat>
          <c:val>
            <c:numRef>
              <c:f>Sheet2!$P$4:$P$7</c:f>
              <c:numCache>
                <c:formatCode>General</c:formatCode>
                <c:ptCount val="3"/>
                <c:pt idx="0">
                  <c:v>944</c:v>
                </c:pt>
                <c:pt idx="1">
                  <c:v>868</c:v>
                </c:pt>
                <c:pt idx="2">
                  <c:v>968</c:v>
                </c:pt>
              </c:numCache>
            </c:numRef>
          </c:val>
          <c:extLst>
            <c:ext xmlns:c16="http://schemas.microsoft.com/office/drawing/2014/chart" uri="{C3380CC4-5D6E-409C-BE32-E72D297353CC}">
              <c16:uniqueId val="{00000006-26CC-4299-B7DC-B81A2AA2589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00E0E">
        <a:alpha val="70196"/>
      </a:srgb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0" i="0" u="none" strike="noStrike" baseline="0">
                <a:solidFill>
                  <a:schemeClr val="bg1"/>
                </a:solidFill>
              </a:rPr>
              <a:t>Netflix Stock Price Trend</a:t>
            </a:r>
            <a:endParaRPr lang="en-IN" sz="24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rgbClr val="C000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solidFill>
              <a:srgbClr val="C00000"/>
            </a:solidFill>
          </a:ln>
          <a:effectLst/>
        </c:spPr>
      </c:pivotFmt>
    </c:pivotFmts>
    <c:plotArea>
      <c:layout>
        <c:manualLayout>
          <c:layoutTarget val="inner"/>
          <c:xMode val="edge"/>
          <c:yMode val="edge"/>
          <c:x val="0.12433232942383964"/>
          <c:y val="0.20201525054466232"/>
          <c:w val="0.86272291451878336"/>
          <c:h val="0.52219386146502289"/>
        </c:manualLayout>
      </c:layout>
      <c:barChart>
        <c:barDir val="col"/>
        <c:grouping val="clustered"/>
        <c:varyColors val="0"/>
        <c:ser>
          <c:idx val="0"/>
          <c:order val="0"/>
          <c:tx>
            <c:strRef>
              <c:f>Sheet2!$B$1</c:f>
              <c:strCache>
                <c:ptCount val="1"/>
                <c:pt idx="0">
                  <c:v>Sum of stock_close</c:v>
                </c:pt>
              </c:strCache>
            </c:strRef>
          </c:tx>
          <c:spPr>
            <a:solidFill>
              <a:srgbClr val="C00000"/>
            </a:solidFill>
            <a:ln>
              <a:solidFill>
                <a:srgbClr val="C00000"/>
              </a:solidFill>
            </a:ln>
            <a:effectLst/>
          </c:spPr>
          <c:invertIfNegative val="0"/>
          <c:dPt>
            <c:idx val="51"/>
            <c:invertIfNegative val="0"/>
            <c:bubble3D val="0"/>
            <c:extLst>
              <c:ext xmlns:c16="http://schemas.microsoft.com/office/drawing/2014/chart" uri="{C3380CC4-5D6E-409C-BE32-E72D297353CC}">
                <c16:uniqueId val="{00000008-45B2-4A72-90C2-8EEBB833ECCD}"/>
              </c:ext>
            </c:extLst>
          </c:dPt>
          <c:cat>
            <c:multiLvlStrRef>
              <c:f>Sheet2!$A$2:$A$20</c:f>
              <c:multiLvlStrCache>
                <c:ptCount val="9"/>
                <c:lvl>
                  <c:pt idx="0">
                    <c:v>Oct</c:v>
                  </c:pt>
                  <c:pt idx="1">
                    <c:v>May</c:v>
                  </c:pt>
                  <c:pt idx="2">
                    <c:v>Dec</c:v>
                  </c:pt>
                  <c:pt idx="3">
                    <c:v>Nov</c:v>
                  </c:pt>
                  <c:pt idx="4">
                    <c:v>Jan</c:v>
                  </c:pt>
                  <c:pt idx="5">
                    <c:v>Dec</c:v>
                  </c:pt>
                  <c:pt idx="6">
                    <c:v>Dec</c:v>
                  </c:pt>
                  <c:pt idx="7">
                    <c:v>Jul</c:v>
                  </c:pt>
                  <c:pt idx="8">
                    <c:v>Mar</c:v>
                  </c:pt>
                </c:lvl>
                <c:lvl>
                  <c:pt idx="0">
                    <c:v>2018</c:v>
                  </c:pt>
                  <c:pt idx="1">
                    <c:v>2019</c:v>
                  </c:pt>
                  <c:pt idx="2">
                    <c:v>2020</c:v>
                  </c:pt>
                  <c:pt idx="3">
                    <c:v>2021</c:v>
                  </c:pt>
                  <c:pt idx="4">
                    <c:v>2022</c:v>
                  </c:pt>
                  <c:pt idx="5">
                    <c:v>2023</c:v>
                  </c:pt>
                  <c:pt idx="6">
                    <c:v>2024</c:v>
                  </c:pt>
                  <c:pt idx="7">
                    <c:v>2025</c:v>
                  </c:pt>
                  <c:pt idx="8">
                    <c:v>2026</c:v>
                  </c:pt>
                </c:lvl>
              </c:multiLvlStrCache>
            </c:multiLvlStrRef>
          </c:cat>
          <c:val>
            <c:numRef>
              <c:f>Sheet2!$B$2:$B$20</c:f>
              <c:numCache>
                <c:formatCode>0</c:formatCode>
                <c:ptCount val="9"/>
                <c:pt idx="0">
                  <c:v>1036.2</c:v>
                </c:pt>
                <c:pt idx="1">
                  <c:v>1117.21</c:v>
                </c:pt>
                <c:pt idx="2">
                  <c:v>1597.8300000000006</c:v>
                </c:pt>
                <c:pt idx="3">
                  <c:v>2002.1600000000003</c:v>
                </c:pt>
                <c:pt idx="4">
                  <c:v>1518.5200000000007</c:v>
                </c:pt>
                <c:pt idx="5">
                  <c:v>1469.8600000000004</c:v>
                </c:pt>
                <c:pt idx="6">
                  <c:v>2833.8400000000006</c:v>
                </c:pt>
                <c:pt idx="7">
                  <c:v>3829.0100000000007</c:v>
                </c:pt>
                <c:pt idx="8">
                  <c:v>2947.08</c:v>
                </c:pt>
              </c:numCache>
            </c:numRef>
          </c:val>
          <c:extLst>
            <c:ext xmlns:c16="http://schemas.microsoft.com/office/drawing/2014/chart" uri="{C3380CC4-5D6E-409C-BE32-E72D297353CC}">
              <c16:uniqueId val="{00000000-45B2-4A72-90C2-8EEBB833ECCD}"/>
            </c:ext>
          </c:extLst>
        </c:ser>
        <c:ser>
          <c:idx val="1"/>
          <c:order val="1"/>
          <c:tx>
            <c:strRef>
              <c:f>Sheet2!$C$1</c:f>
              <c:strCache>
                <c:ptCount val="1"/>
                <c:pt idx="0">
                  <c:v>Sum of stock_daily_return_pct</c:v>
                </c:pt>
              </c:strCache>
            </c:strRef>
          </c:tx>
          <c:spPr>
            <a:solidFill>
              <a:schemeClr val="accent2"/>
            </a:solidFill>
            <a:ln>
              <a:noFill/>
            </a:ln>
            <a:effectLst/>
          </c:spPr>
          <c:invertIfNegative val="0"/>
          <c:cat>
            <c:multiLvlStrRef>
              <c:f>Sheet2!$A$2:$A$20</c:f>
              <c:multiLvlStrCache>
                <c:ptCount val="9"/>
                <c:lvl>
                  <c:pt idx="0">
                    <c:v>Oct</c:v>
                  </c:pt>
                  <c:pt idx="1">
                    <c:v>May</c:v>
                  </c:pt>
                  <c:pt idx="2">
                    <c:v>Dec</c:v>
                  </c:pt>
                  <c:pt idx="3">
                    <c:v>Nov</c:v>
                  </c:pt>
                  <c:pt idx="4">
                    <c:v>Jan</c:v>
                  </c:pt>
                  <c:pt idx="5">
                    <c:v>Dec</c:v>
                  </c:pt>
                  <c:pt idx="6">
                    <c:v>Dec</c:v>
                  </c:pt>
                  <c:pt idx="7">
                    <c:v>Jul</c:v>
                  </c:pt>
                  <c:pt idx="8">
                    <c:v>Mar</c:v>
                  </c:pt>
                </c:lvl>
                <c:lvl>
                  <c:pt idx="0">
                    <c:v>2018</c:v>
                  </c:pt>
                  <c:pt idx="1">
                    <c:v>2019</c:v>
                  </c:pt>
                  <c:pt idx="2">
                    <c:v>2020</c:v>
                  </c:pt>
                  <c:pt idx="3">
                    <c:v>2021</c:v>
                  </c:pt>
                  <c:pt idx="4">
                    <c:v>2022</c:v>
                  </c:pt>
                  <c:pt idx="5">
                    <c:v>2023</c:v>
                  </c:pt>
                  <c:pt idx="6">
                    <c:v>2024</c:v>
                  </c:pt>
                  <c:pt idx="7">
                    <c:v>2025</c:v>
                  </c:pt>
                  <c:pt idx="8">
                    <c:v>2026</c:v>
                  </c:pt>
                </c:lvl>
              </c:multiLvlStrCache>
            </c:multiLvlStrRef>
          </c:cat>
          <c:val>
            <c:numRef>
              <c:f>Sheet2!$C$2:$C$20</c:f>
              <c:numCache>
                <c:formatCode>0</c:formatCode>
                <c:ptCount val="9"/>
                <c:pt idx="0">
                  <c:v>-28.933</c:v>
                </c:pt>
                <c:pt idx="1">
                  <c:v>-1.3120000000000005</c:v>
                </c:pt>
                <c:pt idx="2">
                  <c:v>11.218</c:v>
                </c:pt>
                <c:pt idx="3">
                  <c:v>-11.789000000000001</c:v>
                </c:pt>
                <c:pt idx="4">
                  <c:v>-15.510999999999996</c:v>
                </c:pt>
                <c:pt idx="5">
                  <c:v>-1.0780000000000003</c:v>
                </c:pt>
                <c:pt idx="6">
                  <c:v>1.770999999999999</c:v>
                </c:pt>
                <c:pt idx="7">
                  <c:v>-12.782</c:v>
                </c:pt>
                <c:pt idx="8">
                  <c:v>4.0629999999999979</c:v>
                </c:pt>
              </c:numCache>
            </c:numRef>
          </c:val>
          <c:extLst>
            <c:ext xmlns:c16="http://schemas.microsoft.com/office/drawing/2014/chart" uri="{C3380CC4-5D6E-409C-BE32-E72D297353CC}">
              <c16:uniqueId val="{00000001-45B2-4A72-90C2-8EEBB833ECCD}"/>
            </c:ext>
          </c:extLst>
        </c:ser>
        <c:dLbls>
          <c:dLblPos val="outEnd"/>
          <c:showLegendKey val="0"/>
          <c:showVal val="0"/>
          <c:showCatName val="0"/>
          <c:showSerName val="0"/>
          <c:showPercent val="0"/>
          <c:showBubbleSize val="0"/>
        </c:dLbls>
        <c:gapWidth val="219"/>
        <c:axId val="293148528"/>
        <c:axId val="459540463"/>
      </c:barChart>
      <c:catAx>
        <c:axId val="293148528"/>
        <c:scaling>
          <c:orientation val="minMax"/>
        </c:scaling>
        <c:delete val="0"/>
        <c:axPos val="b"/>
        <c:numFmt formatCode="#,##0" sourceLinked="0"/>
        <c:majorTickMark val="out"/>
        <c:minorTickMark val="none"/>
        <c:tickLblPos val="nextTo"/>
        <c:spPr>
          <a:noFill/>
          <a:ln w="9525" cap="flat" cmpd="sng" algn="ctr">
            <a:solidFill>
              <a:schemeClr val="bg1"/>
            </a:solidFill>
            <a:round/>
            <a:headEnd type="triangle"/>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9540463"/>
        <c:crosses val="autoZero"/>
        <c:auto val="1"/>
        <c:lblAlgn val="ctr"/>
        <c:lblOffset val="100"/>
        <c:noMultiLvlLbl val="0"/>
      </c:catAx>
      <c:valAx>
        <c:axId val="459540463"/>
        <c:scaling>
          <c:orientation val="minMax"/>
        </c:scaling>
        <c:delete val="0"/>
        <c:axPos val="l"/>
        <c:numFmt formatCode="0"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3148528"/>
        <c:crosses val="autoZero"/>
        <c:crossBetween val="between"/>
      </c:valAx>
      <c:spPr>
        <a:solidFill>
          <a:schemeClr val="tx1"/>
        </a:solidFill>
        <a:ln>
          <a:solidFill>
            <a:srgbClr val="141414"/>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Monthly Stock Activity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pivotFmt>
      <c:pivotFmt>
        <c:idx val="10"/>
        <c:spPr>
          <a:ln w="28575" cap="rnd">
            <a:solidFill>
              <a:srgbClr val="C00000"/>
            </a:solidFill>
            <a:round/>
          </a:ln>
          <a:effectLst/>
        </c:spPr>
        <c:marker>
          <c:symbol val="none"/>
        </c:marker>
      </c:pivotFmt>
    </c:pivotFmts>
    <c:plotArea>
      <c:layout/>
      <c:lineChart>
        <c:grouping val="standard"/>
        <c:varyColors val="0"/>
        <c:ser>
          <c:idx val="0"/>
          <c:order val="0"/>
          <c:tx>
            <c:strRef>
              <c:f>Sheet2!$K$3</c:f>
              <c:strCache>
                <c:ptCount val="1"/>
                <c:pt idx="0">
                  <c:v>Average of stock_close</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Sheet2!$J$4:$J$32</c:f>
              <c:strCache>
                <c:ptCount val="28"/>
                <c:pt idx="0">
                  <c:v>Apr 2020</c:v>
                </c:pt>
                <c:pt idx="1">
                  <c:v>Apr 2025</c:v>
                </c:pt>
                <c:pt idx="2">
                  <c:v>Apr 2026</c:v>
                </c:pt>
                <c:pt idx="3">
                  <c:v>Aug 2020</c:v>
                </c:pt>
                <c:pt idx="4">
                  <c:v>Aug 2021</c:v>
                </c:pt>
                <c:pt idx="5">
                  <c:v>Aug 2024</c:v>
                </c:pt>
                <c:pt idx="6">
                  <c:v>Dec 2020</c:v>
                </c:pt>
                <c:pt idx="7">
                  <c:v>Feb 2019</c:v>
                </c:pt>
                <c:pt idx="8">
                  <c:v>Feb 2020</c:v>
                </c:pt>
                <c:pt idx="9">
                  <c:v>Jan 2019</c:v>
                </c:pt>
                <c:pt idx="10">
                  <c:v>Jan 2023</c:v>
                </c:pt>
                <c:pt idx="11">
                  <c:v>Jul 2020</c:v>
                </c:pt>
                <c:pt idx="12">
                  <c:v>Jul 2022</c:v>
                </c:pt>
                <c:pt idx="13">
                  <c:v>Jun 2020</c:v>
                </c:pt>
                <c:pt idx="14">
                  <c:v>Jun 2024</c:v>
                </c:pt>
                <c:pt idx="15">
                  <c:v>Jun 2025</c:v>
                </c:pt>
                <c:pt idx="16">
                  <c:v>Mar 2020</c:v>
                </c:pt>
                <c:pt idx="17">
                  <c:v>May 2022</c:v>
                </c:pt>
                <c:pt idx="18">
                  <c:v>May 2023</c:v>
                </c:pt>
                <c:pt idx="19">
                  <c:v>May 2024</c:v>
                </c:pt>
                <c:pt idx="20">
                  <c:v>May 2025</c:v>
                </c:pt>
                <c:pt idx="21">
                  <c:v>Nov 2019</c:v>
                </c:pt>
                <c:pt idx="22">
                  <c:v>Nov 2023</c:v>
                </c:pt>
                <c:pt idx="23">
                  <c:v>Nov 2024</c:v>
                </c:pt>
                <c:pt idx="24">
                  <c:v>Oct 2019</c:v>
                </c:pt>
                <c:pt idx="25">
                  <c:v>Oct 2021</c:v>
                </c:pt>
                <c:pt idx="26">
                  <c:v>Oct 2022</c:v>
                </c:pt>
                <c:pt idx="27">
                  <c:v>Sep 2022</c:v>
                </c:pt>
              </c:strCache>
            </c:strRef>
          </c:cat>
          <c:val>
            <c:numRef>
              <c:f>Sheet2!$K$4:$K$32</c:f>
              <c:numCache>
                <c:formatCode>0.0</c:formatCode>
                <c:ptCount val="28"/>
                <c:pt idx="0">
                  <c:v>40.074333333333335</c:v>
                </c:pt>
                <c:pt idx="1">
                  <c:v>97.722000000000008</c:v>
                </c:pt>
                <c:pt idx="2">
                  <c:v>100.11076923076922</c:v>
                </c:pt>
                <c:pt idx="3">
                  <c:v>49.756774193548402</c:v>
                </c:pt>
                <c:pt idx="4">
                  <c:v>53.270322580645171</c:v>
                </c:pt>
                <c:pt idx="5">
                  <c:v>65.941935483870978</c:v>
                </c:pt>
                <c:pt idx="6">
                  <c:v>51.542903225806469</c:v>
                </c:pt>
                <c:pt idx="7">
                  <c:v>35.458571428571432</c:v>
                </c:pt>
                <c:pt idx="8">
                  <c:v>37.241379310344826</c:v>
                </c:pt>
                <c:pt idx="9">
                  <c:v>32.496774193548383</c:v>
                </c:pt>
                <c:pt idx="10">
                  <c:v>33.29451612903226</c:v>
                </c:pt>
                <c:pt idx="11">
                  <c:v>49.875483870967727</c:v>
                </c:pt>
                <c:pt idx="12">
                  <c:v>19.885483870967743</c:v>
                </c:pt>
                <c:pt idx="13">
                  <c:v>43.756666666666653</c:v>
                </c:pt>
                <c:pt idx="14">
                  <c:v>66.297333333333327</c:v>
                </c:pt>
                <c:pt idx="15">
                  <c:v>124.55333333333331</c:v>
                </c:pt>
                <c:pt idx="16">
                  <c:v>35.071935483870959</c:v>
                </c:pt>
                <c:pt idx="17">
                  <c:v>18.714516129032255</c:v>
                </c:pt>
                <c:pt idx="18">
                  <c:v>34.95870967741935</c:v>
                </c:pt>
                <c:pt idx="19">
                  <c:v>61.862258064516134</c:v>
                </c:pt>
                <c:pt idx="20">
                  <c:v>117.01419354838706</c:v>
                </c:pt>
                <c:pt idx="21">
                  <c:v>29.936999999999998</c:v>
                </c:pt>
                <c:pt idx="22">
                  <c:v>45.660666666666692</c:v>
                </c:pt>
                <c:pt idx="23">
                  <c:v>83.245666666666665</c:v>
                </c:pt>
                <c:pt idx="24">
                  <c:v>27.746129032258057</c:v>
                </c:pt>
                <c:pt idx="25">
                  <c:v>64.337419354838715</c:v>
                </c:pt>
                <c:pt idx="26">
                  <c:v>25.589354838709685</c:v>
                </c:pt>
                <c:pt idx="27">
                  <c:v>23.175666666666665</c:v>
                </c:pt>
              </c:numCache>
            </c:numRef>
          </c:val>
          <c:smooth val="0"/>
          <c:extLst>
            <c:ext xmlns:c16="http://schemas.microsoft.com/office/drawing/2014/chart" uri="{C3380CC4-5D6E-409C-BE32-E72D297353CC}">
              <c16:uniqueId val="{00000000-1BB4-4931-858D-8B44B026BF70}"/>
            </c:ext>
          </c:extLst>
        </c:ser>
        <c:ser>
          <c:idx val="1"/>
          <c:order val="1"/>
          <c:tx>
            <c:strRef>
              <c:f>Sheet2!$L$3</c:f>
              <c:strCache>
                <c:ptCount val="1"/>
                <c:pt idx="0">
                  <c:v>Sum of stock_volume</c:v>
                </c:pt>
              </c:strCache>
            </c:strRef>
          </c:tx>
          <c:spPr>
            <a:ln w="28575" cap="rnd">
              <a:solidFill>
                <a:srgbClr val="C00000"/>
              </a:solidFill>
              <a:round/>
            </a:ln>
            <a:effectLst/>
          </c:spPr>
          <c:marker>
            <c:symbol val="none"/>
          </c:marker>
          <c:cat>
            <c:strRef>
              <c:f>Sheet2!$J$4:$J$32</c:f>
              <c:strCache>
                <c:ptCount val="28"/>
                <c:pt idx="0">
                  <c:v>Apr 2020</c:v>
                </c:pt>
                <c:pt idx="1">
                  <c:v>Apr 2025</c:v>
                </c:pt>
                <c:pt idx="2">
                  <c:v>Apr 2026</c:v>
                </c:pt>
                <c:pt idx="3">
                  <c:v>Aug 2020</c:v>
                </c:pt>
                <c:pt idx="4">
                  <c:v>Aug 2021</c:v>
                </c:pt>
                <c:pt idx="5">
                  <c:v>Aug 2024</c:v>
                </c:pt>
                <c:pt idx="6">
                  <c:v>Dec 2020</c:v>
                </c:pt>
                <c:pt idx="7">
                  <c:v>Feb 2019</c:v>
                </c:pt>
                <c:pt idx="8">
                  <c:v>Feb 2020</c:v>
                </c:pt>
                <c:pt idx="9">
                  <c:v>Jan 2019</c:v>
                </c:pt>
                <c:pt idx="10">
                  <c:v>Jan 2023</c:v>
                </c:pt>
                <c:pt idx="11">
                  <c:v>Jul 2020</c:v>
                </c:pt>
                <c:pt idx="12">
                  <c:v>Jul 2022</c:v>
                </c:pt>
                <c:pt idx="13">
                  <c:v>Jun 2020</c:v>
                </c:pt>
                <c:pt idx="14">
                  <c:v>Jun 2024</c:v>
                </c:pt>
                <c:pt idx="15">
                  <c:v>Jun 2025</c:v>
                </c:pt>
                <c:pt idx="16">
                  <c:v>Mar 2020</c:v>
                </c:pt>
                <c:pt idx="17">
                  <c:v>May 2022</c:v>
                </c:pt>
                <c:pt idx="18">
                  <c:v>May 2023</c:v>
                </c:pt>
                <c:pt idx="19">
                  <c:v>May 2024</c:v>
                </c:pt>
                <c:pt idx="20">
                  <c:v>May 2025</c:v>
                </c:pt>
                <c:pt idx="21">
                  <c:v>Nov 2019</c:v>
                </c:pt>
                <c:pt idx="22">
                  <c:v>Nov 2023</c:v>
                </c:pt>
                <c:pt idx="23">
                  <c:v>Nov 2024</c:v>
                </c:pt>
                <c:pt idx="24">
                  <c:v>Oct 2019</c:v>
                </c:pt>
                <c:pt idx="25">
                  <c:v>Oct 2021</c:v>
                </c:pt>
                <c:pt idx="26">
                  <c:v>Oct 2022</c:v>
                </c:pt>
                <c:pt idx="27">
                  <c:v>Sep 2022</c:v>
                </c:pt>
              </c:strCache>
            </c:strRef>
          </c:cat>
          <c:val>
            <c:numRef>
              <c:f>Sheet2!$L$4:$L$32</c:f>
              <c:numCache>
                <c:formatCode>0.0,,</c:formatCode>
                <c:ptCount val="28"/>
                <c:pt idx="0">
                  <c:v>2251116000</c:v>
                </c:pt>
                <c:pt idx="1">
                  <c:v>1229551000</c:v>
                </c:pt>
                <c:pt idx="2">
                  <c:v>230791340</c:v>
                </c:pt>
                <c:pt idx="3">
                  <c:v>1162619000</c:v>
                </c:pt>
                <c:pt idx="4">
                  <c:v>547477000</c:v>
                </c:pt>
                <c:pt idx="5">
                  <c:v>673177000</c:v>
                </c:pt>
                <c:pt idx="6">
                  <c:v>775641000</c:v>
                </c:pt>
                <c:pt idx="7">
                  <c:v>1481921000</c:v>
                </c:pt>
                <c:pt idx="8">
                  <c:v>1140560000</c:v>
                </c:pt>
                <c:pt idx="9">
                  <c:v>3066164000</c:v>
                </c:pt>
                <c:pt idx="10">
                  <c:v>2064174000</c:v>
                </c:pt>
                <c:pt idx="11">
                  <c:v>2322063000</c:v>
                </c:pt>
                <c:pt idx="12">
                  <c:v>2700837000</c:v>
                </c:pt>
                <c:pt idx="13">
                  <c:v>1172799000</c:v>
                </c:pt>
                <c:pt idx="14">
                  <c:v>542109000</c:v>
                </c:pt>
                <c:pt idx="15">
                  <c:v>549972000</c:v>
                </c:pt>
                <c:pt idx="16">
                  <c:v>2019791000</c:v>
                </c:pt>
                <c:pt idx="17">
                  <c:v>2516158000</c:v>
                </c:pt>
                <c:pt idx="18">
                  <c:v>1454850000</c:v>
                </c:pt>
                <c:pt idx="19">
                  <c:v>689993000</c:v>
                </c:pt>
                <c:pt idx="20">
                  <c:v>752076000</c:v>
                </c:pt>
                <c:pt idx="21">
                  <c:v>1136459000</c:v>
                </c:pt>
                <c:pt idx="22">
                  <c:v>717437000</c:v>
                </c:pt>
                <c:pt idx="23">
                  <c:v>641615000</c:v>
                </c:pt>
                <c:pt idx="24">
                  <c:v>2315564000</c:v>
                </c:pt>
                <c:pt idx="25">
                  <c:v>985763000</c:v>
                </c:pt>
                <c:pt idx="26">
                  <c:v>3352638000</c:v>
                </c:pt>
                <c:pt idx="27">
                  <c:v>2339207000</c:v>
                </c:pt>
              </c:numCache>
            </c:numRef>
          </c:val>
          <c:smooth val="0"/>
          <c:extLst>
            <c:ext xmlns:c16="http://schemas.microsoft.com/office/drawing/2014/chart" uri="{C3380CC4-5D6E-409C-BE32-E72D297353CC}">
              <c16:uniqueId val="{00000001-1BB4-4931-858D-8B44B026BF70}"/>
            </c:ext>
          </c:extLst>
        </c:ser>
        <c:ser>
          <c:idx val="2"/>
          <c:order val="2"/>
          <c:tx>
            <c:strRef>
              <c:f>Sheet2!$M$3</c:f>
              <c:strCache>
                <c:ptCount val="1"/>
                <c:pt idx="0">
                  <c:v>Average of stock_daily_return_pct</c:v>
                </c:pt>
              </c:strCache>
            </c:strRef>
          </c:tx>
          <c:spPr>
            <a:ln w="28575" cap="rnd">
              <a:solidFill>
                <a:schemeClr val="accent3"/>
              </a:solidFill>
              <a:round/>
            </a:ln>
            <a:effectLst/>
          </c:spPr>
          <c:marker>
            <c:symbol val="none"/>
          </c:marker>
          <c:cat>
            <c:strRef>
              <c:f>Sheet2!$J$4:$J$32</c:f>
              <c:strCache>
                <c:ptCount val="28"/>
                <c:pt idx="0">
                  <c:v>Apr 2020</c:v>
                </c:pt>
                <c:pt idx="1">
                  <c:v>Apr 2025</c:v>
                </c:pt>
                <c:pt idx="2">
                  <c:v>Apr 2026</c:v>
                </c:pt>
                <c:pt idx="3">
                  <c:v>Aug 2020</c:v>
                </c:pt>
                <c:pt idx="4">
                  <c:v>Aug 2021</c:v>
                </c:pt>
                <c:pt idx="5">
                  <c:v>Aug 2024</c:v>
                </c:pt>
                <c:pt idx="6">
                  <c:v>Dec 2020</c:v>
                </c:pt>
                <c:pt idx="7">
                  <c:v>Feb 2019</c:v>
                </c:pt>
                <c:pt idx="8">
                  <c:v>Feb 2020</c:v>
                </c:pt>
                <c:pt idx="9">
                  <c:v>Jan 2019</c:v>
                </c:pt>
                <c:pt idx="10">
                  <c:v>Jan 2023</c:v>
                </c:pt>
                <c:pt idx="11">
                  <c:v>Jul 2020</c:v>
                </c:pt>
                <c:pt idx="12">
                  <c:v>Jul 2022</c:v>
                </c:pt>
                <c:pt idx="13">
                  <c:v>Jun 2020</c:v>
                </c:pt>
                <c:pt idx="14">
                  <c:v>Jun 2024</c:v>
                </c:pt>
                <c:pt idx="15">
                  <c:v>Jun 2025</c:v>
                </c:pt>
                <c:pt idx="16">
                  <c:v>Mar 2020</c:v>
                </c:pt>
                <c:pt idx="17">
                  <c:v>May 2022</c:v>
                </c:pt>
                <c:pt idx="18">
                  <c:v>May 2023</c:v>
                </c:pt>
                <c:pt idx="19">
                  <c:v>May 2024</c:v>
                </c:pt>
                <c:pt idx="20">
                  <c:v>May 2025</c:v>
                </c:pt>
                <c:pt idx="21">
                  <c:v>Nov 2019</c:v>
                </c:pt>
                <c:pt idx="22">
                  <c:v>Nov 2023</c:v>
                </c:pt>
                <c:pt idx="23">
                  <c:v>Nov 2024</c:v>
                </c:pt>
                <c:pt idx="24">
                  <c:v>Oct 2019</c:v>
                </c:pt>
                <c:pt idx="25">
                  <c:v>Oct 2021</c:v>
                </c:pt>
                <c:pt idx="26">
                  <c:v>Oct 2022</c:v>
                </c:pt>
                <c:pt idx="27">
                  <c:v>Sep 2022</c:v>
                </c:pt>
              </c:strCache>
            </c:strRef>
          </c:cat>
          <c:val>
            <c:numRef>
              <c:f>Sheet2!$M$4:$M$32</c:f>
              <c:numCache>
                <c:formatCode>0.00</c:formatCode>
                <c:ptCount val="28"/>
                <c:pt idx="0">
                  <c:v>0.31743333333333335</c:v>
                </c:pt>
                <c:pt idx="1">
                  <c:v>0.77486666666666659</c:v>
                </c:pt>
                <c:pt idx="2">
                  <c:v>0.22269230769230769</c:v>
                </c:pt>
                <c:pt idx="3">
                  <c:v>0.24377419354838709</c:v>
                </c:pt>
                <c:pt idx="4">
                  <c:v>0.32474193548387092</c:v>
                </c:pt>
                <c:pt idx="5">
                  <c:v>0.31780645161290316</c:v>
                </c:pt>
                <c:pt idx="6">
                  <c:v>0.3618709677419355</c:v>
                </c:pt>
                <c:pt idx="7">
                  <c:v>0.1968928571428572</c:v>
                </c:pt>
                <c:pt idx="8">
                  <c:v>0.34282758620689657</c:v>
                </c:pt>
                <c:pt idx="9">
                  <c:v>0.57196774193548394</c:v>
                </c:pt>
                <c:pt idx="10">
                  <c:v>0.46151612903225814</c:v>
                </c:pt>
                <c:pt idx="11">
                  <c:v>0.2490322580645162</c:v>
                </c:pt>
                <c:pt idx="12">
                  <c:v>0.96725806451612906</c:v>
                </c:pt>
                <c:pt idx="13">
                  <c:v>0.23280000000000001</c:v>
                </c:pt>
                <c:pt idx="14">
                  <c:v>0.19293333333333335</c:v>
                </c:pt>
                <c:pt idx="15">
                  <c:v>0.21506666666666668</c:v>
                </c:pt>
                <c:pt idx="16">
                  <c:v>0.2395483870967742</c:v>
                </c:pt>
                <c:pt idx="17">
                  <c:v>0.24825806451612906</c:v>
                </c:pt>
                <c:pt idx="18">
                  <c:v>0.42193548387096774</c:v>
                </c:pt>
                <c:pt idx="19">
                  <c:v>0.41580645161290325</c:v>
                </c:pt>
                <c:pt idx="20">
                  <c:v>0.39535483870967753</c:v>
                </c:pt>
                <c:pt idx="21">
                  <c:v>0.32876666666666665</c:v>
                </c:pt>
                <c:pt idx="22">
                  <c:v>0.31513333333333332</c:v>
                </c:pt>
                <c:pt idx="23">
                  <c:v>0.49619999999999997</c:v>
                </c:pt>
                <c:pt idx="24">
                  <c:v>0.24548387096774196</c:v>
                </c:pt>
                <c:pt idx="25">
                  <c:v>0.32151612903225807</c:v>
                </c:pt>
                <c:pt idx="26">
                  <c:v>0.31419354838709684</c:v>
                </c:pt>
                <c:pt idx="27">
                  <c:v>0.31286666666666663</c:v>
                </c:pt>
              </c:numCache>
            </c:numRef>
          </c:val>
          <c:smooth val="0"/>
          <c:extLst>
            <c:ext xmlns:c16="http://schemas.microsoft.com/office/drawing/2014/chart" uri="{C3380CC4-5D6E-409C-BE32-E72D297353CC}">
              <c16:uniqueId val="{00000002-1BB4-4931-858D-8B44B026BF70}"/>
            </c:ext>
          </c:extLst>
        </c:ser>
        <c:dLbls>
          <c:dLblPos val="t"/>
          <c:showLegendKey val="0"/>
          <c:showVal val="0"/>
          <c:showCatName val="0"/>
          <c:showSerName val="0"/>
          <c:showPercent val="0"/>
          <c:showBubbleSize val="0"/>
        </c:dLbls>
        <c:smooth val="0"/>
        <c:axId val="461165856"/>
        <c:axId val="459667663"/>
      </c:lineChart>
      <c:catAx>
        <c:axId val="461165856"/>
        <c:scaling>
          <c:orientation val="minMax"/>
        </c:scaling>
        <c:delete val="1"/>
        <c:axPos val="b"/>
        <c:numFmt formatCode="General" sourceLinked="1"/>
        <c:majorTickMark val="out"/>
        <c:minorTickMark val="none"/>
        <c:tickLblPos val="nextTo"/>
        <c:crossAx val="459667663"/>
        <c:crosses val="autoZero"/>
        <c:auto val="1"/>
        <c:lblAlgn val="ctr"/>
        <c:lblOffset val="100"/>
        <c:noMultiLvlLbl val="0"/>
      </c:catAx>
      <c:valAx>
        <c:axId val="459667663"/>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46116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(1).xlsx]Sheet2!PivotTable4</c:name>
    <c:fmtId val="4"/>
  </c:pivotSource>
  <c:chart>
    <c:title>
      <c:tx>
        <c:rich>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r>
              <a:rPr lang="en-IN"/>
              <a:t>Review Activity &amp; Customer Sentiment Trend</a:t>
            </a:r>
          </a:p>
        </c:rich>
      </c:tx>
      <c:overlay val="0"/>
      <c:spPr>
        <a:solidFill>
          <a:schemeClr val="tx1"/>
        </a:solidFill>
        <a:ln>
          <a:solidFill>
            <a:schemeClr val="bg1"/>
          </a:solidFill>
        </a:ln>
        <a:effectLst/>
      </c:spPr>
      <c:txPr>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endParaRPr lang="en-IN"/>
        </a:p>
      </c:txPr>
    </c:title>
    <c:autoTitleDeleted val="0"/>
    <c:pivotFmts>
      <c:pivotFmt>
        <c:idx val="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Sheet2!$S$3</c:f>
              <c:strCache>
                <c:ptCount val="1"/>
                <c:pt idx="0">
                  <c:v>Sum of reviews_count</c:v>
                </c:pt>
              </c:strCache>
            </c:strRef>
          </c:tx>
          <c:spPr>
            <a:solidFill>
              <a:srgbClr val="C00000"/>
            </a:solidFill>
            <a:ln>
              <a:noFill/>
            </a:ln>
            <a:effectLst/>
          </c:spPr>
          <c:invertIfNegative val="0"/>
          <c:cat>
            <c:strRef>
              <c:f>Sheet2!$R$4:$R$13</c:f>
              <c:strCache>
                <c:ptCount val="9"/>
                <c:pt idx="0">
                  <c:v>2018</c:v>
                </c:pt>
                <c:pt idx="1">
                  <c:v>2019</c:v>
                </c:pt>
                <c:pt idx="2">
                  <c:v>2020</c:v>
                </c:pt>
                <c:pt idx="3">
                  <c:v>2021</c:v>
                </c:pt>
                <c:pt idx="4">
                  <c:v>2022</c:v>
                </c:pt>
                <c:pt idx="5">
                  <c:v>2023</c:v>
                </c:pt>
                <c:pt idx="6">
                  <c:v>2024</c:v>
                </c:pt>
                <c:pt idx="7">
                  <c:v>2025</c:v>
                </c:pt>
                <c:pt idx="8">
                  <c:v>2026</c:v>
                </c:pt>
              </c:strCache>
            </c:strRef>
          </c:cat>
          <c:val>
            <c:numRef>
              <c:f>Sheet2!$S$4:$S$13</c:f>
              <c:numCache>
                <c:formatCode>General</c:formatCode>
                <c:ptCount val="9"/>
                <c:pt idx="0">
                  <c:v>4802</c:v>
                </c:pt>
                <c:pt idx="1">
                  <c:v>16879</c:v>
                </c:pt>
                <c:pt idx="2">
                  <c:v>28569</c:v>
                </c:pt>
                <c:pt idx="3">
                  <c:v>17737</c:v>
                </c:pt>
                <c:pt idx="4">
                  <c:v>15125</c:v>
                </c:pt>
                <c:pt idx="5">
                  <c:v>12853</c:v>
                </c:pt>
                <c:pt idx="6">
                  <c:v>27554</c:v>
                </c:pt>
                <c:pt idx="7">
                  <c:v>21123</c:v>
                </c:pt>
                <c:pt idx="8">
                  <c:v>6951</c:v>
                </c:pt>
              </c:numCache>
            </c:numRef>
          </c:val>
          <c:extLst>
            <c:ext xmlns:c16="http://schemas.microsoft.com/office/drawing/2014/chart" uri="{C3380CC4-5D6E-409C-BE32-E72D297353CC}">
              <c16:uniqueId val="{00000000-B28C-4F02-B086-F77B9D0DCFEE}"/>
            </c:ext>
          </c:extLst>
        </c:ser>
        <c:ser>
          <c:idx val="1"/>
          <c:order val="1"/>
          <c:tx>
            <c:strRef>
              <c:f>Sheet2!$T$3</c:f>
              <c:strCache>
                <c:ptCount val="1"/>
                <c:pt idx="0">
                  <c:v>Average of reviews_avg_rating</c:v>
                </c:pt>
              </c:strCache>
            </c:strRef>
          </c:tx>
          <c:spPr>
            <a:solidFill>
              <a:schemeClr val="accent2">
                <a:alpha val="70000"/>
              </a:schemeClr>
            </a:solidFill>
            <a:ln>
              <a:noFill/>
            </a:ln>
            <a:effectLst/>
          </c:spPr>
          <c:invertIfNegative val="0"/>
          <c:cat>
            <c:strRef>
              <c:f>Sheet2!$R$4:$R$13</c:f>
              <c:strCache>
                <c:ptCount val="9"/>
                <c:pt idx="0">
                  <c:v>2018</c:v>
                </c:pt>
                <c:pt idx="1">
                  <c:v>2019</c:v>
                </c:pt>
                <c:pt idx="2">
                  <c:v>2020</c:v>
                </c:pt>
                <c:pt idx="3">
                  <c:v>2021</c:v>
                </c:pt>
                <c:pt idx="4">
                  <c:v>2022</c:v>
                </c:pt>
                <c:pt idx="5">
                  <c:v>2023</c:v>
                </c:pt>
                <c:pt idx="6">
                  <c:v>2024</c:v>
                </c:pt>
                <c:pt idx="7">
                  <c:v>2025</c:v>
                </c:pt>
                <c:pt idx="8">
                  <c:v>2026</c:v>
                </c:pt>
              </c:strCache>
            </c:strRef>
          </c:cat>
          <c:val>
            <c:numRef>
              <c:f>Sheet2!$T$4:$T$13</c:f>
              <c:numCache>
                <c:formatCode>General</c:formatCode>
                <c:ptCount val="9"/>
                <c:pt idx="0">
                  <c:v>3.2649549549549541</c:v>
                </c:pt>
                <c:pt idx="1">
                  <c:v>3.0991232876712318</c:v>
                </c:pt>
                <c:pt idx="2">
                  <c:v>3.1349180327868873</c:v>
                </c:pt>
                <c:pt idx="3">
                  <c:v>2.7819726027397245</c:v>
                </c:pt>
                <c:pt idx="4">
                  <c:v>2.7008493150684925</c:v>
                </c:pt>
                <c:pt idx="5">
                  <c:v>2.2382739726027387</c:v>
                </c:pt>
                <c:pt idx="6">
                  <c:v>2.6782666666666661</c:v>
                </c:pt>
                <c:pt idx="7">
                  <c:v>3.0745569620253166</c:v>
                </c:pt>
                <c:pt idx="8">
                  <c:v>3.1953153153153155</c:v>
                </c:pt>
              </c:numCache>
            </c:numRef>
          </c:val>
          <c:extLst>
            <c:ext xmlns:c16="http://schemas.microsoft.com/office/drawing/2014/chart" uri="{C3380CC4-5D6E-409C-BE32-E72D297353CC}">
              <c16:uniqueId val="{00000001-B28C-4F02-B086-F77B9D0DCFEE}"/>
            </c:ext>
          </c:extLst>
        </c:ser>
        <c:ser>
          <c:idx val="2"/>
          <c:order val="2"/>
          <c:tx>
            <c:strRef>
              <c:f>Sheet2!$U$3</c:f>
              <c:strCache>
                <c:ptCount val="1"/>
                <c:pt idx="0">
                  <c:v>Average of reviews_sentiment_score</c:v>
                </c:pt>
              </c:strCache>
            </c:strRef>
          </c:tx>
          <c:spPr>
            <a:solidFill>
              <a:schemeClr val="accent3">
                <a:alpha val="70000"/>
              </a:schemeClr>
            </a:solidFill>
            <a:ln>
              <a:noFill/>
            </a:ln>
            <a:effectLst/>
          </c:spPr>
          <c:invertIfNegative val="0"/>
          <c:cat>
            <c:strRef>
              <c:f>Sheet2!$R$4:$R$13</c:f>
              <c:strCache>
                <c:ptCount val="9"/>
                <c:pt idx="0">
                  <c:v>2018</c:v>
                </c:pt>
                <c:pt idx="1">
                  <c:v>2019</c:v>
                </c:pt>
                <c:pt idx="2">
                  <c:v>2020</c:v>
                </c:pt>
                <c:pt idx="3">
                  <c:v>2021</c:v>
                </c:pt>
                <c:pt idx="4">
                  <c:v>2022</c:v>
                </c:pt>
                <c:pt idx="5">
                  <c:v>2023</c:v>
                </c:pt>
                <c:pt idx="6">
                  <c:v>2024</c:v>
                </c:pt>
                <c:pt idx="7">
                  <c:v>2025</c:v>
                </c:pt>
                <c:pt idx="8">
                  <c:v>2026</c:v>
                </c:pt>
              </c:strCache>
            </c:strRef>
          </c:cat>
          <c:val>
            <c:numRef>
              <c:f>Sheet2!$U$4:$U$13</c:f>
              <c:numCache>
                <c:formatCode>General</c:formatCode>
                <c:ptCount val="9"/>
                <c:pt idx="0">
                  <c:v>0.27565495495495485</c:v>
                </c:pt>
                <c:pt idx="1">
                  <c:v>0.27451095890410965</c:v>
                </c:pt>
                <c:pt idx="2">
                  <c:v>0.27188497267759587</c:v>
                </c:pt>
                <c:pt idx="3">
                  <c:v>0.19635342465753428</c:v>
                </c:pt>
                <c:pt idx="4">
                  <c:v>0.17230082191780821</c:v>
                </c:pt>
                <c:pt idx="5">
                  <c:v>8.2340547945205497E-2</c:v>
                </c:pt>
                <c:pt idx="6">
                  <c:v>9.6703666666666674E-2</c:v>
                </c:pt>
                <c:pt idx="7">
                  <c:v>0.14958354430379739</c:v>
                </c:pt>
                <c:pt idx="8">
                  <c:v>0.19098288288288295</c:v>
                </c:pt>
              </c:numCache>
            </c:numRef>
          </c:val>
          <c:extLst>
            <c:ext xmlns:c16="http://schemas.microsoft.com/office/drawing/2014/chart" uri="{C3380CC4-5D6E-409C-BE32-E72D297353CC}">
              <c16:uniqueId val="{00000002-B28C-4F02-B086-F77B9D0DCFEE}"/>
            </c:ext>
          </c:extLst>
        </c:ser>
        <c:dLbls>
          <c:showLegendKey val="0"/>
          <c:showVal val="0"/>
          <c:showCatName val="0"/>
          <c:showSerName val="0"/>
          <c:showPercent val="0"/>
          <c:showBubbleSize val="0"/>
        </c:dLbls>
        <c:gapWidth val="80"/>
        <c:overlap val="25"/>
        <c:axId val="681182368"/>
        <c:axId val="459549103"/>
      </c:barChart>
      <c:catAx>
        <c:axId val="68118236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mn-lt"/>
                <a:ea typeface="+mn-ea"/>
                <a:cs typeface="+mn-cs"/>
              </a:defRPr>
            </a:pPr>
            <a:endParaRPr lang="en-US"/>
          </a:p>
        </c:txPr>
        <c:crossAx val="459549103"/>
        <c:crosses val="autoZero"/>
        <c:auto val="1"/>
        <c:lblAlgn val="ctr"/>
        <c:lblOffset val="100"/>
        <c:noMultiLvlLbl val="0"/>
      </c:catAx>
      <c:valAx>
        <c:axId val="4595491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68118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(1).xlsx]Sheet2!PivotTable5</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Customer Sentiment Distribution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5033207064494"/>
          <c:y val="0.14898568360773087"/>
          <c:w val="0.75608205834604225"/>
          <c:h val="0.73452397995705088"/>
        </c:manualLayout>
      </c:layout>
      <c:barChart>
        <c:barDir val="bar"/>
        <c:grouping val="clustered"/>
        <c:varyColors val="0"/>
        <c:ser>
          <c:idx val="0"/>
          <c:order val="0"/>
          <c:tx>
            <c:strRef>
              <c:f>Sheet2!$R$27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Sheet2!$Q$28:$Q$31</c:f>
              <c:strCache>
                <c:ptCount val="3"/>
                <c:pt idx="0">
                  <c:v>Negative</c:v>
                </c:pt>
                <c:pt idx="1">
                  <c:v>Neutral</c:v>
                </c:pt>
                <c:pt idx="2">
                  <c:v>Positive</c:v>
                </c:pt>
              </c:strCache>
            </c:strRef>
          </c:cat>
          <c:val>
            <c:numRef>
              <c:f>Sheet2!$R$28:$R$31</c:f>
              <c:numCache>
                <c:formatCode>General</c:formatCode>
                <c:ptCount val="3"/>
                <c:pt idx="0">
                  <c:v>43</c:v>
                </c:pt>
                <c:pt idx="1">
                  <c:v>666</c:v>
                </c:pt>
                <c:pt idx="2">
                  <c:v>2071</c:v>
                </c:pt>
              </c:numCache>
            </c:numRef>
          </c:val>
          <c:extLst>
            <c:ext xmlns:c16="http://schemas.microsoft.com/office/drawing/2014/chart" uri="{C3380CC4-5D6E-409C-BE32-E72D297353CC}">
              <c16:uniqueId val="{00000000-137E-4FD0-9C71-09CD909F2D01}"/>
            </c:ext>
          </c:extLst>
        </c:ser>
        <c:dLbls>
          <c:dLblPos val="outEnd"/>
          <c:showLegendKey val="0"/>
          <c:showVal val="1"/>
          <c:showCatName val="0"/>
          <c:showSerName val="0"/>
          <c:showPercent val="0"/>
          <c:showBubbleSize val="0"/>
        </c:dLbls>
        <c:gapWidth val="219"/>
        <c:axId val="681232480"/>
        <c:axId val="459598063"/>
      </c:barChart>
      <c:catAx>
        <c:axId val="68123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9598063"/>
        <c:crosses val="autoZero"/>
        <c:auto val="1"/>
        <c:lblAlgn val="ctr"/>
        <c:lblOffset val="100"/>
        <c:noMultiLvlLbl val="0"/>
      </c:catAx>
      <c:valAx>
        <c:axId val="459598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1232480"/>
        <c:crosses val="autoZero"/>
        <c:crossBetween val="between"/>
      </c:valAx>
      <c:spPr>
        <a:no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4141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[netflix_daily_master (1).xlsx]Sheet2!PivotTable7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Reviews vs Stock Performance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pivotFmt>
      <c:pivotFmt>
        <c:idx val="4"/>
        <c:spPr>
          <a:solidFill>
            <a:schemeClr val="accent2">
              <a:lumMod val="75000"/>
            </a:schemeClr>
          </a:solidFill>
          <a:ln>
            <a:noFill/>
          </a:ln>
          <a:effectLst/>
        </c:spPr>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Sheet2!$X$3</c:f>
              <c:strCache>
                <c:ptCount val="1"/>
                <c:pt idx="0">
                  <c:v>Average of stock_close</c:v>
                </c:pt>
              </c:strCache>
            </c:strRef>
          </c:tx>
          <c:spPr>
            <a:solidFill>
              <a:srgbClr val="C00000"/>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Sheet2!$X$4:$X$13</c:f>
              <c:numCache>
                <c:formatCode>0.0</c:formatCode>
                <c:ptCount val="9"/>
                <c:pt idx="0">
                  <c:v>30.822522522522529</c:v>
                </c:pt>
                <c:pt idx="1">
                  <c:v>32.903945205479445</c:v>
                </c:pt>
                <c:pt idx="2">
                  <c:v>44.531065573770483</c:v>
                </c:pt>
                <c:pt idx="3">
                  <c:v>55.820739726027355</c:v>
                </c:pt>
                <c:pt idx="4">
                  <c:v>28.570136986301371</c:v>
                </c:pt>
                <c:pt idx="5">
                  <c:v>39.046958904109594</c:v>
                </c:pt>
                <c:pt idx="6">
                  <c:v>67.18959016393444</c:v>
                </c:pt>
                <c:pt idx="7">
                  <c:v>109.44542465753419</c:v>
                </c:pt>
                <c:pt idx="8">
                  <c:v>88.393482142857152</c:v>
                </c:pt>
              </c:numCache>
            </c:numRef>
          </c:val>
          <c:extLst>
            <c:ext xmlns:c16="http://schemas.microsoft.com/office/drawing/2014/chart" uri="{C3380CC4-5D6E-409C-BE32-E72D297353CC}">
              <c16:uniqueId val="{00000000-50CB-4F9C-88E8-1E22A64D54EE}"/>
            </c:ext>
          </c:extLst>
        </c:ser>
        <c:ser>
          <c:idx val="1"/>
          <c:order val="1"/>
          <c:tx>
            <c:strRef>
              <c:f>Sheet2!$Y$3</c:f>
              <c:strCache>
                <c:ptCount val="1"/>
                <c:pt idx="0">
                  <c:v>Count of reviews_avg_rating</c:v>
                </c:pt>
              </c:strCache>
            </c:strRef>
          </c:tx>
          <c:spPr>
            <a:solidFill>
              <a:schemeClr val="accent2"/>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Sheet2!$Y$4:$Y$13</c:f>
              <c:numCache>
                <c:formatCode>General</c:formatCode>
                <c:ptCount val="9"/>
                <c:pt idx="0">
                  <c:v>111</c:v>
                </c:pt>
                <c:pt idx="1">
                  <c:v>365</c:v>
                </c:pt>
                <c:pt idx="2">
                  <c:v>366</c:v>
                </c:pt>
                <c:pt idx="3">
                  <c:v>365</c:v>
                </c:pt>
                <c:pt idx="4">
                  <c:v>365</c:v>
                </c:pt>
                <c:pt idx="5">
                  <c:v>365</c:v>
                </c:pt>
                <c:pt idx="6">
                  <c:v>300</c:v>
                </c:pt>
                <c:pt idx="7">
                  <c:v>316</c:v>
                </c:pt>
                <c:pt idx="8">
                  <c:v>111</c:v>
                </c:pt>
              </c:numCache>
            </c:numRef>
          </c:val>
          <c:extLst>
            <c:ext xmlns:c16="http://schemas.microsoft.com/office/drawing/2014/chart" uri="{C3380CC4-5D6E-409C-BE32-E72D297353CC}">
              <c16:uniqueId val="{00000001-50CB-4F9C-88E8-1E22A64D54EE}"/>
            </c:ext>
          </c:extLst>
        </c:ser>
        <c:ser>
          <c:idx val="2"/>
          <c:order val="2"/>
          <c:tx>
            <c:strRef>
              <c:f>Sheet2!$Z$3</c:f>
              <c:strCache>
                <c:ptCount val="1"/>
                <c:pt idx="0">
                  <c:v>Sum of reviews_sentiment_score</c:v>
                </c:pt>
              </c:strCache>
            </c:strRef>
          </c:tx>
          <c:spPr>
            <a:solidFill>
              <a:srgbClr val="FF0000"/>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Sheet2!$Z$4:$Z$13</c:f>
              <c:numCache>
                <c:formatCode>0.0</c:formatCode>
                <c:ptCount val="9"/>
                <c:pt idx="0">
                  <c:v>30.597699999999989</c:v>
                </c:pt>
                <c:pt idx="1">
                  <c:v>100.19650000000001</c:v>
                </c:pt>
                <c:pt idx="2">
                  <c:v>99.509900000000087</c:v>
                </c:pt>
                <c:pt idx="3">
                  <c:v>71.669000000000011</c:v>
                </c:pt>
                <c:pt idx="4">
                  <c:v>62.889800000000001</c:v>
                </c:pt>
                <c:pt idx="5">
                  <c:v>30.054300000000005</c:v>
                </c:pt>
                <c:pt idx="6">
                  <c:v>29.011100000000003</c:v>
                </c:pt>
                <c:pt idx="7">
                  <c:v>47.268399999999978</c:v>
                </c:pt>
                <c:pt idx="8">
                  <c:v>21.199100000000008</c:v>
                </c:pt>
              </c:numCache>
            </c:numRef>
          </c:val>
          <c:extLst>
            <c:ext xmlns:c16="http://schemas.microsoft.com/office/drawing/2014/chart" uri="{C3380CC4-5D6E-409C-BE32-E72D297353CC}">
              <c16:uniqueId val="{00000002-50CB-4F9C-88E8-1E22A64D54EE}"/>
            </c:ext>
          </c:extLst>
        </c:ser>
        <c:ser>
          <c:idx val="3"/>
          <c:order val="3"/>
          <c:tx>
            <c:strRef>
              <c:f>Sheet2!$AA$3</c:f>
              <c:strCache>
                <c:ptCount val="1"/>
                <c:pt idx="0">
                  <c:v>Count of reviews_count</c:v>
                </c:pt>
              </c:strCache>
            </c:strRef>
          </c:tx>
          <c:spPr>
            <a:solidFill>
              <a:schemeClr val="accent2">
                <a:lumMod val="75000"/>
              </a:schemeClr>
            </a:solidFill>
            <a:ln>
              <a:noFill/>
            </a:ln>
            <a:effectLst/>
          </c:spPr>
          <c:invertIfNegative val="0"/>
          <c:cat>
            <c:strRef>
              <c:f>Sheet2!$W$4:$W$13</c:f>
              <c:strCache>
                <c:ptCount val="9"/>
                <c:pt idx="0">
                  <c:v>2018</c:v>
                </c:pt>
                <c:pt idx="1">
                  <c:v>2019</c:v>
                </c:pt>
                <c:pt idx="2">
                  <c:v>2020</c:v>
                </c:pt>
                <c:pt idx="3">
                  <c:v>2021</c:v>
                </c:pt>
                <c:pt idx="4">
                  <c:v>2022</c:v>
                </c:pt>
                <c:pt idx="5">
                  <c:v>2023</c:v>
                </c:pt>
                <c:pt idx="6">
                  <c:v>2024</c:v>
                </c:pt>
                <c:pt idx="7">
                  <c:v>2025</c:v>
                </c:pt>
                <c:pt idx="8">
                  <c:v>2026</c:v>
                </c:pt>
              </c:strCache>
            </c:strRef>
          </c:cat>
          <c:val>
            <c:numRef>
              <c:f>Sheet2!$AA$4:$AA$13</c:f>
              <c:numCache>
                <c:formatCode>General</c:formatCode>
                <c:ptCount val="9"/>
                <c:pt idx="0">
                  <c:v>111</c:v>
                </c:pt>
                <c:pt idx="1">
                  <c:v>365</c:v>
                </c:pt>
                <c:pt idx="2">
                  <c:v>366</c:v>
                </c:pt>
                <c:pt idx="3">
                  <c:v>365</c:v>
                </c:pt>
                <c:pt idx="4">
                  <c:v>365</c:v>
                </c:pt>
                <c:pt idx="5">
                  <c:v>365</c:v>
                </c:pt>
                <c:pt idx="6">
                  <c:v>366</c:v>
                </c:pt>
                <c:pt idx="7">
                  <c:v>365</c:v>
                </c:pt>
                <c:pt idx="8">
                  <c:v>112</c:v>
                </c:pt>
              </c:numCache>
            </c:numRef>
          </c:val>
          <c:extLst>
            <c:ext xmlns:c16="http://schemas.microsoft.com/office/drawing/2014/chart" uri="{C3380CC4-5D6E-409C-BE32-E72D297353CC}">
              <c16:uniqueId val="{00000003-50CB-4F9C-88E8-1E22A64D54EE}"/>
            </c:ext>
          </c:extLst>
        </c:ser>
        <c:dLbls>
          <c:showLegendKey val="0"/>
          <c:showVal val="0"/>
          <c:showCatName val="0"/>
          <c:showSerName val="0"/>
          <c:showPercent val="0"/>
          <c:showBubbleSize val="0"/>
        </c:dLbls>
        <c:gapWidth val="219"/>
        <c:overlap val="100"/>
        <c:axId val="618720336"/>
        <c:axId val="622279536"/>
      </c:barChart>
      <c:catAx>
        <c:axId val="61872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2279536"/>
        <c:crosses val="autoZero"/>
        <c:auto val="1"/>
        <c:lblAlgn val="ctr"/>
        <c:lblOffset val="100"/>
        <c:noMultiLvlLbl val="0"/>
      </c:catAx>
      <c:valAx>
        <c:axId val="622279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872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7620</xdr:rowOff>
    </xdr:from>
    <xdr:to>
      <xdr:col>8</xdr:col>
      <xdr:colOff>129540</xdr:colOff>
      <xdr:row>14</xdr:row>
      <xdr:rowOff>144780</xdr:rowOff>
    </xdr:to>
    <xdr:graphicFrame macro="">
      <xdr:nvGraphicFramePr>
        <xdr:cNvPr id="2" name="Chart 1">
          <a:extLst>
            <a:ext uri="{FF2B5EF4-FFF2-40B4-BE49-F238E27FC236}">
              <a16:creationId xmlns:a16="http://schemas.microsoft.com/office/drawing/2014/main" id="{4E95C71F-387E-0F7B-F7EC-DB35E3FFF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411486</xdr:colOff>
      <xdr:row>15</xdr:row>
      <xdr:rowOff>72390</xdr:rowOff>
    </xdr:from>
    <xdr:to>
      <xdr:col>8</xdr:col>
      <xdr:colOff>137160</xdr:colOff>
      <xdr:row>30</xdr:row>
      <xdr:rowOff>72390</xdr:rowOff>
    </xdr:to>
    <xdr:graphicFrame macro="">
      <xdr:nvGraphicFramePr>
        <xdr:cNvPr id="3" name="Chart 2">
          <a:extLst>
            <a:ext uri="{FF2B5EF4-FFF2-40B4-BE49-F238E27FC236}">
              <a16:creationId xmlns:a16="http://schemas.microsoft.com/office/drawing/2014/main" id="{9B0AA2B4-BDB8-A232-F285-F8D0B02BC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129540</xdr:colOff>
      <xdr:row>8</xdr:row>
      <xdr:rowOff>15240</xdr:rowOff>
    </xdr:from>
    <xdr:to>
      <xdr:col>17</xdr:col>
      <xdr:colOff>30480</xdr:colOff>
      <xdr:row>18</xdr:row>
      <xdr:rowOff>144780</xdr:rowOff>
    </xdr:to>
    <xdr:graphicFrame macro="">
      <xdr:nvGraphicFramePr>
        <xdr:cNvPr id="4" name="Chart 3">
          <a:extLst>
            <a:ext uri="{FF2B5EF4-FFF2-40B4-BE49-F238E27FC236}">
              <a16:creationId xmlns:a16="http://schemas.microsoft.com/office/drawing/2014/main" id="{34DBC24F-86BD-6230-E407-ED8A9A1AE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304806</xdr:colOff>
      <xdr:row>14</xdr:row>
      <xdr:rowOff>26670</xdr:rowOff>
    </xdr:from>
    <xdr:to>
      <xdr:col>20</xdr:col>
      <xdr:colOff>1638300</xdr:colOff>
      <xdr:row>24</xdr:row>
      <xdr:rowOff>22860</xdr:rowOff>
    </xdr:to>
    <xdr:graphicFrame macro="">
      <xdr:nvGraphicFramePr>
        <xdr:cNvPr id="5" name="Chart 4">
          <a:extLst>
            <a:ext uri="{FF2B5EF4-FFF2-40B4-BE49-F238E27FC236}">
              <a16:creationId xmlns:a16="http://schemas.microsoft.com/office/drawing/2014/main" id="{B37F3DA6-7242-74DF-C9F5-99C00C795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129540</xdr:colOff>
      <xdr:row>31</xdr:row>
      <xdr:rowOff>95250</xdr:rowOff>
    </xdr:from>
    <xdr:to>
      <xdr:col>18</xdr:col>
      <xdr:colOff>899160</xdr:colOff>
      <xdr:row>46</xdr:row>
      <xdr:rowOff>95250</xdr:rowOff>
    </xdr:to>
    <xdr:graphicFrame macro="">
      <xdr:nvGraphicFramePr>
        <xdr:cNvPr id="6" name="Chart 5">
          <a:extLst>
            <a:ext uri="{FF2B5EF4-FFF2-40B4-BE49-F238E27FC236}">
              <a16:creationId xmlns:a16="http://schemas.microsoft.com/office/drawing/2014/main" id="{F64D0C00-4E64-C713-1650-2D37F57FA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129540</xdr:colOff>
      <xdr:row>13</xdr:row>
      <xdr:rowOff>87630</xdr:rowOff>
    </xdr:from>
    <xdr:to>
      <xdr:col>25</xdr:col>
      <xdr:colOff>1813560</xdr:colOff>
      <xdr:row>28</xdr:row>
      <xdr:rowOff>87630</xdr:rowOff>
    </xdr:to>
    <xdr:graphicFrame macro="">
      <xdr:nvGraphicFramePr>
        <xdr:cNvPr id="8" name="Chart 7">
          <a:extLst>
            <a:ext uri="{FF2B5EF4-FFF2-40B4-BE49-F238E27FC236}">
              <a16:creationId xmlns:a16="http://schemas.microsoft.com/office/drawing/2014/main" id="{19697A7C-EEFE-A4F1-ADCE-FC09B96F9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548640</xdr:colOff>
      <xdr:row>35</xdr:row>
      <xdr:rowOff>41910</xdr:rowOff>
    </xdr:from>
    <xdr:to>
      <xdr:col>26</xdr:col>
      <xdr:colOff>441960</xdr:colOff>
      <xdr:row>50</xdr:row>
      <xdr:rowOff>41910</xdr:rowOff>
    </xdr:to>
    <xdr:graphicFrame macro="">
      <xdr:nvGraphicFramePr>
        <xdr:cNvPr id="9" name="Chart 8">
          <a:extLst>
            <a:ext uri="{FF2B5EF4-FFF2-40B4-BE49-F238E27FC236}">
              <a16:creationId xmlns:a16="http://schemas.microsoft.com/office/drawing/2014/main" id="{0CBE7707-9502-97AA-945E-7F41E82A9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33130</xdr:rowOff>
    </xdr:from>
    <xdr:to>
      <xdr:col>34</xdr:col>
      <xdr:colOff>205408</xdr:colOff>
      <xdr:row>52</xdr:row>
      <xdr:rowOff>33130</xdr:rowOff>
    </xdr:to>
    <xdr:sp macro="" textlink="">
      <xdr:nvSpPr>
        <xdr:cNvPr id="2" name="Rectangle 1">
          <a:extLst>
            <a:ext uri="{FF2B5EF4-FFF2-40B4-BE49-F238E27FC236}">
              <a16:creationId xmlns:a16="http://schemas.microsoft.com/office/drawing/2014/main" id="{380E7AB2-C99B-5D85-75DA-893A440097D8}"/>
            </a:ext>
          </a:extLst>
        </xdr:cNvPr>
        <xdr:cNvSpPr/>
      </xdr:nvSpPr>
      <xdr:spPr>
        <a:xfrm>
          <a:off x="0" y="1159565"/>
          <a:ext cx="20856712" cy="8636000"/>
        </a:xfrm>
        <a:prstGeom prst="rect">
          <a:avLst/>
        </a:prstGeom>
        <a:solidFill>
          <a:srgbClr val="1414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50799</xdr:colOff>
      <xdr:row>0</xdr:row>
      <xdr:rowOff>59266</xdr:rowOff>
    </xdr:from>
    <xdr:to>
      <xdr:col>34</xdr:col>
      <xdr:colOff>166687</xdr:colOff>
      <xdr:row>6</xdr:row>
      <xdr:rowOff>77304</xdr:rowOff>
    </xdr:to>
    <xdr:sp macro="" textlink="">
      <xdr:nvSpPr>
        <xdr:cNvPr id="5" name="Rectangle 4">
          <a:extLst>
            <a:ext uri="{FF2B5EF4-FFF2-40B4-BE49-F238E27FC236}">
              <a16:creationId xmlns:a16="http://schemas.microsoft.com/office/drawing/2014/main" id="{0D6A0199-3FAE-7967-6048-8552CA2B1388}"/>
            </a:ext>
          </a:extLst>
        </xdr:cNvPr>
        <xdr:cNvSpPr/>
      </xdr:nvSpPr>
      <xdr:spPr>
        <a:xfrm>
          <a:off x="50799" y="59266"/>
          <a:ext cx="20761326" cy="1089601"/>
        </a:xfrm>
        <a:prstGeom prst="rect">
          <a:avLst/>
        </a:prstGeom>
        <a:solidFill>
          <a:srgbClr val="141414"/>
        </a:solidFill>
        <a:ln>
          <a:solidFill>
            <a:schemeClr val="bg1"/>
          </a:solidFill>
        </a:ln>
        <a:effectLst>
          <a:outerShdw blurRad="50800" dist="50800" dir="5400000" algn="ctr" rotWithShape="0">
            <a:schemeClr val="bg1"/>
          </a:outerShdw>
        </a:effectLst>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2117</xdr:colOff>
      <xdr:row>6</xdr:row>
      <xdr:rowOff>71436</xdr:rowOff>
    </xdr:from>
    <xdr:to>
      <xdr:col>2</xdr:col>
      <xdr:colOff>273843</xdr:colOff>
      <xdr:row>52</xdr:row>
      <xdr:rowOff>11905</xdr:rowOff>
    </xdr:to>
    <xdr:sp macro="" textlink="">
      <xdr:nvSpPr>
        <xdr:cNvPr id="6" name="Rectangle 5">
          <a:extLst>
            <a:ext uri="{FF2B5EF4-FFF2-40B4-BE49-F238E27FC236}">
              <a16:creationId xmlns:a16="http://schemas.microsoft.com/office/drawing/2014/main" id="{36040ABE-9B82-9878-A25B-223AF4514CE7}"/>
            </a:ext>
          </a:extLst>
        </xdr:cNvPr>
        <xdr:cNvSpPr/>
      </xdr:nvSpPr>
      <xdr:spPr>
        <a:xfrm>
          <a:off x="2117" y="1142999"/>
          <a:ext cx="1486164" cy="8155781"/>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105833</xdr:colOff>
      <xdr:row>0</xdr:row>
      <xdr:rowOff>133233</xdr:rowOff>
    </xdr:from>
    <xdr:to>
      <xdr:col>4</xdr:col>
      <xdr:colOff>544286</xdr:colOff>
      <xdr:row>6</xdr:row>
      <xdr:rowOff>33679</xdr:rowOff>
    </xdr:to>
    <xdr:pic>
      <xdr:nvPicPr>
        <xdr:cNvPr id="16" name="Picture 15">
          <a:extLst>
            <a:ext uri="{FF2B5EF4-FFF2-40B4-BE49-F238E27FC236}">
              <a16:creationId xmlns:a16="http://schemas.microsoft.com/office/drawing/2014/main" id="{427D857C-7398-29F8-99BC-2D1DF4F55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33" y="133233"/>
          <a:ext cx="2867328" cy="972009"/>
        </a:xfrm>
        <a:prstGeom prst="rect">
          <a:avLst/>
        </a:prstGeom>
      </xdr:spPr>
    </xdr:pic>
    <xdr:clientData/>
  </xdr:twoCellAnchor>
  <xdr:twoCellAnchor>
    <xdr:from>
      <xdr:col>5</xdr:col>
      <xdr:colOff>226218</xdr:colOff>
      <xdr:row>1</xdr:row>
      <xdr:rowOff>71437</xdr:rowOff>
    </xdr:from>
    <xdr:to>
      <xdr:col>21</xdr:col>
      <xdr:colOff>285749</xdr:colOff>
      <xdr:row>5</xdr:row>
      <xdr:rowOff>119743</xdr:rowOff>
    </xdr:to>
    <xdr:sp macro="" textlink="">
      <xdr:nvSpPr>
        <xdr:cNvPr id="1025" name="Text Box 1">
          <a:extLst>
            <a:ext uri="{FF2B5EF4-FFF2-40B4-BE49-F238E27FC236}">
              <a16:creationId xmlns:a16="http://schemas.microsoft.com/office/drawing/2014/main" id="{F6E4D820-8789-26F8-341C-E2BE11313D80}"/>
            </a:ext>
          </a:extLst>
        </xdr:cNvPr>
        <xdr:cNvSpPr txBox="1">
          <a:spLocks noChangeArrowheads="1"/>
        </xdr:cNvSpPr>
      </xdr:nvSpPr>
      <xdr:spPr bwMode="auto">
        <a:xfrm>
          <a:off x="3262312" y="250031"/>
          <a:ext cx="9775031" cy="762681"/>
        </a:xfrm>
        <a:prstGeom prst="rect">
          <a:avLst/>
        </a:prstGeom>
        <a:solidFill>
          <a:schemeClr val="tx1"/>
        </a:solidFill>
        <a:ln w="9525">
          <a:solidFill>
            <a:srgbClr val="000000"/>
          </a:solidFill>
          <a:miter lim="800000"/>
          <a:headEnd/>
          <a:tailEnd/>
        </a:ln>
      </xdr:spPr>
      <xdr:txBody>
        <a:bodyPr vertOverflow="clip" wrap="square" lIns="27432" tIns="22860" rIns="0" bIns="0" anchor="ctr" upright="1"/>
        <a:lstStyle/>
        <a:p>
          <a:pPr algn="l" rtl="0">
            <a:defRPr sz="1000"/>
          </a:pPr>
          <a:r>
            <a:rPr lang="en-IN" sz="3600" b="1" i="0" u="none" strike="noStrike" baseline="0">
              <a:solidFill>
                <a:schemeClr val="bg1"/>
              </a:solidFill>
              <a:latin typeface="Calibri"/>
              <a:ea typeface="Calibri"/>
              <a:cs typeface="Calibri"/>
            </a:rPr>
            <a:t>PERFORMANCE &amp; INSIGHTS DASHBOARD</a:t>
          </a:r>
        </a:p>
      </xdr:txBody>
    </xdr:sp>
    <xdr:clientData/>
  </xdr:twoCellAnchor>
  <xdr:twoCellAnchor>
    <xdr:from>
      <xdr:col>2</xdr:col>
      <xdr:colOff>370114</xdr:colOff>
      <xdr:row>7</xdr:row>
      <xdr:rowOff>64839</xdr:rowOff>
    </xdr:from>
    <xdr:to>
      <xdr:col>6</xdr:col>
      <xdr:colOff>370114</xdr:colOff>
      <xdr:row>16</xdr:row>
      <xdr:rowOff>0</xdr:rowOff>
    </xdr:to>
    <xdr:sp macro="" textlink="">
      <xdr:nvSpPr>
        <xdr:cNvPr id="20" name="Rectangle: Rounded Corners 19">
          <a:extLst>
            <a:ext uri="{FF2B5EF4-FFF2-40B4-BE49-F238E27FC236}">
              <a16:creationId xmlns:a16="http://schemas.microsoft.com/office/drawing/2014/main" id="{63407534-880A-454B-BA1E-495C746B7988}"/>
            </a:ext>
          </a:extLst>
        </xdr:cNvPr>
        <xdr:cNvSpPr/>
      </xdr:nvSpPr>
      <xdr:spPr>
        <a:xfrm>
          <a:off x="1584552" y="1314995"/>
          <a:ext cx="2428875" cy="1542505"/>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510267</xdr:colOff>
      <xdr:row>1</xdr:row>
      <xdr:rowOff>19391</xdr:rowOff>
    </xdr:from>
    <xdr:to>
      <xdr:col>20</xdr:col>
      <xdr:colOff>207848</xdr:colOff>
      <xdr:row>6</xdr:row>
      <xdr:rowOff>8505</xdr:rowOff>
    </xdr:to>
    <xdr:pic>
      <xdr:nvPicPr>
        <xdr:cNvPr id="28" name="Graphic 27" descr="Theatre with solid fill">
          <a:extLst>
            <a:ext uri="{FF2B5EF4-FFF2-40B4-BE49-F238E27FC236}">
              <a16:creationId xmlns:a16="http://schemas.microsoft.com/office/drawing/2014/main" id="{0B63461B-B226-0FC6-2B16-4AA10FDC0D4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440205" y="197985"/>
          <a:ext cx="912018" cy="882083"/>
        </a:xfrm>
        <a:prstGeom prst="rect">
          <a:avLst/>
        </a:prstGeom>
        <a:effectLst>
          <a:outerShdw blurRad="50800" dist="38100" dir="2700000" algn="tl" rotWithShape="0">
            <a:prstClr val="black">
              <a:alpha val="40000"/>
            </a:prstClr>
          </a:outerShdw>
        </a:effectLst>
      </xdr:spPr>
    </xdr:pic>
    <xdr:clientData/>
  </xdr:twoCellAnchor>
  <xdr:twoCellAnchor>
    <xdr:from>
      <xdr:col>7</xdr:col>
      <xdr:colOff>87558</xdr:colOff>
      <xdr:row>7</xdr:row>
      <xdr:rowOff>31551</xdr:rowOff>
    </xdr:from>
    <xdr:to>
      <xdr:col>11</xdr:col>
      <xdr:colOff>87558</xdr:colOff>
      <xdr:row>15</xdr:row>
      <xdr:rowOff>143565</xdr:rowOff>
    </xdr:to>
    <xdr:sp macro="" textlink="">
      <xdr:nvSpPr>
        <xdr:cNvPr id="29" name="Rectangle: Rounded Corners 28">
          <a:extLst>
            <a:ext uri="{FF2B5EF4-FFF2-40B4-BE49-F238E27FC236}">
              <a16:creationId xmlns:a16="http://schemas.microsoft.com/office/drawing/2014/main" id="{9E1420D2-7028-44D7-B83F-D01D06EF4816}"/>
            </a:ext>
          </a:extLst>
        </xdr:cNvPr>
        <xdr:cNvSpPr/>
      </xdr:nvSpPr>
      <xdr:spPr>
        <a:xfrm>
          <a:off x="4339297" y="1345725"/>
          <a:ext cx="2429565" cy="1613927"/>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326571</xdr:colOff>
      <xdr:row>7</xdr:row>
      <xdr:rowOff>71438</xdr:rowOff>
    </xdr:from>
    <xdr:to>
      <xdr:col>15</xdr:col>
      <xdr:colOff>326571</xdr:colOff>
      <xdr:row>16</xdr:row>
      <xdr:rowOff>0</xdr:rowOff>
    </xdr:to>
    <xdr:sp macro="" textlink="">
      <xdr:nvSpPr>
        <xdr:cNvPr id="30" name="Rectangle: Rounded Corners 29">
          <a:extLst>
            <a:ext uri="{FF2B5EF4-FFF2-40B4-BE49-F238E27FC236}">
              <a16:creationId xmlns:a16="http://schemas.microsoft.com/office/drawing/2014/main" id="{86A649AB-1B87-4071-A5F2-B9B1243AC1E5}"/>
            </a:ext>
          </a:extLst>
        </xdr:cNvPr>
        <xdr:cNvSpPr/>
      </xdr:nvSpPr>
      <xdr:spPr>
        <a:xfrm>
          <a:off x="7005977" y="1321594"/>
          <a:ext cx="2428875" cy="1535906"/>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555171</xdr:colOff>
      <xdr:row>7</xdr:row>
      <xdr:rowOff>71439</xdr:rowOff>
    </xdr:from>
    <xdr:to>
      <xdr:col>19</xdr:col>
      <xdr:colOff>555171</xdr:colOff>
      <xdr:row>16</xdr:row>
      <xdr:rowOff>1</xdr:rowOff>
    </xdr:to>
    <xdr:sp macro="" textlink="">
      <xdr:nvSpPr>
        <xdr:cNvPr id="31" name="Rectangle: Rounded Corners 30">
          <a:extLst>
            <a:ext uri="{FF2B5EF4-FFF2-40B4-BE49-F238E27FC236}">
              <a16:creationId xmlns:a16="http://schemas.microsoft.com/office/drawing/2014/main" id="{621BA479-3041-404C-89CE-E19E9948919F}"/>
            </a:ext>
          </a:extLst>
        </xdr:cNvPr>
        <xdr:cNvSpPr/>
      </xdr:nvSpPr>
      <xdr:spPr>
        <a:xfrm>
          <a:off x="9663452" y="1321595"/>
          <a:ext cx="2428875" cy="1535906"/>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44174</xdr:colOff>
      <xdr:row>7</xdr:row>
      <xdr:rowOff>95250</xdr:rowOff>
    </xdr:from>
    <xdr:to>
      <xdr:col>24</xdr:col>
      <xdr:colOff>254000</xdr:colOff>
      <xdr:row>16</xdr:row>
      <xdr:rowOff>22087</xdr:rowOff>
    </xdr:to>
    <xdr:sp macro="" textlink="">
      <xdr:nvSpPr>
        <xdr:cNvPr id="32" name="Rectangle: Rounded Corners 31">
          <a:extLst>
            <a:ext uri="{FF2B5EF4-FFF2-40B4-BE49-F238E27FC236}">
              <a16:creationId xmlns:a16="http://schemas.microsoft.com/office/drawing/2014/main" id="{F839877C-C9EC-4E71-8FB1-63C80F56F017}"/>
            </a:ext>
          </a:extLst>
        </xdr:cNvPr>
        <xdr:cNvSpPr/>
      </xdr:nvSpPr>
      <xdr:spPr>
        <a:xfrm>
          <a:off x="12188549" y="1345406"/>
          <a:ext cx="2638701" cy="1534181"/>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468086</xdr:colOff>
      <xdr:row>7</xdr:row>
      <xdr:rowOff>59533</xdr:rowOff>
    </xdr:from>
    <xdr:to>
      <xdr:col>29</xdr:col>
      <xdr:colOff>59531</xdr:colOff>
      <xdr:row>16</xdr:row>
      <xdr:rowOff>47625</xdr:rowOff>
    </xdr:to>
    <xdr:sp macro="" textlink="">
      <xdr:nvSpPr>
        <xdr:cNvPr id="33" name="Rectangle: Rounded Corners 32">
          <a:extLst>
            <a:ext uri="{FF2B5EF4-FFF2-40B4-BE49-F238E27FC236}">
              <a16:creationId xmlns:a16="http://schemas.microsoft.com/office/drawing/2014/main" id="{C9B81892-A955-454B-A1FA-F0E651A6AE6A}"/>
            </a:ext>
          </a:extLst>
        </xdr:cNvPr>
        <xdr:cNvSpPr/>
      </xdr:nvSpPr>
      <xdr:spPr>
        <a:xfrm>
          <a:off x="15041336" y="1309689"/>
          <a:ext cx="2627539" cy="1595436"/>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299036</xdr:colOff>
      <xdr:row>7</xdr:row>
      <xdr:rowOff>59532</xdr:rowOff>
    </xdr:from>
    <xdr:to>
      <xdr:col>33</xdr:col>
      <xdr:colOff>523875</xdr:colOff>
      <xdr:row>16</xdr:row>
      <xdr:rowOff>33993</xdr:rowOff>
    </xdr:to>
    <xdr:sp macro="" textlink="">
      <xdr:nvSpPr>
        <xdr:cNvPr id="34" name="Rectangle: Rounded Corners 33">
          <a:extLst>
            <a:ext uri="{FF2B5EF4-FFF2-40B4-BE49-F238E27FC236}">
              <a16:creationId xmlns:a16="http://schemas.microsoft.com/office/drawing/2014/main" id="{90868C89-7ABB-4276-81B7-ED3731701F3A}"/>
            </a:ext>
          </a:extLst>
        </xdr:cNvPr>
        <xdr:cNvSpPr/>
      </xdr:nvSpPr>
      <xdr:spPr>
        <a:xfrm>
          <a:off x="17908380" y="1309688"/>
          <a:ext cx="2653714" cy="1581805"/>
        </a:xfrm>
        <a:prstGeom prst="roundRect">
          <a:avLst/>
        </a:prstGeom>
        <a:solidFill>
          <a:srgbClr val="221F1F"/>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405138</xdr:colOff>
      <xdr:row>16</xdr:row>
      <xdr:rowOff>154609</xdr:rowOff>
    </xdr:from>
    <xdr:to>
      <xdr:col>9</xdr:col>
      <xdr:colOff>88348</xdr:colOff>
      <xdr:row>33</xdr:row>
      <xdr:rowOff>11044</xdr:rowOff>
    </xdr:to>
    <xdr:graphicFrame macro="">
      <xdr:nvGraphicFramePr>
        <xdr:cNvPr id="35" name="Chart 34">
          <a:extLst>
            <a:ext uri="{FF2B5EF4-FFF2-40B4-BE49-F238E27FC236}">
              <a16:creationId xmlns:a16="http://schemas.microsoft.com/office/drawing/2014/main" id="{EE4C82D3-E5B1-4305-BE92-6E634BB06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375478</xdr:colOff>
      <xdr:row>34</xdr:row>
      <xdr:rowOff>0</xdr:rowOff>
    </xdr:from>
    <xdr:to>
      <xdr:col>15</xdr:col>
      <xdr:colOff>87086</xdr:colOff>
      <xdr:row>51</xdr:row>
      <xdr:rowOff>154607</xdr:rowOff>
    </xdr:to>
    <xdr:graphicFrame macro="">
      <xdr:nvGraphicFramePr>
        <xdr:cNvPr id="36" name="Chart 35">
          <a:extLst>
            <a:ext uri="{FF2B5EF4-FFF2-40B4-BE49-F238E27FC236}">
              <a16:creationId xmlns:a16="http://schemas.microsoft.com/office/drawing/2014/main" id="{50893710-CE41-4E9D-B0F2-53396880A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283028</xdr:colOff>
      <xdr:row>32</xdr:row>
      <xdr:rowOff>55217</xdr:rowOff>
    </xdr:from>
    <xdr:to>
      <xdr:col>33</xdr:col>
      <xdr:colOff>452783</xdr:colOff>
      <xdr:row>51</xdr:row>
      <xdr:rowOff>99390</xdr:rowOff>
    </xdr:to>
    <xdr:graphicFrame macro="">
      <xdr:nvGraphicFramePr>
        <xdr:cNvPr id="37" name="Chart 36">
          <a:extLst>
            <a:ext uri="{FF2B5EF4-FFF2-40B4-BE49-F238E27FC236}">
              <a16:creationId xmlns:a16="http://schemas.microsoft.com/office/drawing/2014/main" id="{486CC6AA-D6E7-408C-AAA2-5A928E306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176695</xdr:colOff>
      <xdr:row>16</xdr:row>
      <xdr:rowOff>143564</xdr:rowOff>
    </xdr:from>
    <xdr:to>
      <xdr:col>17</xdr:col>
      <xdr:colOff>165652</xdr:colOff>
      <xdr:row>31</xdr:row>
      <xdr:rowOff>176696</xdr:rowOff>
    </xdr:to>
    <xdr:graphicFrame macro="">
      <xdr:nvGraphicFramePr>
        <xdr:cNvPr id="3" name="Chart 2">
          <a:extLst>
            <a:ext uri="{FF2B5EF4-FFF2-40B4-BE49-F238E27FC236}">
              <a16:creationId xmlns:a16="http://schemas.microsoft.com/office/drawing/2014/main" id="{9D2CF4EF-DC9E-4C60-8124-01299200D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254000</xdr:colOff>
      <xdr:row>16</xdr:row>
      <xdr:rowOff>154609</xdr:rowOff>
    </xdr:from>
    <xdr:to>
      <xdr:col>25</xdr:col>
      <xdr:colOff>476619</xdr:colOff>
      <xdr:row>31</xdr:row>
      <xdr:rowOff>132522</xdr:rowOff>
    </xdr:to>
    <xdr:graphicFrame macro="">
      <xdr:nvGraphicFramePr>
        <xdr:cNvPr id="11" name="Chart 10">
          <a:extLst>
            <a:ext uri="{FF2B5EF4-FFF2-40B4-BE49-F238E27FC236}">
              <a16:creationId xmlns:a16="http://schemas.microsoft.com/office/drawing/2014/main" id="{42F96139-8747-408B-A22C-2746F974A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567507</xdr:colOff>
      <xdr:row>16</xdr:row>
      <xdr:rowOff>154609</xdr:rowOff>
    </xdr:from>
    <xdr:to>
      <xdr:col>34</xdr:col>
      <xdr:colOff>209826</xdr:colOff>
      <xdr:row>31</xdr:row>
      <xdr:rowOff>143565</xdr:rowOff>
    </xdr:to>
    <xdr:graphicFrame macro="">
      <xdr:nvGraphicFramePr>
        <xdr:cNvPr id="14" name="Chart 13">
          <a:extLst>
            <a:ext uri="{FF2B5EF4-FFF2-40B4-BE49-F238E27FC236}">
              <a16:creationId xmlns:a16="http://schemas.microsoft.com/office/drawing/2014/main" id="{A054322F-09B8-480E-AB82-F3EBBD94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485913</xdr:colOff>
      <xdr:row>8</xdr:row>
      <xdr:rowOff>44174</xdr:rowOff>
    </xdr:from>
    <xdr:to>
      <xdr:col>6</xdr:col>
      <xdr:colOff>276087</xdr:colOff>
      <xdr:row>10</xdr:row>
      <xdr:rowOff>143565</xdr:rowOff>
    </xdr:to>
    <xdr:sp macro="" textlink="">
      <xdr:nvSpPr>
        <xdr:cNvPr id="15" name="Rectangle 14">
          <a:extLst>
            <a:ext uri="{FF2B5EF4-FFF2-40B4-BE49-F238E27FC236}">
              <a16:creationId xmlns:a16="http://schemas.microsoft.com/office/drawing/2014/main" id="{3978E7C9-BE91-2506-D4DC-B46796E1CF64}"/>
            </a:ext>
          </a:extLst>
        </xdr:cNvPr>
        <xdr:cNvSpPr/>
      </xdr:nvSpPr>
      <xdr:spPr>
        <a:xfrm>
          <a:off x="1700696" y="1546087"/>
          <a:ext cx="2219739" cy="474869"/>
        </a:xfrm>
        <a:prstGeom prst="rect">
          <a:avLst/>
        </a:prstGeom>
        <a:solidFill>
          <a:srgbClr val="C00000"/>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6600">
                <a:solidFill>
                  <a:schemeClr val="accent2"/>
                </a:solidFill>
                <a:prstDash val="solid"/>
              </a:ln>
              <a:solidFill>
                <a:srgbClr val="FFFFFF"/>
              </a:solidFill>
              <a:effectLst>
                <a:outerShdw dist="38100" dir="2700000" algn="tl" rotWithShape="0">
                  <a:schemeClr val="accent2"/>
                </a:outerShdw>
              </a:effectLst>
            </a:rPr>
            <a:t>Trading Days</a:t>
          </a:r>
        </a:p>
      </xdr:txBody>
    </xdr:sp>
    <xdr:clientData/>
  </xdr:twoCellAnchor>
  <xdr:twoCellAnchor>
    <xdr:from>
      <xdr:col>16</xdr:col>
      <xdr:colOff>198782</xdr:colOff>
      <xdr:row>13</xdr:row>
      <xdr:rowOff>71437</xdr:rowOff>
    </xdr:from>
    <xdr:to>
      <xdr:col>19</xdr:col>
      <xdr:colOff>353392</xdr:colOff>
      <xdr:row>15</xdr:row>
      <xdr:rowOff>68154</xdr:rowOff>
    </xdr:to>
    <xdr:sp macro="" textlink="kpis!E9">
      <xdr:nvSpPr>
        <xdr:cNvPr id="17" name="Rectangle 16">
          <a:extLst>
            <a:ext uri="{FF2B5EF4-FFF2-40B4-BE49-F238E27FC236}">
              <a16:creationId xmlns:a16="http://schemas.microsoft.com/office/drawing/2014/main" id="{531C6CE4-5828-4AEF-A6AC-BF6C7120F1C8}"/>
            </a:ext>
          </a:extLst>
        </xdr:cNvPr>
        <xdr:cNvSpPr/>
      </xdr:nvSpPr>
      <xdr:spPr>
        <a:xfrm>
          <a:off x="9914282" y="2393156"/>
          <a:ext cx="1976266" cy="353904"/>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421AF1B-C101-4E6D-90A4-88837ED17E9E}" type="TxLink">
            <a:rPr lang="en-US" sz="20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968</a:t>
          </a:fld>
          <a:endParaRPr lang="en-IN" sz="20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2</xdr:col>
      <xdr:colOff>596348</xdr:colOff>
      <xdr:row>12</xdr:row>
      <xdr:rowOff>9319</xdr:rowOff>
    </xdr:from>
    <xdr:to>
      <xdr:col>6</xdr:col>
      <xdr:colOff>55217</xdr:colOff>
      <xdr:row>15</xdr:row>
      <xdr:rowOff>31406</xdr:rowOff>
    </xdr:to>
    <xdr:sp macro="" textlink="kpis!A16">
      <xdr:nvSpPr>
        <xdr:cNvPr id="18" name="Rectangle 17">
          <a:extLst>
            <a:ext uri="{FF2B5EF4-FFF2-40B4-BE49-F238E27FC236}">
              <a16:creationId xmlns:a16="http://schemas.microsoft.com/office/drawing/2014/main" id="{6D79149F-1FFA-482D-A1D2-324851A4D6FB}"/>
            </a:ext>
          </a:extLst>
        </xdr:cNvPr>
        <xdr:cNvSpPr/>
      </xdr:nvSpPr>
      <xdr:spPr>
        <a:xfrm>
          <a:off x="1810786" y="2152444"/>
          <a:ext cx="1887744" cy="557868"/>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5EEE99-D126-476B-B4FD-631198CCC044}" type="TxLink">
            <a:rPr lang="en-US" sz="32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1913</a:t>
          </a:fld>
          <a:endParaRPr lang="en-US" sz="32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16</xdr:col>
      <xdr:colOff>154609</xdr:colOff>
      <xdr:row>8</xdr:row>
      <xdr:rowOff>47625</xdr:rowOff>
    </xdr:from>
    <xdr:to>
      <xdr:col>19</xdr:col>
      <xdr:colOff>397565</xdr:colOff>
      <xdr:row>13</xdr:row>
      <xdr:rowOff>47625</xdr:rowOff>
    </xdr:to>
    <xdr:sp macro="" textlink="">
      <xdr:nvSpPr>
        <xdr:cNvPr id="19" name="Rectangle 18">
          <a:extLst>
            <a:ext uri="{FF2B5EF4-FFF2-40B4-BE49-F238E27FC236}">
              <a16:creationId xmlns:a16="http://schemas.microsoft.com/office/drawing/2014/main" id="{7B64BF92-D007-4BA1-8753-758FEDD285DB}"/>
            </a:ext>
          </a:extLst>
        </xdr:cNvPr>
        <xdr:cNvSpPr/>
      </xdr:nvSpPr>
      <xdr:spPr>
        <a:xfrm>
          <a:off x="9870109" y="1476375"/>
          <a:ext cx="2064612" cy="892969"/>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cap="none" spc="0">
              <a:ln w="6600">
                <a:solidFill>
                  <a:schemeClr val="accent2"/>
                </a:solidFill>
                <a:prstDash val="solid"/>
              </a:ln>
              <a:solidFill>
                <a:srgbClr val="FFFFFF"/>
              </a:solidFill>
              <a:effectLst>
                <a:outerShdw dist="38100" dir="2700000" algn="tl" rotWithShape="0">
                  <a:schemeClr val="accent2"/>
                </a:outerShdw>
              </a:effectLst>
            </a:rPr>
            <a:t>Positive Return Days</a:t>
          </a:r>
        </a:p>
      </xdr:txBody>
    </xdr:sp>
    <xdr:clientData/>
  </xdr:twoCellAnchor>
  <xdr:twoCellAnchor>
    <xdr:from>
      <xdr:col>20</xdr:col>
      <xdr:colOff>441739</xdr:colOff>
      <xdr:row>13</xdr:row>
      <xdr:rowOff>55217</xdr:rowOff>
    </xdr:from>
    <xdr:to>
      <xdr:col>23</xdr:col>
      <xdr:colOff>397566</xdr:colOff>
      <xdr:row>15</xdr:row>
      <xdr:rowOff>66261</xdr:rowOff>
    </xdr:to>
    <xdr:sp macro="" textlink="kpis!E13">
      <xdr:nvSpPr>
        <xdr:cNvPr id="21" name="Rectangle 20">
          <a:extLst>
            <a:ext uri="{FF2B5EF4-FFF2-40B4-BE49-F238E27FC236}">
              <a16:creationId xmlns:a16="http://schemas.microsoft.com/office/drawing/2014/main" id="{7C827016-AF09-466D-99BD-6A2998B9FB91}"/>
            </a:ext>
          </a:extLst>
        </xdr:cNvPr>
        <xdr:cNvSpPr/>
      </xdr:nvSpPr>
      <xdr:spPr>
        <a:xfrm>
          <a:off x="12589565" y="2495826"/>
          <a:ext cx="1778001" cy="386522"/>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AF4CED-D414-408A-B424-D65422F43553}" type="TxLink">
            <a:rPr lang="en-US" sz="24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151593</a:t>
          </a:fld>
          <a:endParaRPr lang="en-IN" sz="24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25</xdr:col>
      <xdr:colOff>530087</xdr:colOff>
      <xdr:row>13</xdr:row>
      <xdr:rowOff>176696</xdr:rowOff>
    </xdr:from>
    <xdr:to>
      <xdr:col>28</xdr:col>
      <xdr:colOff>22086</xdr:colOff>
      <xdr:row>15</xdr:row>
      <xdr:rowOff>132522</xdr:rowOff>
    </xdr:to>
    <xdr:sp macro="" textlink="kpis!E17">
      <xdr:nvSpPr>
        <xdr:cNvPr id="22" name="Rectangle 21">
          <a:extLst>
            <a:ext uri="{FF2B5EF4-FFF2-40B4-BE49-F238E27FC236}">
              <a16:creationId xmlns:a16="http://schemas.microsoft.com/office/drawing/2014/main" id="{81F1216B-5C2A-4496-8BC0-695E067D02DA}"/>
            </a:ext>
          </a:extLst>
        </xdr:cNvPr>
        <xdr:cNvSpPr/>
      </xdr:nvSpPr>
      <xdr:spPr>
        <a:xfrm>
          <a:off x="15714870" y="2617305"/>
          <a:ext cx="1314173" cy="331304"/>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9567F1-8D7C-4D4B-9688-0CFA98FBC52C}" type="TxLink">
            <a:rPr lang="en-US" sz="20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4868</a:t>
          </a:fld>
          <a:endParaRPr lang="en-IN" sz="20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20</xdr:col>
      <xdr:colOff>198783</xdr:colOff>
      <xdr:row>8</xdr:row>
      <xdr:rowOff>88348</xdr:rowOff>
    </xdr:from>
    <xdr:to>
      <xdr:col>24</xdr:col>
      <xdr:colOff>110435</xdr:colOff>
      <xdr:row>12</xdr:row>
      <xdr:rowOff>154607</xdr:rowOff>
    </xdr:to>
    <xdr:sp macro="" textlink="">
      <xdr:nvSpPr>
        <xdr:cNvPr id="23" name="Rectangle 22">
          <a:extLst>
            <a:ext uri="{FF2B5EF4-FFF2-40B4-BE49-F238E27FC236}">
              <a16:creationId xmlns:a16="http://schemas.microsoft.com/office/drawing/2014/main" id="{F27DBBFD-FCED-4FD3-B858-E85315852BEB}"/>
            </a:ext>
          </a:extLst>
        </xdr:cNvPr>
        <xdr:cNvSpPr/>
      </xdr:nvSpPr>
      <xdr:spPr>
        <a:xfrm>
          <a:off x="12346609" y="1590261"/>
          <a:ext cx="2341217" cy="817216"/>
        </a:xfrm>
        <a:prstGeom prst="rect">
          <a:avLst/>
        </a:prstGeom>
        <a:solidFill>
          <a:srgbClr val="C0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cap="none" spc="0">
              <a:ln w="6600">
                <a:solidFill>
                  <a:schemeClr val="accent2"/>
                </a:solidFill>
                <a:prstDash val="solid"/>
              </a:ln>
              <a:solidFill>
                <a:srgbClr val="FFFFFF"/>
              </a:solidFill>
              <a:effectLst>
                <a:outerShdw dist="38100" dir="2700000" algn="tl" rotWithShape="0">
                  <a:schemeClr val="accent2"/>
                </a:outerShdw>
              </a:effectLst>
            </a:rPr>
            <a:t>Total Reviews</a:t>
          </a:r>
        </a:p>
      </xdr:txBody>
    </xdr:sp>
    <xdr:clientData/>
  </xdr:twoCellAnchor>
  <xdr:twoCellAnchor>
    <xdr:from>
      <xdr:col>30</xdr:col>
      <xdr:colOff>47625</xdr:colOff>
      <xdr:row>13</xdr:row>
      <xdr:rowOff>35720</xdr:rowOff>
    </xdr:from>
    <xdr:to>
      <xdr:col>33</xdr:col>
      <xdr:colOff>44175</xdr:colOff>
      <xdr:row>15</xdr:row>
      <xdr:rowOff>121161</xdr:rowOff>
    </xdr:to>
    <xdr:sp macro="" textlink="kpis!E21">
      <xdr:nvSpPr>
        <xdr:cNvPr id="24" name="Rectangle 23">
          <a:extLst>
            <a:ext uri="{FF2B5EF4-FFF2-40B4-BE49-F238E27FC236}">
              <a16:creationId xmlns:a16="http://schemas.microsoft.com/office/drawing/2014/main" id="{1D452DDF-D363-44A5-BE0D-122DB9FEE599}"/>
            </a:ext>
          </a:extLst>
        </xdr:cNvPr>
        <xdr:cNvSpPr/>
      </xdr:nvSpPr>
      <xdr:spPr>
        <a:xfrm>
          <a:off x="18264188" y="2357439"/>
          <a:ext cx="1818206" cy="442628"/>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F544F8-F046-41BC-A7DA-27043D9792E8}" type="TxLink">
            <a:rPr lang="en-US" sz="24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6.34</a:t>
          </a:fld>
          <a:endParaRPr lang="en-IN" sz="24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25</xdr:col>
      <xdr:colOff>43254</xdr:colOff>
      <xdr:row>8</xdr:row>
      <xdr:rowOff>109515</xdr:rowOff>
    </xdr:from>
    <xdr:to>
      <xdr:col>28</xdr:col>
      <xdr:colOff>330384</xdr:colOff>
      <xdr:row>13</xdr:row>
      <xdr:rowOff>98471</xdr:rowOff>
    </xdr:to>
    <xdr:sp macro="" textlink="">
      <xdr:nvSpPr>
        <xdr:cNvPr id="25" name="Rectangle 24">
          <a:extLst>
            <a:ext uri="{FF2B5EF4-FFF2-40B4-BE49-F238E27FC236}">
              <a16:creationId xmlns:a16="http://schemas.microsoft.com/office/drawing/2014/main" id="{4DF646AC-CD0B-4A44-89E2-2B3D25D42CF3}"/>
            </a:ext>
          </a:extLst>
        </xdr:cNvPr>
        <xdr:cNvSpPr/>
      </xdr:nvSpPr>
      <xdr:spPr>
        <a:xfrm>
          <a:off x="15389087" y="1548848"/>
          <a:ext cx="2128630" cy="88854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cap="none" spc="0">
              <a:ln w="6600">
                <a:solidFill>
                  <a:schemeClr val="accent2"/>
                </a:solidFill>
                <a:prstDash val="solid"/>
              </a:ln>
              <a:solidFill>
                <a:srgbClr val="FFFFFF"/>
              </a:solidFill>
              <a:effectLst>
                <a:outerShdw dist="38100" dir="2700000" algn="tl" rotWithShape="0">
                  <a:schemeClr val="accent2"/>
                </a:outerShdw>
              </a:effectLst>
            </a:rPr>
            <a:t>Total Tiles Released</a:t>
          </a:r>
        </a:p>
      </xdr:txBody>
    </xdr:sp>
    <xdr:clientData/>
  </xdr:twoCellAnchor>
  <xdr:twoCellAnchor>
    <xdr:from>
      <xdr:col>29</xdr:col>
      <xdr:colOff>513197</xdr:colOff>
      <xdr:row>7</xdr:row>
      <xdr:rowOff>146153</xdr:rowOff>
    </xdr:from>
    <xdr:to>
      <xdr:col>33</xdr:col>
      <xdr:colOff>358589</xdr:colOff>
      <xdr:row>12</xdr:row>
      <xdr:rowOff>113022</xdr:rowOff>
    </xdr:to>
    <xdr:sp macro="" textlink="">
      <xdr:nvSpPr>
        <xdr:cNvPr id="26" name="Rectangle 25">
          <a:extLst>
            <a:ext uri="{FF2B5EF4-FFF2-40B4-BE49-F238E27FC236}">
              <a16:creationId xmlns:a16="http://schemas.microsoft.com/office/drawing/2014/main" id="{25E60BAE-2DAA-480F-8923-23A7E3F53402}"/>
            </a:ext>
          </a:extLst>
        </xdr:cNvPr>
        <xdr:cNvSpPr/>
      </xdr:nvSpPr>
      <xdr:spPr>
        <a:xfrm>
          <a:off x="18122541" y="1396309"/>
          <a:ext cx="2274267" cy="859838"/>
        </a:xfrm>
        <a:prstGeom prst="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6600">
                <a:solidFill>
                  <a:schemeClr val="accent2"/>
                </a:solidFill>
                <a:prstDash val="solid"/>
              </a:ln>
              <a:solidFill>
                <a:srgbClr val="FFFFFF"/>
              </a:solidFill>
              <a:effectLst>
                <a:outerShdw dist="38100" dir="2700000" algn="tl" rotWithShape="0">
                  <a:schemeClr val="accent2"/>
                </a:outerShdw>
              </a:effectLst>
            </a:rPr>
            <a:t>Average</a:t>
          </a:r>
          <a:r>
            <a:rPr lang="en-IN" sz="2400" b="1" cap="none" spc="0" baseline="0">
              <a:ln w="6600">
                <a:solidFill>
                  <a:schemeClr val="accent2"/>
                </a:solidFill>
                <a:prstDash val="solid"/>
              </a:ln>
              <a:solidFill>
                <a:srgbClr val="FFFFFF"/>
              </a:solidFill>
              <a:effectLst>
                <a:outerShdw dist="38100" dir="2700000" algn="tl" rotWithShape="0">
                  <a:schemeClr val="accent2"/>
                </a:outerShdw>
              </a:effectLst>
            </a:rPr>
            <a:t> IMDb Score</a:t>
          </a:r>
          <a:endParaRPr lang="en-IN" sz="2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7</xdr:col>
      <xdr:colOff>231914</xdr:colOff>
      <xdr:row>7</xdr:row>
      <xdr:rowOff>88348</xdr:rowOff>
    </xdr:from>
    <xdr:to>
      <xdr:col>10</xdr:col>
      <xdr:colOff>530088</xdr:colOff>
      <xdr:row>12</xdr:row>
      <xdr:rowOff>33130</xdr:rowOff>
    </xdr:to>
    <xdr:sp macro="" textlink="">
      <xdr:nvSpPr>
        <xdr:cNvPr id="41" name="Rectangle 40">
          <a:extLst>
            <a:ext uri="{FF2B5EF4-FFF2-40B4-BE49-F238E27FC236}">
              <a16:creationId xmlns:a16="http://schemas.microsoft.com/office/drawing/2014/main" id="{47BA83A4-4389-42D4-A9D3-38D595ED0B2D}"/>
            </a:ext>
          </a:extLst>
        </xdr:cNvPr>
        <xdr:cNvSpPr/>
      </xdr:nvSpPr>
      <xdr:spPr>
        <a:xfrm>
          <a:off x="4483653" y="1402522"/>
          <a:ext cx="2120348" cy="883478"/>
        </a:xfrm>
        <a:prstGeom prst="rect">
          <a:avLst/>
        </a:prstGeom>
        <a:solidFill>
          <a:srgbClr val="C00000"/>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cap="none" spc="0">
              <a:ln w="6600">
                <a:solidFill>
                  <a:schemeClr val="accent2"/>
                </a:solidFill>
                <a:prstDash val="solid"/>
              </a:ln>
              <a:solidFill>
                <a:srgbClr val="FFFFFF"/>
              </a:solidFill>
              <a:effectLst>
                <a:outerShdw dist="38100" dir="2700000" algn="tl" rotWithShape="0">
                  <a:schemeClr val="accent2"/>
                </a:outerShdw>
              </a:effectLst>
            </a:rPr>
            <a:t>Count Stock volume</a:t>
          </a:r>
        </a:p>
      </xdr:txBody>
    </xdr:sp>
    <xdr:clientData/>
  </xdr:twoCellAnchor>
  <xdr:twoCellAnchor>
    <xdr:from>
      <xdr:col>7</xdr:col>
      <xdr:colOff>295965</xdr:colOff>
      <xdr:row>12</xdr:row>
      <xdr:rowOff>143566</xdr:rowOff>
    </xdr:from>
    <xdr:to>
      <xdr:col>10</xdr:col>
      <xdr:colOff>362225</xdr:colOff>
      <xdr:row>14</xdr:row>
      <xdr:rowOff>165653</xdr:rowOff>
    </xdr:to>
    <xdr:sp macro="" textlink="kpis!A21">
      <xdr:nvSpPr>
        <xdr:cNvPr id="43" name="Rectangle 42">
          <a:extLst>
            <a:ext uri="{FF2B5EF4-FFF2-40B4-BE49-F238E27FC236}">
              <a16:creationId xmlns:a16="http://schemas.microsoft.com/office/drawing/2014/main" id="{0DF89FA1-0A06-452A-A6D9-A0769AE6858C}"/>
            </a:ext>
          </a:extLst>
        </xdr:cNvPr>
        <xdr:cNvSpPr/>
      </xdr:nvSpPr>
      <xdr:spPr>
        <a:xfrm>
          <a:off x="4547704" y="2396436"/>
          <a:ext cx="1888434" cy="397565"/>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5E94E6-AC7A-45E3-BBC8-2DFCC55D3BE4}" type="TxLink">
            <a:rPr lang="en-US" sz="28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2780</a:t>
          </a:fld>
          <a:endParaRPr lang="en-US" sz="2800" b="1" cap="none" spc="50">
            <a:ln w="0"/>
            <a:solidFill>
              <a:schemeClr val="bg1"/>
            </a:solidFill>
            <a:effectLst>
              <a:innerShdw blurRad="63500" dist="50800" dir="13500000">
                <a:srgbClr val="000000">
                  <a:alpha val="50000"/>
                </a:srgbClr>
              </a:innerShdw>
            </a:effectLst>
          </a:endParaRPr>
        </a:p>
      </xdr:txBody>
    </xdr:sp>
    <xdr:clientData/>
  </xdr:twoCellAnchor>
  <xdr:twoCellAnchor>
    <xdr:from>
      <xdr:col>11</xdr:col>
      <xdr:colOff>463826</xdr:colOff>
      <xdr:row>8</xdr:row>
      <xdr:rowOff>55217</xdr:rowOff>
    </xdr:from>
    <xdr:to>
      <xdr:col>15</xdr:col>
      <xdr:colOff>198782</xdr:colOff>
      <xdr:row>13</xdr:row>
      <xdr:rowOff>-1</xdr:rowOff>
    </xdr:to>
    <xdr:sp macro="" textlink="">
      <xdr:nvSpPr>
        <xdr:cNvPr id="45" name="Rectangle 44">
          <a:extLst>
            <a:ext uri="{FF2B5EF4-FFF2-40B4-BE49-F238E27FC236}">
              <a16:creationId xmlns:a16="http://schemas.microsoft.com/office/drawing/2014/main" id="{F7B8E31F-010E-437A-8305-ED25C9033585}"/>
            </a:ext>
          </a:extLst>
        </xdr:cNvPr>
        <xdr:cNvSpPr/>
      </xdr:nvSpPr>
      <xdr:spPr>
        <a:xfrm>
          <a:off x="7145130" y="1557130"/>
          <a:ext cx="2164522" cy="883478"/>
        </a:xfrm>
        <a:prstGeom prst="rect">
          <a:avLst/>
        </a:prstGeom>
        <a:solidFill>
          <a:srgbClr val="C00000"/>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Max</a:t>
          </a:r>
          <a:r>
            <a:rPr lang="en-IN" sz="2400" b="1" i="0" u="none" strike="noStrike"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 Of</a:t>
          </a:r>
          <a:r>
            <a:rPr lang="en-IN" sz="24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rPr>
            <a:t> Daily Return</a:t>
          </a:r>
          <a:r>
            <a:rPr lang="en-IN" sz="2400" b="1" cap="none" spc="0">
              <a:ln w="6600">
                <a:solidFill>
                  <a:schemeClr val="accent2"/>
                </a:solidFill>
                <a:prstDash val="solid"/>
              </a:ln>
              <a:solidFill>
                <a:srgbClr val="FFFFFF"/>
              </a:solidFill>
              <a:effectLst>
                <a:outerShdw dist="38100" dir="2700000" algn="tl" rotWithShape="0">
                  <a:schemeClr val="accent2"/>
                </a:outerShdw>
              </a:effectLst>
            </a:rPr>
            <a:t> </a:t>
          </a:r>
        </a:p>
      </xdr:txBody>
    </xdr:sp>
    <xdr:clientData/>
  </xdr:twoCellAnchor>
  <xdr:twoCellAnchor>
    <xdr:from>
      <xdr:col>11</xdr:col>
      <xdr:colOff>530087</xdr:colOff>
      <xdr:row>13</xdr:row>
      <xdr:rowOff>77304</xdr:rowOff>
    </xdr:from>
    <xdr:to>
      <xdr:col>14</xdr:col>
      <xdr:colOff>596347</xdr:colOff>
      <xdr:row>15</xdr:row>
      <xdr:rowOff>99391</xdr:rowOff>
    </xdr:to>
    <xdr:sp macro="" textlink="kpis!A26">
      <xdr:nvSpPr>
        <xdr:cNvPr id="47" name="Rectangle 46">
          <a:extLst>
            <a:ext uri="{FF2B5EF4-FFF2-40B4-BE49-F238E27FC236}">
              <a16:creationId xmlns:a16="http://schemas.microsoft.com/office/drawing/2014/main" id="{02428CF2-2006-4BFD-9424-9F4CC2E165D3}"/>
            </a:ext>
          </a:extLst>
        </xdr:cNvPr>
        <xdr:cNvSpPr/>
      </xdr:nvSpPr>
      <xdr:spPr>
        <a:xfrm>
          <a:off x="7211391" y="2517913"/>
          <a:ext cx="1888434" cy="397565"/>
        </a:xfrm>
        <a:prstGeom prst="rect">
          <a:avLst/>
        </a:prstGeom>
        <a:solidFill>
          <a:schemeClr val="tx1"/>
        </a:solidFill>
        <a:ln>
          <a:solidFill>
            <a:schemeClr val="bg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68591E-3B9A-44D4-99FF-88ACE672BC66}" type="TxLink">
            <a:rPr lang="en-US" sz="2800" b="0" i="0" u="none" strike="noStrike" cap="none" spc="50">
              <a:ln w="0"/>
              <a:solidFill>
                <a:schemeClr val="bg1"/>
              </a:solidFill>
              <a:effectLst>
                <a:innerShdw blurRad="63500" dist="50800" dir="13500000">
                  <a:srgbClr val="000000">
                    <a:alpha val="50000"/>
                  </a:srgbClr>
                </a:innerShdw>
              </a:effectLst>
              <a:latin typeface="Calibri"/>
              <a:ea typeface="Calibri"/>
              <a:cs typeface="Calibri"/>
            </a:rPr>
            <a:t>11.174</a:t>
          </a:fld>
          <a:endParaRPr lang="en-US" sz="2800" b="1" cap="none" spc="50">
            <a:ln w="0"/>
            <a:solidFill>
              <a:schemeClr val="bg1"/>
            </a:solidFill>
            <a:effectLst>
              <a:innerShdw blurRad="63500" dist="50800" dir="13500000">
                <a:srgbClr val="000000">
                  <a:alpha val="50000"/>
                </a:srgbClr>
              </a:innerShdw>
            </a:effectLst>
          </a:endParaRPr>
        </a:p>
      </xdr:txBody>
    </xdr:sp>
    <xdr:clientData/>
  </xdr:twoCellAnchor>
  <xdr:twoCellAnchor editAs="oneCell">
    <xdr:from>
      <xdr:col>20</xdr:col>
      <xdr:colOff>261938</xdr:colOff>
      <xdr:row>1</xdr:row>
      <xdr:rowOff>41011</xdr:rowOff>
    </xdr:from>
    <xdr:to>
      <xdr:col>24</xdr:col>
      <xdr:colOff>476250</xdr:colOff>
      <xdr:row>6</xdr:row>
      <xdr:rowOff>11906</xdr:rowOff>
    </xdr:to>
    <mc:AlternateContent xmlns:mc="http://schemas.openxmlformats.org/markup-compatibility/2006">
      <mc:Choice xmlns:a14="http://schemas.microsoft.com/office/drawing/2010/main" Requires="a14">
        <xdr:graphicFrame macro="">
          <xdr:nvGraphicFramePr>
            <xdr:cNvPr id="50" name="Trading_status">
              <a:extLst>
                <a:ext uri="{FF2B5EF4-FFF2-40B4-BE49-F238E27FC236}">
                  <a16:creationId xmlns:a16="http://schemas.microsoft.com/office/drawing/2014/main" id="{410D9878-A212-8775-1F1D-FD0C1928A132}"/>
                </a:ext>
              </a:extLst>
            </xdr:cNvPr>
            <xdr:cNvGraphicFramePr/>
          </xdr:nvGraphicFramePr>
          <xdr:xfrm>
            <a:off x="0" y="0"/>
            <a:ext cx="0" cy="0"/>
          </xdr:xfrm>
          <a:graphic>
            <a:graphicData uri="http://schemas.microsoft.com/office/drawing/2010/slicer">
              <sle:slicer xmlns:sle="http://schemas.microsoft.com/office/drawing/2010/slicer" name="Trading_status"/>
            </a:graphicData>
          </a:graphic>
        </xdr:graphicFrame>
      </mc:Choice>
      <mc:Fallback>
        <xdr:sp macro="" textlink="">
          <xdr:nvSpPr>
            <xdr:cNvPr id="0" name=""/>
            <xdr:cNvSpPr>
              <a:spLocks noTextEdit="1"/>
            </xdr:cNvSpPr>
          </xdr:nvSpPr>
          <xdr:spPr>
            <a:xfrm>
              <a:off x="12406313" y="219605"/>
              <a:ext cx="2643187" cy="863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68044</xdr:colOff>
      <xdr:row>15</xdr:row>
      <xdr:rowOff>1955</xdr:rowOff>
    </xdr:from>
    <xdr:to>
      <xdr:col>2</xdr:col>
      <xdr:colOff>244377</xdr:colOff>
      <xdr:row>23</xdr:row>
      <xdr:rowOff>73298</xdr:rowOff>
    </xdr:to>
    <mc:AlternateContent xmlns:mc="http://schemas.openxmlformats.org/markup-compatibility/2006">
      <mc:Choice xmlns:a14="http://schemas.microsoft.com/office/drawing/2010/main" Requires="a14">
        <xdr:graphicFrame macro="">
          <xdr:nvGraphicFramePr>
            <xdr:cNvPr id="52" name="StockReturn_Category">
              <a:extLst>
                <a:ext uri="{FF2B5EF4-FFF2-40B4-BE49-F238E27FC236}">
                  <a16:creationId xmlns:a16="http://schemas.microsoft.com/office/drawing/2014/main" id="{8126B15D-B33D-5A41-BCDC-683DDDDF66C6}"/>
                </a:ext>
              </a:extLst>
            </xdr:cNvPr>
            <xdr:cNvGraphicFramePr/>
          </xdr:nvGraphicFramePr>
          <xdr:xfrm>
            <a:off x="0" y="0"/>
            <a:ext cx="0" cy="0"/>
          </xdr:xfrm>
          <a:graphic>
            <a:graphicData uri="http://schemas.microsoft.com/office/drawing/2010/slicer">
              <sle:slicer xmlns:sle="http://schemas.microsoft.com/office/drawing/2010/slicer" name="StockReturn_Category"/>
            </a:graphicData>
          </a:graphic>
        </xdr:graphicFrame>
      </mc:Choice>
      <mc:Fallback>
        <xdr:sp macro="" textlink="">
          <xdr:nvSpPr>
            <xdr:cNvPr id="0" name=""/>
            <xdr:cNvSpPr>
              <a:spLocks noTextEdit="1"/>
            </xdr:cNvSpPr>
          </xdr:nvSpPr>
          <xdr:spPr>
            <a:xfrm>
              <a:off x="68044" y="2680861"/>
              <a:ext cx="1390771" cy="150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59531</xdr:colOff>
      <xdr:row>0</xdr:row>
      <xdr:rowOff>116267</xdr:rowOff>
    </xdr:from>
    <xdr:to>
      <xdr:col>33</xdr:col>
      <xdr:colOff>63673</xdr:colOff>
      <xdr:row>6</xdr:row>
      <xdr:rowOff>22949</xdr:rowOff>
    </xdr:to>
    <mc:AlternateContent xmlns:mc="http://schemas.openxmlformats.org/markup-compatibility/2006">
      <mc:Choice xmlns:tsle="http://schemas.microsoft.com/office/drawing/2012/timeslicer" Requires="tsle">
        <xdr:graphicFrame macro="">
          <xdr:nvGraphicFramePr>
            <xdr:cNvPr id="53" name="date">
              <a:extLst>
                <a:ext uri="{FF2B5EF4-FFF2-40B4-BE49-F238E27FC236}">
                  <a16:creationId xmlns:a16="http://schemas.microsoft.com/office/drawing/2014/main" id="{9FB3CDEF-A750-8E58-8CCB-870F31E2A9C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5240000" y="116267"/>
              <a:ext cx="4861892" cy="9782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35833</xdr:colOff>
      <xdr:row>7</xdr:row>
      <xdr:rowOff>83343</xdr:rowOff>
    </xdr:from>
    <xdr:to>
      <xdr:col>2</xdr:col>
      <xdr:colOff>248166</xdr:colOff>
      <xdr:row>14</xdr:row>
      <xdr:rowOff>130967</xdr:rowOff>
    </xdr:to>
    <mc:AlternateContent xmlns:mc="http://schemas.openxmlformats.org/markup-compatibility/2006">
      <mc:Choice xmlns:a14="http://schemas.microsoft.com/office/drawing/2010/main" Requires="a14">
        <xdr:graphicFrame macro="">
          <xdr:nvGraphicFramePr>
            <xdr:cNvPr id="51" name="Sentiment_status">
              <a:extLst>
                <a:ext uri="{FF2B5EF4-FFF2-40B4-BE49-F238E27FC236}">
                  <a16:creationId xmlns:a16="http://schemas.microsoft.com/office/drawing/2014/main" id="{E7108628-EEC3-7895-79DC-0625BAAA365A}"/>
                </a:ext>
              </a:extLst>
            </xdr:cNvPr>
            <xdr:cNvGraphicFramePr/>
          </xdr:nvGraphicFramePr>
          <xdr:xfrm>
            <a:off x="0" y="0"/>
            <a:ext cx="0" cy="0"/>
          </xdr:xfrm>
          <a:graphic>
            <a:graphicData uri="http://schemas.microsoft.com/office/drawing/2010/slicer">
              <sle:slicer xmlns:sle="http://schemas.microsoft.com/office/drawing/2010/slicer" name="Sentiment_status"/>
            </a:graphicData>
          </a:graphic>
        </xdr:graphicFrame>
      </mc:Choice>
      <mc:Fallback>
        <xdr:sp macro="" textlink="">
          <xdr:nvSpPr>
            <xdr:cNvPr id="0" name=""/>
            <xdr:cNvSpPr>
              <a:spLocks noTextEdit="1"/>
            </xdr:cNvSpPr>
          </xdr:nvSpPr>
          <xdr:spPr>
            <a:xfrm>
              <a:off x="35833" y="1333499"/>
              <a:ext cx="1426771" cy="1297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82284</xdr:colOff>
      <xdr:row>23</xdr:row>
      <xdr:rowOff>166689</xdr:rowOff>
    </xdr:from>
    <xdr:to>
      <xdr:col>2</xdr:col>
      <xdr:colOff>258617</xdr:colOff>
      <xdr:row>51</xdr:row>
      <xdr:rowOff>41012</xdr:rowOff>
    </xdr:to>
    <mc:AlternateContent xmlns:mc="http://schemas.openxmlformats.org/markup-compatibility/2006">
      <mc:Choice xmlns:a14="http://schemas.microsoft.com/office/drawing/2010/main" Requires="a14">
        <xdr:graphicFrame macro="">
          <xdr:nvGraphicFramePr>
            <xdr:cNvPr id="54" name="reviews_count">
              <a:extLst>
                <a:ext uri="{FF2B5EF4-FFF2-40B4-BE49-F238E27FC236}">
                  <a16:creationId xmlns:a16="http://schemas.microsoft.com/office/drawing/2014/main" id="{14B16DC3-8E00-6DCB-8ED3-3CADF2F6BE20}"/>
                </a:ext>
              </a:extLst>
            </xdr:cNvPr>
            <xdr:cNvGraphicFramePr/>
          </xdr:nvGraphicFramePr>
          <xdr:xfrm>
            <a:off x="0" y="0"/>
            <a:ext cx="0" cy="0"/>
          </xdr:xfrm>
          <a:graphic>
            <a:graphicData uri="http://schemas.microsoft.com/office/drawing/2010/slicer">
              <sle:slicer xmlns:sle="http://schemas.microsoft.com/office/drawing/2010/slicer" name="reviews_count"/>
            </a:graphicData>
          </a:graphic>
        </xdr:graphicFrame>
      </mc:Choice>
      <mc:Fallback>
        <xdr:sp macro="" textlink="">
          <xdr:nvSpPr>
            <xdr:cNvPr id="0" name=""/>
            <xdr:cNvSpPr>
              <a:spLocks noTextEdit="1"/>
            </xdr:cNvSpPr>
          </xdr:nvSpPr>
          <xdr:spPr>
            <a:xfrm>
              <a:off x="82284" y="4274345"/>
              <a:ext cx="1390771" cy="4874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293.908470949071" createdVersion="8" refreshedVersion="8" minRefreshableVersion="3" recordCount="2780" xr:uid="{8827A2B7-D35D-48C0-9948-7CB5060D8F15}">
  <cacheSource type="worksheet">
    <worksheetSource name="NetflixData"/>
  </cacheSource>
  <cacheFields count="16">
    <cacheField name="date" numFmtId="14">
      <sharedItems containsSemiMixedTypes="0" containsNonDate="0" containsDate="1" containsString="0" minDate="2018-09-12T00:00:00" maxDate="2026-09-24T00:00:00" count="278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9-15T00:00:00"/>
        <d v="2026-09-16T00:00:00"/>
        <d v="2026-09-17T00:00:00"/>
        <d v="2026-09-18T00:00:00"/>
        <d v="2026-09-19T00:00:00"/>
        <d v="2026-09-20T00:00:00"/>
        <d v="2026-09-21T00:00:00"/>
        <d v="2026-09-22T00:00:00"/>
        <d v="2026-09-23T00:00:00"/>
      </sharedItems>
    </cacheField>
    <cacheField name="stock_close" numFmtId="0">
      <sharedItems containsSemiMixedTypes="0" containsString="0" containsNumber="1" minValue="16.64" maxValue="133.91"/>
    </cacheField>
    <cacheField name="stock_volume" numFmtId="0">
      <sharedItems containsSemiMixedTypes="0" containsString="0" containsNumber="1" containsInteger="1" minValue="0" maxValue="1333875000" count="1891">
        <n v="104808000"/>
        <n v="83661000"/>
        <n v="47564000"/>
        <n v="0"/>
        <n v="70719000"/>
        <n v="104140000"/>
        <n v="118768000"/>
        <n v="67681000"/>
        <n v="119306000"/>
        <n v="93225000"/>
        <n v="67998000"/>
        <n v="137997000"/>
        <n v="73262000"/>
        <n v="71149000"/>
        <n v="83766000"/>
        <n v="86387000"/>
        <n v="57986000"/>
        <n v="90744000"/>
        <n v="135230000"/>
        <n v="123755000"/>
        <n v="87550000"/>
        <n v="171831000"/>
        <n v="160821000"/>
        <n v="148708000"/>
        <n v="112150000"/>
        <n v="201564000"/>
        <n v="326109000"/>
        <n v="184610000"/>
        <n v="167172000"/>
        <n v="170972000"/>
        <n v="149073000"/>
        <n v="190393000"/>
        <n v="133469000"/>
        <n v="196160000"/>
        <n v="216988000"/>
        <n v="236857000"/>
        <n v="203603000"/>
        <n v="151215000"/>
        <n v="134046000"/>
        <n v="102830000"/>
        <n v="97104000"/>
        <n v="133283000"/>
        <n v="110239000"/>
        <n v="134808000"/>
        <n v="109248000"/>
        <n v="122322000"/>
        <n v="168536000"/>
        <n v="99671000"/>
        <n v="90995000"/>
        <n v="129938000"/>
        <n v="166938000"/>
        <n v="110230000"/>
        <n v="52451000"/>
        <n v="124986000"/>
        <n v="111495000"/>
        <n v="148013000"/>
        <n v="154315000"/>
        <n v="118601000"/>
        <n v="141174000"/>
        <n v="128006000"/>
        <n v="130743000"/>
        <n v="124667000"/>
        <n v="96056000"/>
        <n v="98432000"/>
        <n v="114567000"/>
        <n v="83793000"/>
        <n v="99153000"/>
        <n v="96347000"/>
        <n v="103501000"/>
        <n v="137884000"/>
        <n v="167929000"/>
        <n v="213976000"/>
        <n v="95476000"/>
        <n v="144027000"/>
        <n v="122352000"/>
        <n v="109928000"/>
        <n v="135089000"/>
        <n v="116795000"/>
        <n v="149696000"/>
        <n v="193301000"/>
        <n v="186201000"/>
        <n v="153592000"/>
        <n v="133432000"/>
        <n v="134725000"/>
        <n v="195004000"/>
        <n v="104996000"/>
        <n v="211812000"/>
        <n v="153855000"/>
        <n v="188712000"/>
        <n v="266210000"/>
        <n v="179414000"/>
        <n v="134801000"/>
        <n v="111316000"/>
        <n v="111529000"/>
        <n v="86521000"/>
        <n v="76552000"/>
        <n v="92345000"/>
        <n v="85355000"/>
        <n v="98278000"/>
        <n v="90514000"/>
        <n v="90466000"/>
        <n v="67177000"/>
        <n v="78645000"/>
        <n v="75614000"/>
        <n v="54549000"/>
        <n v="104294000"/>
        <n v="105591000"/>
        <n v="92953000"/>
        <n v="92300000"/>
        <n v="73966000"/>
        <n v="81107000"/>
        <n v="62279000"/>
        <n v="70882000"/>
        <n v="75693000"/>
        <n v="49446000"/>
        <n v="56299000"/>
        <n v="61868000"/>
        <n v="55265000"/>
        <n v="74870000"/>
        <n v="59378000"/>
        <n v="62119000"/>
        <n v="61513000"/>
        <n v="68988000"/>
        <n v="53873000"/>
        <n v="51646000"/>
        <n v="64441000"/>
        <n v="52714000"/>
        <n v="84445000"/>
        <n v="71947000"/>
        <n v="75414000"/>
        <n v="109172000"/>
        <n v="85440000"/>
        <n v="86613000"/>
        <n v="84738000"/>
        <n v="76665000"/>
        <n v="78524000"/>
        <n v="43610000"/>
        <n v="47056000"/>
        <n v="70361000"/>
        <n v="51587000"/>
        <n v="53689000"/>
        <n v="46273000"/>
        <n v="39055000"/>
        <n v="46538000"/>
        <n v="54392000"/>
        <n v="45456000"/>
        <n v="65269000"/>
        <n v="156462000"/>
        <n v="88423000"/>
        <n v="187402000"/>
        <n v="180541000"/>
        <n v="83532000"/>
        <n v="119805000"/>
        <n v="100898000"/>
        <n v="65419000"/>
        <n v="62555000"/>
        <n v="56219000"/>
        <n v="38217000"/>
        <n v="38701000"/>
        <n v="92573000"/>
        <n v="53982000"/>
        <n v="51303000"/>
        <n v="57931000"/>
        <n v="69749000"/>
        <n v="65720000"/>
        <n v="58826000"/>
        <n v="56571000"/>
        <n v="80267000"/>
        <n v="53530000"/>
        <n v="63401000"/>
        <n v="64415000"/>
        <n v="47254000"/>
        <n v="46215000"/>
        <n v="40264000"/>
        <n v="62294000"/>
        <n v="56304000"/>
        <n v="38310000"/>
        <n v="47171000"/>
        <n v="56589000"/>
        <n v="40080000"/>
        <n v="50234000"/>
        <n v="78496000"/>
        <n v="78916000"/>
        <n v="50201000"/>
        <n v="37100000"/>
        <n v="47773000"/>
        <n v="78103000"/>
        <n v="53967000"/>
        <n v="45847000"/>
        <n v="62093000"/>
        <n v="50190000"/>
        <n v="53582000"/>
        <n v="54285000"/>
        <n v="56672000"/>
        <n v="58995000"/>
        <n v="74484000"/>
        <n v="48302000"/>
        <n v="57504000"/>
        <n v="36697000"/>
        <n v="41386000"/>
        <n v="45927000"/>
        <n v="49926000"/>
        <n v="36250000"/>
        <n v="37990000"/>
        <n v="37322000"/>
        <n v="31134000"/>
        <n v="69328000"/>
        <n v="58788000"/>
        <n v="43363000"/>
        <n v="66369000"/>
        <n v="79447000"/>
        <n v="58632000"/>
        <n v="136395000"/>
        <n v="312871000"/>
        <n v="163025000"/>
        <n v="177180000"/>
        <n v="91711000"/>
        <n v="119618000"/>
        <n v="107985000"/>
        <n v="108475000"/>
        <n v="57828000"/>
        <n v="60293000"/>
        <n v="62595000"/>
        <n v="65632000"/>
        <n v="62803000"/>
        <n v="86925000"/>
        <n v="61791000"/>
        <n v="93224000"/>
        <n v="59059000"/>
        <n v="53491000"/>
        <n v="65317000"/>
        <n v="52894000"/>
        <n v="73558000"/>
        <n v="96292000"/>
        <n v="69058000"/>
        <n v="49422000"/>
        <n v="73499000"/>
        <n v="56854000"/>
        <n v="49742000"/>
        <n v="63249000"/>
        <n v="46957000"/>
        <n v="63094000"/>
        <n v="39557000"/>
        <n v="43885000"/>
        <n v="44464000"/>
        <n v="36828000"/>
        <n v="46525000"/>
        <n v="89668000"/>
        <n v="51666000"/>
        <n v="82327000"/>
        <n v="123202000"/>
        <n v="74059000"/>
        <n v="50109000"/>
        <n v="65831000"/>
        <n v="53074000"/>
        <n v="47771000"/>
        <n v="78111000"/>
        <n v="84613000"/>
        <n v="238328000"/>
        <n v="134786000"/>
        <n v="163382000"/>
        <n v="116438000"/>
        <n v="76840000"/>
        <n v="73283000"/>
        <n v="67272000"/>
        <n v="86503000"/>
        <n v="76591000"/>
        <n v="89510000"/>
        <n v="98904000"/>
        <n v="65256000"/>
        <n v="62764000"/>
        <n v="67944000"/>
        <n v="108091000"/>
        <n v="87861000"/>
        <n v="55132000"/>
        <n v="76856000"/>
        <n v="161759000"/>
        <n v="382589000"/>
        <n v="234299000"/>
        <n v="125992000"/>
        <n v="118024000"/>
        <n v="71335000"/>
        <n v="48274000"/>
        <n v="47478000"/>
        <n v="62484000"/>
        <n v="43562000"/>
        <n v="93456000"/>
        <n v="50900000"/>
        <n v="55943000"/>
        <n v="55662000"/>
        <n v="40624000"/>
        <n v="34383000"/>
        <n v="59285000"/>
        <n v="45090000"/>
        <n v="39443000"/>
        <n v="57728000"/>
        <n v="91589000"/>
        <n v="65290000"/>
        <n v="63338000"/>
        <n v="86166000"/>
        <n v="59180000"/>
        <n v="51118000"/>
        <n v="74884000"/>
        <n v="59701000"/>
        <n v="78739000"/>
        <n v="53210000"/>
        <n v="40969000"/>
        <n v="24117000"/>
        <n v="62188000"/>
        <n v="49928000"/>
        <n v="35121000"/>
        <n v="46155000"/>
        <n v="44578000"/>
        <n v="57484000"/>
        <n v="104761000"/>
        <n v="55898000"/>
        <n v="47666000"/>
        <n v="38797000"/>
        <n v="46589000"/>
        <n v="104271000"/>
        <n v="112074000"/>
        <n v="98223000"/>
        <n v="99149000"/>
        <n v="57653000"/>
        <n v="20193000"/>
        <n v="35899000"/>
        <n v="50361000"/>
        <n v="43115000"/>
        <n v="37133000"/>
        <n v="44858000"/>
        <n v="38069000"/>
        <n v="56631000"/>
        <n v="47032000"/>
        <n v="71045000"/>
        <n v="47093000"/>
        <n v="47183000"/>
        <n v="62900000"/>
        <n v="71994000"/>
        <n v="51580000"/>
        <n v="50160000"/>
        <n v="60665000"/>
        <n v="143503000"/>
        <n v="217300000"/>
        <n v="182003000"/>
        <n v="179397000"/>
        <n v="77095000"/>
        <n v="68216000"/>
        <n v="76435000"/>
        <n v="53281000"/>
        <n v="52300000"/>
        <n v="66706000"/>
        <n v="71615000"/>
        <n v="64370000"/>
        <n v="39204000"/>
        <n v="43852000"/>
        <n v="52941000"/>
        <n v="47729000"/>
        <n v="46248000"/>
        <n v="44854000"/>
        <n v="37363000"/>
        <n v="51739000"/>
        <n v="48964000"/>
        <n v="40794000"/>
        <n v="39301000"/>
        <n v="69364000"/>
        <n v="64812000"/>
        <n v="89341000"/>
        <n v="109677000"/>
        <n v="111686000"/>
        <n v="69979000"/>
        <n v="83646000"/>
        <n v="54873000"/>
        <n v="87470000"/>
        <n v="81472000"/>
        <n v="74055000"/>
        <n v="76044000"/>
        <n v="60360000"/>
        <n v="120716000"/>
        <n v="94582000"/>
        <n v="105599000"/>
        <n v="100139000"/>
        <n v="125936000"/>
        <n v="106160000"/>
        <n v="108538000"/>
        <n v="134494000"/>
        <n v="116387000"/>
        <n v="87672000"/>
        <n v="72296000"/>
        <n v="79488000"/>
        <n v="86220000"/>
        <n v="93665000"/>
        <n v="66725000"/>
        <n v="45925000"/>
        <n v="48608000"/>
        <n v="81839000"/>
        <n v="70464000"/>
        <n v="69089000"/>
        <n v="77113000"/>
        <n v="116929000"/>
        <n v="115810000"/>
        <n v="135612000"/>
        <n v="161287000"/>
        <n v="126163000"/>
        <n v="126558000"/>
        <n v="231776000"/>
        <n v="210848000"/>
        <n v="139523000"/>
        <n v="86589000"/>
        <n v="62775000"/>
        <n v="101012000"/>
        <n v="96931000"/>
        <n v="79540000"/>
        <n v="82999000"/>
        <n v="77991000"/>
        <n v="62863000"/>
        <n v="66607000"/>
        <n v="56419000"/>
        <n v="50493000"/>
        <n v="54860000"/>
        <n v="45982000"/>
        <n v="70146000"/>
        <n v="90075000"/>
        <n v="72440000"/>
        <n v="77735000"/>
        <n v="48105000"/>
        <n v="56073000"/>
        <n v="91173000"/>
        <n v="54223000"/>
        <n v="78811000"/>
        <n v="104463000"/>
        <n v="56551000"/>
        <n v="52549000"/>
        <n v="37437000"/>
        <n v="34948000"/>
        <n v="43160000"/>
        <n v="54105000"/>
        <n v="50996000"/>
        <n v="58515000"/>
        <n v="67970000"/>
        <n v="48969000"/>
        <n v="74629000"/>
        <n v="64611000"/>
        <n v="44679000"/>
        <n v="55079000"/>
        <n v="65296000"/>
        <n v="42776000"/>
        <n v="59345000"/>
        <n v="62721000"/>
        <n v="59484000"/>
        <n v="48262000"/>
        <n v="41345000"/>
        <n v="68047000"/>
        <n v="48440000"/>
        <n v="41985000"/>
        <n v="97059000"/>
        <n v="63515000"/>
        <n v="78390000"/>
        <n v="56699000"/>
        <n v="56917000"/>
        <n v="58405000"/>
        <n v="216056000"/>
        <n v="183990000"/>
        <n v="150833000"/>
        <n v="100667000"/>
        <n v="244990000"/>
        <n v="249914000"/>
        <n v="119403000"/>
        <n v="91137000"/>
        <n v="69541000"/>
        <n v="77220000"/>
        <n v="77462000"/>
        <n v="78631000"/>
        <n v="59867000"/>
        <n v="66118000"/>
        <n v="66086000"/>
        <n v="59163000"/>
        <n v="58731000"/>
        <n v="56080000"/>
        <n v="43082000"/>
        <n v="37259000"/>
        <n v="59103000"/>
        <n v="46912000"/>
        <n v="73292000"/>
        <n v="30089000"/>
        <n v="29435000"/>
        <n v="24235000"/>
        <n v="35055000"/>
        <n v="31562000"/>
        <n v="51325000"/>
        <n v="39213000"/>
        <n v="47622000"/>
        <n v="57277000"/>
        <n v="203737000"/>
        <n v="90629000"/>
        <n v="44175000"/>
        <n v="49414000"/>
        <n v="95727000"/>
        <n v="58869000"/>
        <n v="90711000"/>
        <n v="82701000"/>
        <n v="55727000"/>
        <n v="68481000"/>
        <n v="62402000"/>
        <n v="50352000"/>
        <n v="73591000"/>
        <n v="53370000"/>
        <n v="43949000"/>
        <n v="53793000"/>
        <n v="54575000"/>
        <n v="34823000"/>
        <n v="37264000"/>
        <n v="37272000"/>
        <n v="37694000"/>
        <n v="47735000"/>
        <n v="35415000"/>
        <n v="46341000"/>
        <n v="81537000"/>
        <n v="60712000"/>
        <n v="40881000"/>
        <n v="41990000"/>
        <n v="79887000"/>
        <n v="53865000"/>
        <n v="47813000"/>
        <n v="53911000"/>
        <n v="56025000"/>
        <n v="94990000"/>
        <n v="51131000"/>
        <n v="63474000"/>
        <n v="75675000"/>
        <n v="100472000"/>
        <n v="174057000"/>
        <n v="49279000"/>
        <n v="61861000"/>
        <n v="36272000"/>
        <n v="59927000"/>
        <n v="111207000"/>
        <n v="78079000"/>
        <n v="44082000"/>
        <n v="36902000"/>
        <n v="51373000"/>
        <n v="53728000"/>
        <n v="42363000"/>
        <n v="104197000"/>
        <n v="83061000"/>
        <n v="54605000"/>
        <n v="50637000"/>
        <n v="30027000"/>
        <n v="39536000"/>
        <n v="36981000"/>
        <n v="36292000"/>
        <n v="22547000"/>
        <n v="42534000"/>
        <n v="54166000"/>
        <n v="35505000"/>
        <n v="35986000"/>
        <n v="28058000"/>
        <n v="35309000"/>
        <n v="50527000"/>
        <n v="30284000"/>
        <n v="28261000"/>
        <n v="36662000"/>
        <n v="42893000"/>
        <n v="42290000"/>
        <n v="41788000"/>
        <n v="30182000"/>
        <n v="32109000"/>
        <n v="57704000"/>
        <n v="33949000"/>
        <n v="36824000"/>
        <n v="31934000"/>
        <n v="45027000"/>
        <n v="38940000"/>
        <n v="19066000"/>
        <n v="23932000"/>
        <n v="11440000"/>
        <n v="28919000"/>
        <n v="40224000"/>
        <n v="18763000"/>
        <n v="53923000"/>
        <n v="44444000"/>
        <n v="31339000"/>
        <n v="53462000"/>
        <n v="36864000"/>
        <n v="29739000"/>
        <n v="38062000"/>
        <n v="59904000"/>
        <n v="50321000"/>
        <n v="41774000"/>
        <n v="58958000"/>
        <n v="123158000"/>
        <n v="326375000"/>
        <n v="118021000"/>
        <n v="75508000"/>
        <n v="72073000"/>
        <n v="50238000"/>
        <n v="86703000"/>
        <n v="59690000"/>
        <n v="43253000"/>
        <n v="35475000"/>
        <n v="37676000"/>
        <n v="31723000"/>
        <n v="51645000"/>
        <n v="23762000"/>
        <n v="27917000"/>
        <n v="37035000"/>
        <n v="39913000"/>
        <n v="27306000"/>
        <n v="21971000"/>
        <n v="26241000"/>
        <n v="20696000"/>
        <n v="24562000"/>
        <n v="28415000"/>
        <n v="30786000"/>
        <n v="41365000"/>
        <n v="32450000"/>
        <n v="42529000"/>
        <n v="37556000"/>
        <n v="30414000"/>
        <n v="30422000"/>
        <n v="53624000"/>
        <n v="50348000"/>
        <n v="50700000"/>
        <n v="39818000"/>
        <n v="34700000"/>
        <n v="37715000"/>
        <n v="47145000"/>
        <n v="39817000"/>
        <n v="34843000"/>
        <n v="32389000"/>
        <n v="28174000"/>
        <n v="40945000"/>
        <n v="43864000"/>
        <n v="33606000"/>
        <n v="55835000"/>
        <n v="41022000"/>
        <n v="49268000"/>
        <n v="34678000"/>
        <n v="33300000"/>
        <n v="24181000"/>
        <n v="35031000"/>
        <n v="39386000"/>
        <n v="33559000"/>
        <n v="34742000"/>
        <n v="21513000"/>
        <n v="43098000"/>
        <n v="28940000"/>
        <n v="29441000"/>
        <n v="27203000"/>
        <n v="37403000"/>
        <n v="31391000"/>
        <n v="32091000"/>
        <n v="42887000"/>
        <n v="112576000"/>
        <n v="228974000"/>
        <n v="90611000"/>
        <n v="73077000"/>
        <n v="43888000"/>
        <n v="37613000"/>
        <n v="31930000"/>
        <n v="51278000"/>
        <n v="44132000"/>
        <n v="40919000"/>
        <n v="43495000"/>
        <n v="31294000"/>
        <n v="37837000"/>
        <n v="31328000"/>
        <n v="51316000"/>
        <n v="44010000"/>
        <n v="41215000"/>
        <n v="27125000"/>
        <n v="28825000"/>
        <n v="27052000"/>
        <n v="23505000"/>
        <n v="33499000"/>
        <n v="37212000"/>
        <n v="33229000"/>
        <n v="24126000"/>
        <n v="26995000"/>
        <n v="24653000"/>
        <n v="32538000"/>
        <n v="29103000"/>
        <n v="24826000"/>
        <n v="22690000"/>
        <n v="38874000"/>
        <n v="31605000"/>
        <n v="27919000"/>
        <n v="23740000"/>
        <n v="30550000"/>
        <n v="43829000"/>
        <n v="31240000"/>
        <n v="44002000"/>
        <n v="31041000"/>
        <n v="35332000"/>
        <n v="31983000"/>
        <n v="51976000"/>
        <n v="52773000"/>
        <n v="58093000"/>
        <n v="39448000"/>
        <n v="33612000"/>
        <n v="52991000"/>
        <n v="28202000"/>
        <n v="23146000"/>
        <n v="27734000"/>
        <n v="28054000"/>
        <n v="19755000"/>
        <n v="27751000"/>
        <n v="27225000"/>
        <n v="32690000"/>
        <n v="27772000"/>
        <n v="17807000"/>
        <n v="27516000"/>
        <n v="46595000"/>
        <n v="57139000"/>
        <n v="34421000"/>
        <n v="38858000"/>
        <n v="69304000"/>
        <n v="119068000"/>
        <n v="43281000"/>
        <n v="38205000"/>
        <n v="22545000"/>
        <n v="27590000"/>
        <n v="23905000"/>
        <n v="17360000"/>
        <n v="25371000"/>
        <n v="20966000"/>
        <n v="25794000"/>
        <n v="20394000"/>
        <n v="25567000"/>
        <n v="19198000"/>
        <n v="13678000"/>
        <n v="19605000"/>
        <n v="16739000"/>
        <n v="16857000"/>
        <n v="21777000"/>
        <n v="20328000"/>
        <n v="23098000"/>
        <n v="25820000"/>
        <n v="74973000"/>
        <n v="37764000"/>
        <n v="26020000"/>
        <n v="21095000"/>
        <n v="20656000"/>
        <n v="15955000"/>
        <n v="32526000"/>
        <n v="24348000"/>
        <n v="24319000"/>
        <n v="56262000"/>
        <n v="61799000"/>
        <n v="26812000"/>
        <n v="58214000"/>
        <n v="54245000"/>
        <n v="29542000"/>
        <n v="39508000"/>
        <n v="30629000"/>
        <n v="34570000"/>
        <n v="27556000"/>
        <n v="18320000"/>
        <n v="41451000"/>
        <n v="22509000"/>
        <n v="40218000"/>
        <n v="25262000"/>
        <n v="21262000"/>
        <n v="25047000"/>
        <n v="44311000"/>
        <n v="62210000"/>
        <n v="66126000"/>
        <n v="40908000"/>
        <n v="49959000"/>
        <n v="95343000"/>
        <n v="45804000"/>
        <n v="35569000"/>
        <n v="32721000"/>
        <n v="28625000"/>
        <n v="32273000"/>
        <n v="24203000"/>
        <n v="26717000"/>
        <n v="41169000"/>
        <n v="46691000"/>
        <n v="76331000"/>
        <n v="106220000"/>
        <n v="84371000"/>
        <n v="61860000"/>
        <n v="38335000"/>
        <n v="29048000"/>
        <n v="22769000"/>
        <n v="28594000"/>
        <n v="38253000"/>
        <n v="31109000"/>
        <n v="38886000"/>
        <n v="23349000"/>
        <n v="48650000"/>
        <n v="52835000"/>
        <n v="28875000"/>
        <n v="24156000"/>
        <n v="24058000"/>
        <n v="28683000"/>
        <n v="41984000"/>
        <n v="28722000"/>
        <n v="20774000"/>
        <n v="27328000"/>
        <n v="20129000"/>
        <n v="26137000"/>
        <n v="27644000"/>
        <n v="23202000"/>
        <n v="18673000"/>
        <n v="28725000"/>
        <n v="25294000"/>
        <n v="56089000"/>
        <n v="38828000"/>
        <n v="33311000"/>
        <n v="48293000"/>
        <n v="30757000"/>
        <n v="31252000"/>
        <n v="22203000"/>
        <n v="23763000"/>
        <n v="27488000"/>
        <n v="25179000"/>
        <n v="29845000"/>
        <n v="28662000"/>
        <n v="31432000"/>
        <n v="43869000"/>
        <n v="33584000"/>
        <n v="23194000"/>
        <n v="23357000"/>
        <n v="16211000"/>
        <n v="20615000"/>
        <n v="18828000"/>
        <n v="12872000"/>
        <n v="16251000"/>
        <n v="19959000"/>
        <n v="30675000"/>
        <n v="43931000"/>
        <n v="41487000"/>
        <n v="57118000"/>
        <n v="33829000"/>
        <n v="44861000"/>
        <n v="30778000"/>
        <n v="37874000"/>
        <n v="44751000"/>
        <n v="78611000"/>
        <n v="48391000"/>
        <n v="43535000"/>
        <n v="126590000"/>
        <n v="589043000"/>
        <n v="323460000"/>
        <n v="151458000"/>
        <n v="126840000"/>
        <n v="243247000"/>
        <n v="119666000"/>
        <n v="200475000"/>
        <n v="225681000"/>
        <n v="143460000"/>
        <n v="99052000"/>
        <n v="77898000"/>
        <n v="82329000"/>
        <n v="68185000"/>
        <n v="77382000"/>
        <n v="84529000"/>
        <n v="75589000"/>
        <n v="72022000"/>
        <n v="52777000"/>
        <n v="46692000"/>
        <n v="68017000"/>
        <n v="66975000"/>
        <n v="46143000"/>
        <n v="70687000"/>
        <n v="48416000"/>
        <n v="50350000"/>
        <n v="32904000"/>
        <n v="53568000"/>
        <n v="60768000"/>
        <n v="53255000"/>
        <n v="57084000"/>
        <n v="64287000"/>
        <n v="65202000"/>
        <n v="48078000"/>
        <n v="48199000"/>
        <n v="59078000"/>
        <n v="54606000"/>
        <n v="69825000"/>
        <n v="58183000"/>
        <n v="83248000"/>
        <n v="48665000"/>
        <n v="42428000"/>
        <n v="37290000"/>
        <n v="38885000"/>
        <n v="35745000"/>
        <n v="43234000"/>
        <n v="58807000"/>
        <n v="40233000"/>
        <n v="41347000"/>
        <n v="46442000"/>
        <n v="70018000"/>
        <n v="42345000"/>
        <n v="43549000"/>
        <n v="49489000"/>
        <n v="40252000"/>
        <n v="37771000"/>
        <n v="38243000"/>
        <n v="32310000"/>
        <n v="43438000"/>
        <n v="51050000"/>
        <n v="209069000"/>
        <n v="1333875000"/>
        <n v="535016000"/>
        <n v="375151000"/>
        <n v="281520000"/>
        <n v="203181000"/>
        <n v="222984000"/>
        <n v="213632000"/>
        <n v="163919000"/>
        <n v="145916000"/>
        <n v="118394000"/>
        <n v="122188000"/>
        <n v="139713000"/>
        <n v="171855000"/>
        <n v="140313000"/>
        <n v="138839000"/>
        <n v="126655000"/>
        <n v="176621000"/>
        <n v="131363000"/>
        <n v="161450000"/>
        <n v="98767000"/>
        <n v="96656000"/>
        <n v="104485000"/>
        <n v="96020000"/>
        <n v="77064000"/>
        <n v="85221000"/>
        <n v="80499000"/>
        <n v="85860000"/>
        <n v="113985000"/>
        <n v="84162000"/>
        <n v="96231000"/>
        <n v="71918000"/>
        <n v="53720000"/>
        <n v="48395000"/>
        <n v="72441000"/>
        <n v="69490000"/>
        <n v="130656000"/>
        <n v="102224000"/>
        <n v="115553000"/>
        <n v="123960000"/>
        <n v="82013000"/>
        <n v="121334000"/>
        <n v="121776000"/>
        <n v="119924000"/>
        <n v="95382000"/>
        <n v="124240000"/>
        <n v="83639000"/>
        <n v="71854000"/>
        <n v="57668000"/>
        <n v="78947000"/>
        <n v="52016000"/>
        <n v="73343000"/>
        <n v="57534000"/>
        <n v="63345000"/>
        <n v="58357000"/>
        <n v="60388000"/>
        <n v="68453000"/>
        <n v="127344000"/>
        <n v="90395000"/>
        <n v="163191000"/>
        <n v="163228000"/>
        <n v="281787000"/>
        <n v="539203000"/>
        <n v="234301000"/>
        <n v="178055000"/>
        <n v="109352000"/>
        <n v="95085000"/>
        <n v="105084000"/>
        <n v="89727000"/>
        <n v="90649000"/>
        <n v="55250000"/>
        <n v="63613000"/>
        <n v="64007000"/>
        <n v="71427000"/>
        <n v="55397000"/>
        <n v="109821000"/>
        <n v="61812000"/>
        <n v="92548000"/>
        <n v="87801000"/>
        <n v="60985000"/>
        <n v="65274000"/>
        <n v="51368000"/>
        <n v="56272000"/>
        <n v="52804000"/>
        <n v="75047000"/>
        <n v="86301000"/>
        <n v="52769000"/>
        <n v="54263000"/>
        <n v="37669000"/>
        <n v="53498000"/>
        <n v="71094000"/>
        <n v="57404000"/>
        <n v="86159000"/>
        <n v="72929000"/>
        <n v="81649000"/>
        <n v="74690000"/>
        <n v="81493000"/>
        <n v="67374000"/>
        <n v="66996000"/>
        <n v="60474000"/>
        <n v="80001000"/>
        <n v="82303000"/>
        <n v="194541000"/>
        <n v="189142000"/>
        <n v="179124000"/>
        <n v="160374000"/>
        <n v="91668000"/>
        <n v="100180000"/>
        <n v="112072000"/>
        <n v="82343000"/>
        <n v="77622000"/>
        <n v="175797000"/>
        <n v="189949000"/>
        <n v="118486000"/>
        <n v="86574000"/>
        <n v="139259000"/>
        <n v="108256000"/>
        <n v="91889000"/>
        <n v="98061000"/>
        <n v="99911000"/>
        <n v="152824000"/>
        <n v="129526000"/>
        <n v="175050000"/>
        <n v="152934000"/>
        <n v="210578000"/>
        <n v="257767000"/>
        <n v="466853000"/>
        <n v="172071000"/>
        <n v="248891000"/>
        <n v="133264000"/>
        <n v="151007000"/>
        <n v="157141000"/>
        <n v="146126000"/>
        <n v="99605000"/>
        <n v="75051000"/>
        <n v="69164000"/>
        <n v="103676000"/>
        <n v="70574000"/>
        <n v="111247000"/>
        <n v="79270000"/>
        <n v="76838000"/>
        <n v="72660000"/>
        <n v="96673000"/>
        <n v="95738000"/>
        <n v="179782000"/>
        <n v="146269000"/>
        <n v="80386000"/>
        <n v="98382000"/>
        <n v="84001000"/>
        <n v="72565000"/>
        <n v="62451000"/>
        <n v="59190000"/>
        <n v="32360000"/>
        <n v="47034000"/>
        <n v="57869000"/>
        <n v="160701000"/>
        <n v="146649000"/>
        <n v="126906000"/>
        <n v="84230000"/>
        <n v="71954000"/>
        <n v="78216000"/>
        <n v="72053000"/>
        <n v="143640000"/>
        <n v="101486000"/>
        <n v="107564000"/>
        <n v="75433000"/>
        <n v="177246000"/>
        <n v="140800000"/>
        <n v="61637000"/>
        <n v="69181000"/>
        <n v="63762000"/>
        <n v="78562000"/>
        <n v="42511000"/>
        <n v="57781000"/>
        <n v="59644000"/>
        <n v="95885000"/>
        <n v="75669000"/>
        <n v="67640000"/>
        <n v="93451000"/>
        <n v="83284000"/>
        <n v="89598000"/>
        <n v="67666000"/>
        <n v="130723000"/>
        <n v="95797000"/>
        <n v="108562000"/>
        <n v="82868000"/>
        <n v="92470000"/>
        <n v="78141000"/>
        <n v="180082000"/>
        <n v="284303000"/>
        <n v="156469000"/>
        <n v="117965000"/>
        <n v="77669000"/>
        <n v="82568000"/>
        <n v="67035000"/>
        <n v="51276000"/>
        <n v="56607000"/>
        <n v="80052000"/>
        <n v="78570000"/>
        <n v="94020000"/>
        <n v="49949000"/>
        <n v="62894000"/>
        <n v="62532000"/>
        <n v="69011000"/>
        <n v="72911000"/>
        <n v="71344000"/>
        <n v="39660000"/>
        <n v="52157000"/>
        <n v="52947000"/>
        <n v="57103000"/>
        <n v="45462000"/>
        <n v="132387000"/>
        <n v="68307000"/>
        <n v="61426000"/>
        <n v="36761000"/>
        <n v="49113000"/>
        <n v="49110000"/>
        <n v="59533000"/>
        <n v="45531000"/>
        <n v="34795000"/>
        <n v="74434000"/>
        <n v="57593000"/>
        <n v="62924000"/>
        <n v="59567000"/>
        <n v="92153000"/>
        <n v="79037000"/>
        <n v="69188000"/>
        <n v="51134000"/>
        <n v="48863000"/>
        <n v="58080000"/>
        <n v="156533000"/>
        <n v="129917000"/>
        <n v="86258000"/>
        <n v="64894000"/>
        <n v="62873000"/>
        <n v="71315000"/>
        <n v="56102000"/>
        <n v="44137000"/>
        <n v="32981000"/>
        <n v="42055000"/>
        <n v="46605000"/>
        <n v="26579000"/>
        <n v="40448000"/>
        <n v="39654000"/>
        <n v="74064000"/>
        <n v="53505000"/>
        <n v="61360000"/>
        <n v="179445000"/>
        <n v="221283000"/>
        <n v="99478000"/>
        <n v="63480000"/>
        <n v="55866000"/>
        <n v="54266000"/>
        <n v="46232000"/>
        <n v="56188000"/>
        <n v="42284000"/>
        <n v="53415000"/>
        <n v="43186000"/>
        <n v="50641000"/>
        <n v="39906000"/>
        <n v="54886000"/>
        <n v="55449000"/>
        <n v="42899000"/>
        <n v="80335000"/>
        <n v="60824000"/>
        <n v="36530000"/>
        <n v="33322000"/>
        <n v="39588000"/>
        <n v="209252000"/>
        <n v="78597000"/>
        <n v="54064000"/>
        <n v="68661000"/>
        <n v="79733000"/>
        <n v="62631000"/>
        <n v="93604000"/>
        <n v="108650000"/>
        <n v="69880000"/>
        <n v="71601000"/>
        <n v="59024000"/>
        <n v="72474000"/>
        <n v="49915000"/>
        <n v="119324000"/>
        <n v="59911000"/>
        <n v="123630000"/>
        <n v="59595000"/>
        <n v="78205000"/>
        <n v="84131000"/>
        <n v="70999000"/>
        <n v="87537000"/>
        <n v="47560000"/>
        <n v="51464000"/>
        <n v="48695000"/>
        <n v="82986000"/>
        <n v="46400000"/>
        <n v="48181000"/>
        <n v="88113000"/>
        <n v="49323000"/>
        <n v="73464000"/>
        <n v="37332000"/>
        <n v="68695000"/>
        <n v="49388000"/>
        <n v="41651000"/>
        <n v="42517000"/>
        <n v="45692000"/>
        <n v="57317000"/>
        <n v="61575000"/>
        <n v="71959000"/>
        <n v="68917000"/>
        <n v="130418000"/>
        <n v="209965000"/>
        <n v="239897000"/>
        <n v="173400000"/>
        <n v="82644000"/>
        <n v="48598000"/>
        <n v="60092000"/>
        <n v="65945000"/>
        <n v="64242000"/>
        <n v="65876000"/>
        <n v="57115000"/>
        <n v="49122000"/>
        <n v="62439000"/>
        <n v="54418000"/>
        <n v="37672000"/>
        <n v="38466000"/>
        <n v="54676000"/>
        <n v="39279000"/>
        <n v="33680000"/>
        <n v="39670000"/>
        <n v="60315000"/>
        <n v="43122000"/>
        <n v="38616000"/>
        <n v="35997000"/>
        <n v="81747000"/>
        <n v="56878000"/>
        <n v="53909000"/>
        <n v="29286000"/>
        <n v="44867000"/>
        <n v="36254000"/>
        <n v="38030000"/>
        <n v="47934000"/>
        <n v="61559000"/>
        <n v="38623000"/>
        <n v="29227000"/>
        <n v="26975000"/>
        <n v="29138000"/>
        <n v="118430000"/>
        <n v="107090000"/>
        <n v="91167000"/>
        <n v="47047000"/>
        <n v="40768000"/>
        <n v="38666000"/>
        <n v="55479000"/>
        <n v="36928000"/>
        <n v="37573000"/>
        <n v="40894000"/>
        <n v="38435000"/>
        <n v="43699000"/>
        <n v="42053000"/>
        <n v="31021000"/>
        <n v="88781000"/>
        <n v="43037000"/>
        <n v="47781000"/>
        <n v="32998000"/>
        <n v="72889000"/>
        <n v="91514000"/>
        <n v="73761000"/>
        <n v="63126000"/>
        <n v="51289000"/>
        <n v="59084000"/>
        <n v="114296000"/>
        <n v="280744000"/>
        <n v="127829000"/>
        <n v="73900000"/>
        <n v="64592000"/>
        <n v="62996000"/>
        <n v="68497000"/>
        <n v="49976000"/>
        <n v="53171000"/>
        <n v="38776000"/>
        <n v="48061000"/>
        <n v="44760000"/>
        <n v="36671000"/>
        <n v="30032000"/>
        <n v="32911000"/>
        <n v="23568000"/>
        <n v="27355000"/>
        <n v="44406000"/>
        <n v="28961000"/>
        <n v="40609000"/>
        <n v="50353000"/>
        <n v="36560000"/>
        <n v="27985000"/>
        <n v="36176000"/>
        <n v="29977000"/>
        <n v="28416000"/>
        <n v="14047000"/>
        <n v="36259000"/>
        <n v="28902000"/>
        <n v="28555000"/>
        <n v="42873000"/>
        <n v="43415000"/>
        <n v="51577000"/>
        <n v="33807000"/>
        <n v="35067000"/>
        <n v="34584000"/>
        <n v="49297000"/>
        <n v="33027000"/>
        <n v="58202000"/>
        <n v="51764000"/>
        <n v="78410000"/>
        <n v="64107000"/>
        <n v="38490000"/>
        <n v="45637000"/>
        <n v="27562000"/>
        <n v="27027000"/>
        <n v="20345000"/>
        <n v="25613000"/>
        <n v="17105000"/>
        <n v="27406000"/>
        <n v="50494000"/>
        <n v="34437000"/>
        <n v="36365000"/>
        <n v="26313000"/>
        <n v="36758000"/>
        <n v="35268000"/>
        <n v="43424000"/>
        <n v="79933000"/>
        <n v="50037000"/>
        <n v="46790000"/>
        <n v="48946000"/>
        <n v="40544000"/>
        <n v="56724000"/>
        <n v="52123000"/>
        <n v="155060000"/>
        <n v="264328000"/>
        <n v="94519000"/>
        <n v="127706000"/>
        <n v="69054000"/>
        <n v="61818000"/>
        <n v="48576000"/>
        <n v="31740000"/>
        <n v="40328000"/>
        <n v="41431000"/>
        <n v="28403000"/>
        <n v="43736000"/>
        <n v="31755000"/>
        <n v="30557000"/>
        <n v="36085000"/>
        <n v="35115000"/>
        <n v="56342000"/>
        <n v="52209000"/>
        <n v="43257000"/>
        <n v="31242000"/>
        <n v="22706000"/>
        <n v="35266000"/>
        <n v="25689000"/>
        <n v="23937000"/>
        <n v="44894000"/>
        <n v="26052000"/>
        <n v="35721000"/>
        <n v="42703000"/>
        <n v="30203000"/>
        <n v="38496000"/>
        <n v="24696000"/>
        <n v="27428000"/>
        <n v="25009000"/>
        <n v="28216000"/>
        <n v="21921000"/>
        <n v="31205000"/>
        <n v="66716000"/>
        <n v="33442000"/>
        <n v="21426000"/>
        <n v="26395000"/>
        <n v="25077000"/>
        <n v="21357000"/>
        <n v="18033000"/>
        <n v="28045000"/>
        <n v="26283000"/>
        <n v="37088000"/>
        <n v="21159000"/>
        <n v="20292000"/>
        <n v="29312000"/>
        <n v="30643000"/>
        <n v="33788000"/>
        <n v="21457000"/>
        <n v="21436000"/>
        <n v="28062000"/>
        <n v="26627000"/>
        <n v="29593000"/>
        <n v="30854000"/>
        <n v="35191000"/>
        <n v="33122000"/>
        <n v="84684000"/>
        <n v="164497000"/>
        <n v="85977000"/>
        <n v="49755000"/>
        <n v="53553000"/>
        <n v="38071000"/>
        <n v="43326000"/>
        <n v="25089000"/>
        <n v="33615000"/>
        <n v="34732000"/>
        <n v="30682000"/>
        <n v="33075000"/>
        <n v="36863000"/>
        <n v="36141000"/>
        <n v="30939000"/>
        <n v="20654000"/>
        <n v="26536000"/>
        <n v="20862000"/>
        <n v="27924000"/>
        <n v="56706000"/>
        <n v="30564000"/>
        <n v="37827000"/>
        <n v="38579000"/>
        <n v="29202000"/>
        <n v="21762000"/>
        <n v="23139000"/>
        <n v="26153000"/>
        <n v="26095000"/>
        <n v="36959000"/>
        <n v="23889000"/>
        <n v="40710000"/>
        <n v="23235000"/>
        <n v="30082000"/>
        <n v="26826000"/>
        <n v="24667000"/>
        <n v="18766000"/>
        <n v="20644000"/>
        <n v="21674000"/>
        <n v="20944000"/>
        <n v="18636000"/>
        <n v="44471000"/>
        <n v="36312000"/>
        <n v="29438000"/>
        <n v="25851000"/>
        <n v="45064000"/>
        <n v="39163000"/>
        <n v="35458000"/>
        <n v="24048000"/>
        <n v="34124000"/>
        <n v="22128000"/>
        <n v="24114000"/>
        <n v="14035000"/>
        <n v="26591000"/>
        <n v="19308000"/>
        <n v="25961000"/>
        <n v="26519000"/>
        <n v="51066000"/>
        <n v="33552000"/>
        <n v="32088000"/>
        <n v="26857000"/>
        <n v="40173000"/>
        <n v="75758000"/>
        <n v="98156000"/>
        <n v="52191000"/>
        <n v="24636000"/>
        <n v="48882000"/>
        <n v="45545000"/>
        <n v="31207000"/>
        <n v="24005000"/>
        <n v="34966000"/>
        <n v="31349000"/>
        <n v="37206000"/>
        <n v="35230000"/>
        <n v="40442000"/>
        <n v="43191000"/>
        <n v="31878000"/>
        <n v="32835000"/>
        <n v="19808000"/>
        <n v="23317000"/>
        <n v="26396000"/>
        <n v="40143000"/>
        <n v="32102000"/>
        <n v="35110000"/>
        <n v="30162000"/>
        <n v="48131000"/>
        <n v="22353000"/>
        <n v="27294000"/>
        <n v="23545000"/>
        <n v="13542000"/>
        <n v="31649000"/>
        <n v="24306000"/>
        <n v="21870000"/>
        <n v="32667000"/>
        <n v="31610000"/>
        <n v="17853000"/>
        <n v="18101000"/>
        <n v="29913000"/>
        <n v="26831000"/>
        <n v="20792000"/>
        <n v="23919000"/>
        <n v="25821000"/>
        <n v="22765000"/>
        <n v="18437000"/>
        <n v="22986000"/>
        <n v="29844000"/>
        <n v="42285000"/>
        <n v="39981000"/>
        <n v="32243000"/>
        <n v="35657000"/>
        <n v="22598000"/>
        <n v="28330000"/>
        <n v="23956000"/>
        <n v="17099000"/>
        <n v="28135000"/>
        <n v="17582000"/>
        <n v="22564000"/>
        <n v="22290000"/>
        <n v="33605000"/>
        <n v="31874000"/>
        <n v="19811000"/>
        <n v="27679000"/>
        <n v="22995000"/>
        <n v="27971000"/>
        <n v="29328000"/>
        <n v="24943000"/>
        <n v="89267000"/>
        <n v="159741000"/>
        <n v="60571000"/>
        <n v="29873000"/>
        <n v="37490000"/>
        <n v="26430000"/>
        <n v="28195000"/>
        <n v="28624000"/>
        <n v="36604000"/>
        <n v="17220000"/>
        <n v="30577000"/>
        <n v="29968000"/>
        <n v="19022000"/>
        <n v="22006000"/>
        <n v="36908000"/>
        <n v="32951000"/>
        <n v="19106000"/>
        <n v="23992000"/>
        <n v="28141000"/>
        <n v="27678000"/>
        <n v="30382000"/>
        <n v="36737000"/>
        <n v="40812000"/>
        <n v="38142000"/>
        <n v="40938000"/>
        <n v="45113000"/>
        <n v="32140000"/>
        <n v="60142000"/>
        <n v="31383000"/>
        <n v="25782000"/>
        <n v="20272000"/>
        <n v="23890000"/>
        <n v="24016000"/>
        <n v="26896000"/>
        <n v="28353000"/>
        <n v="29554000"/>
        <n v="33501000"/>
        <n v="23886000"/>
        <n v="35017000"/>
        <n v="24862000"/>
        <n v="24858000"/>
        <n v="26749000"/>
        <n v="24595000"/>
        <n v="29382000"/>
        <n v="28155000"/>
        <n v="45305000"/>
        <n v="23394000"/>
        <n v="23203000"/>
        <n v="23403000"/>
        <n v="32262000"/>
        <n v="22030000"/>
        <n v="18759000"/>
        <n v="23123000"/>
        <n v="29673000"/>
        <n v="34577000"/>
        <n v="26498000"/>
        <n v="23479000"/>
        <n v="48033000"/>
        <n v="30245000"/>
        <n v="30377000"/>
        <n v="31814000"/>
        <n v="40285000"/>
        <n v="98514000"/>
        <n v="142732000"/>
        <n v="77521000"/>
        <n v="45504000"/>
        <n v="46342000"/>
        <n v="34340000"/>
        <n v="29307000"/>
        <n v="38678000"/>
        <n v="36151000"/>
        <n v="37242000"/>
        <n v="60001000"/>
        <n v="39934000"/>
        <n v="31343000"/>
        <n v="32129000"/>
        <n v="32966000"/>
        <n v="33318000"/>
        <n v="33890000"/>
        <n v="34761000"/>
        <n v="31454000"/>
        <n v="42293000"/>
        <n v="26000000"/>
        <n v="31118000"/>
        <n v="37387000"/>
        <n v="44262000"/>
        <n v="47383000"/>
        <n v="33972000"/>
        <n v="37666000"/>
        <n v="47174000"/>
        <n v="39074000"/>
        <n v="43928000"/>
        <n v="38079000"/>
        <n v="78526000"/>
        <n v="77375000"/>
        <n v="69953000"/>
        <n v="73989000"/>
        <n v="68658000"/>
        <n v="50017000"/>
        <n v="52007000"/>
        <n v="75431000"/>
        <n v="60094000"/>
        <n v="66624000"/>
        <n v="44663000"/>
        <n v="59054000"/>
        <n v="46779000"/>
        <n v="37822000"/>
        <n v="35274000"/>
        <n v="30472000"/>
        <n v="44227000"/>
        <n v="35200000"/>
        <n v="32569000"/>
        <n v="58646000"/>
        <n v="67988000"/>
        <n v="66568000"/>
        <n v="56254000"/>
        <n v="74980000"/>
        <n v="51298000"/>
        <n v="40736000"/>
        <n v="40359000"/>
        <n v="77120000"/>
        <n v="60661000"/>
        <n v="88937000"/>
        <n v="97757000"/>
        <n v="93689000"/>
        <n v="64719000"/>
        <n v="63819000"/>
        <n v="39500000"/>
        <n v="38311000"/>
        <n v="37773000"/>
        <n v="42667000"/>
        <n v="34995000"/>
        <n v="37743000"/>
        <n v="56623000"/>
        <n v="32567000"/>
        <n v="43497000"/>
        <n v="37609000"/>
        <n v="25696000"/>
        <n v="64791000"/>
        <n v="39979000"/>
        <n v="39101000"/>
        <n v="44640000"/>
        <n v="46984000"/>
        <n v="28534000"/>
        <n v="21331000"/>
        <n v="29766000"/>
        <n v="18616000"/>
        <n v="21865000"/>
        <n v="29205000"/>
        <n v="18559000"/>
        <n v="33007000"/>
        <n v="46968000"/>
        <n v="22942000"/>
        <n v="23638000"/>
        <n v="23594000"/>
        <n v="28172000"/>
        <n v="25570000"/>
        <n v="24031000"/>
        <n v="44544000"/>
        <n v="23823000"/>
        <n v="20846000"/>
        <n v="22103000"/>
        <n v="21128000"/>
        <n v="18921000"/>
        <n v="22810000"/>
        <n v="53482000"/>
        <n v="26673000"/>
        <n v="26633000"/>
        <n v="21465000"/>
        <n v="26059000"/>
        <n v="40709000"/>
        <n v="32829000"/>
        <n v="49936000"/>
        <n v="30488000"/>
        <n v="20062000"/>
        <n v="22737000"/>
        <n v="32925000"/>
        <n v="23845000"/>
        <n v="42308000"/>
        <n v="39572000"/>
        <n v="27810000"/>
        <n v="28017000"/>
        <n v="32270000"/>
        <n v="64699000"/>
        <n v="106933000"/>
        <n v="56276000"/>
        <n v="50630000"/>
        <n v="45043000"/>
        <n v="38456000"/>
        <n v="26293000"/>
        <n v="34470000"/>
        <n v="27525000"/>
        <n v="37129000"/>
        <n v="38910000"/>
        <n v="22447000"/>
        <n v="26607000"/>
        <n v="33622000"/>
        <n v="38167000"/>
        <n v="24556000"/>
        <n v="22788000"/>
        <n v="27624000"/>
        <n v="39047000"/>
        <n v="21111000"/>
        <n v="37077000"/>
        <n v="24344000"/>
        <n v="20472000"/>
        <n v="31281000"/>
        <n v="28120000"/>
        <n v="19857000"/>
        <n v="16645000"/>
        <n v="19503000"/>
        <n v="32098000"/>
        <n v="23033000"/>
        <n v="24715000"/>
        <n v="30235000"/>
        <n v="23797000"/>
        <n v="19151000"/>
        <n v="22197000"/>
        <n v="27010000"/>
        <n v="56823000"/>
        <n v="37849000"/>
        <n v="29093000"/>
        <n v="24047000"/>
        <n v="34598000"/>
        <n v="31691000"/>
        <n v="49476000"/>
        <n v="25468000"/>
        <n v="24991000"/>
        <n v="27731000"/>
        <n v="19978000"/>
        <n v="19450000"/>
        <n v="30332000"/>
        <n v="38303000"/>
        <n v="41102000"/>
        <n v="46855000"/>
        <n v="31374000"/>
        <n v="29686000"/>
        <n v="33091000"/>
        <n v="28514000"/>
        <n v="28241000"/>
        <n v="42798000"/>
        <n v="24608000"/>
        <n v="23624000"/>
        <n v="20252000"/>
        <n v="28326000"/>
        <n v="29571000"/>
        <n v="39862000"/>
        <n v="65082000"/>
        <n v="147890000"/>
        <n v="60280000"/>
        <n v="46911000"/>
        <n v="40209000"/>
        <n v="33995000"/>
        <n v="41581000"/>
        <n v="68665000"/>
        <n v="58634000"/>
        <n v="38718000"/>
        <n v="35539000"/>
        <n v="36532000"/>
        <n v="44125000"/>
        <n v="36929000"/>
        <n v="27966000"/>
        <n v="39221000"/>
        <n v="40144000"/>
        <n v="47607000"/>
        <n v="26082700"/>
        <n v="43440600"/>
        <n v="31868100"/>
        <n v="36918500"/>
        <n v="41232700"/>
        <n v="62918300"/>
        <n v="35122600"/>
        <n v="27951000"/>
        <n v="15021600"/>
        <n v="24873400"/>
        <n v="25763000"/>
        <n v="53593400"/>
        <n v="51779100"/>
        <n v="133363600"/>
        <n v="100906300"/>
        <n v="51745600"/>
        <n v="74129300"/>
        <n v="49323100"/>
        <n v="40016500"/>
        <n v="34265000"/>
        <n v="50472800"/>
        <n v="37244700"/>
        <n v="78990200"/>
        <n v="39484800"/>
        <n v="25896200"/>
        <n v="12427900"/>
        <n v="22068300"/>
        <n v="24493700"/>
        <n v="23422000"/>
        <n v="23495200"/>
        <n v="41155400"/>
        <n v="39183300"/>
        <n v="43331000"/>
        <n v="36525700"/>
        <n v="40068700"/>
        <n v="55579500"/>
        <n v="36290600"/>
        <n v="45221100"/>
        <n v="49737700"/>
        <n v="36945100"/>
        <n v="48130500"/>
        <n v="109729700"/>
        <n v="127940700"/>
        <n v="69113300"/>
        <n v="64520400"/>
        <n v="40941900"/>
        <n v="37790800"/>
        <n v="37762600"/>
        <n v="42278100"/>
        <n v="45755000"/>
        <n v="41445300"/>
        <n v="49789000"/>
        <n v="48963200"/>
        <n v="54805700"/>
        <n v="46154100"/>
        <n v="42200200"/>
        <n v="43595800"/>
        <n v="40840300"/>
        <n v="73516100"/>
        <n v="42292100"/>
        <n v="35961500"/>
        <n v="29883100"/>
        <n v="30139200"/>
        <n v="32411300"/>
        <n v="38363000"/>
        <n v="33079100"/>
        <n v="69319300"/>
        <n v="85642500"/>
        <n v="200767000"/>
        <n v="79915400"/>
        <n v="59149000"/>
        <n v="52604300"/>
        <n v="53403000"/>
        <n v="41196300"/>
        <n v="48589000"/>
        <n v="41027200"/>
        <n v="33962900"/>
        <n v="34206900"/>
        <n v="29876700"/>
        <n v="34931800"/>
        <n v="26434500"/>
        <n v="27878300"/>
        <n v="40169300"/>
        <n v="61678000"/>
        <n v="34315900"/>
        <n v="28938000"/>
        <n v="29545600"/>
        <n v="59522000"/>
        <n v="44590700"/>
        <n v="32375100"/>
        <n v="54270000"/>
        <n v="30439300"/>
        <n v="37068000"/>
        <n v="37029300"/>
        <n v="25016700"/>
        <n v="30957600"/>
        <n v="35087800"/>
        <n v="25678900"/>
        <n v="9513740"/>
        <n v="28027400"/>
        <n v="25303100"/>
        <n v="28090300"/>
        <n v="114273800"/>
        <n v="113606170"/>
        <n v="36898100"/>
        <n v="34214890"/>
        <n v="32756600"/>
      </sharedItems>
    </cacheField>
    <cacheField name="stock_daily_return_pct" numFmtId="0">
      <sharedItems containsSemiMixedTypes="0" containsString="0" containsNumber="1" minValue="-9.1639999999999997" maxValue="11.173999999999999" count="1677">
        <n v="3.0270000000000001"/>
        <n v="-1.0109999999999999"/>
        <n v="-1.083"/>
        <n v="0"/>
        <n v="-3.8079999999999998"/>
        <n v="3.9529999999999998"/>
        <n v="-1.869"/>
        <n v="-1.323"/>
        <n v="-1.4730000000000001"/>
        <n v="2.9550000000000001"/>
        <n v="-0.216"/>
        <n v="1.1479999999999999"/>
        <n v="0.221"/>
        <n v="-1.347"/>
        <n v="1.4850000000000001"/>
        <n v="-1.8839999999999999"/>
        <n v="-0.39100000000000001"/>
        <n v="-3.254"/>
        <n v="-2.34"/>
        <n v="1.1359999999999999"/>
        <n v="2.0750000000000002"/>
        <n v="-7.8159999999999998"/>
        <n v="-1.1819999999999999"/>
        <n v="-3.0000000000000001E-3"/>
        <n v="-1.333"/>
        <n v="2.7160000000000002"/>
        <n v="-3.6030000000000002"/>
        <n v="-3.871"/>
        <n v="-5.2220000000000004"/>
        <n v="-1.069"/>
        <n v="4.7670000000000003"/>
        <n v="-9.1639999999999997"/>
        <n v="1.8720000000000001"/>
        <n v="-0.22600000000000001"/>
        <n v="-6.6890000000000001"/>
        <n v="3.7160000000000002"/>
        <n v="1.347"/>
        <n v="4.1989999999999998"/>
        <n v="-2.7989999999999999"/>
        <n v="1.395"/>
        <n v="-1.2450000000000001"/>
        <n v="4.6660000000000004"/>
        <n v="-3.073"/>
        <n v="-2.4430000000000001"/>
        <n v="-1.9770000000000001"/>
        <n v="-0.20300000000000001"/>
        <n v="-4.5510000000000002"/>
        <n v="1.5940000000000001"/>
        <n v="-0.32400000000000001"/>
        <n v="-4.6479999999999997"/>
        <n v="4.8499999999999996"/>
        <n v="-4.4790000000000001"/>
        <n v="-0.496"/>
        <n v="0.33800000000000002"/>
        <n v="2.851"/>
        <n v="3.923"/>
        <n v="2.278"/>
        <n v="-0.64900000000000002"/>
        <n v="-0.98599999999999999"/>
        <n v="-4.4420000000000002"/>
        <n v="5.4219999999999997"/>
        <n v="-6.1379999999999999"/>
        <n v="2.0859999999999999"/>
        <n v="-3.1960000000000002"/>
        <n v="2.6970000000000001"/>
        <n v="-0.58299999999999996"/>
        <n v="-1.8280000000000001"/>
        <n v="-1.3919999999999999"/>
        <n v="2.9020000000000001"/>
        <n v="-1.534"/>
        <n v="-6.61"/>
        <n v="-3.355"/>
        <n v="8.4429999999999996"/>
        <n v="2.1829999999999998"/>
        <n v="-0.72099999999999997"/>
        <n v="2.883"/>
        <n v="3.2320000000000002"/>
        <n v="0.37"/>
        <n v="5.5659999999999998"/>
        <n v="4.383"/>
        <n v="9.0999999999999998E-2"/>
        <n v="0.70799999999999996"/>
        <n v="3.2080000000000002"/>
        <n v="2.0030000000000001"/>
        <n v="-0.38900000000000001"/>
        <n v="1.4419999999999999"/>
        <n v="-0.73699999999999999"/>
        <n v="1.056"/>
        <n v="-3.657"/>
        <n v="-2.9049999999999998"/>
        <n v="-1.907"/>
        <n v="1.893"/>
        <n v="2.8380000000000001"/>
        <n v="0.28699999999999998"/>
        <n v="-2.0750000000000002"/>
        <n v="2.3769999999999998"/>
        <n v="-5.2999999999999999E-2"/>
        <n v="0.79200000000000004"/>
        <n v="2.5510000000000002"/>
        <n v="0.73899999999999999"/>
        <n v="-0.91700000000000004"/>
        <n v="2.831"/>
        <n v="-1.22"/>
        <n v="3.4129999999999998"/>
        <n v="-1.548"/>
        <n v="2.081"/>
        <n v="-0.44600000000000001"/>
        <n v="1.72"/>
        <n v="-1.3540000000000001"/>
        <n v="-0.85"/>
        <n v="0.74399999999999999"/>
        <n v="-0.84499999999999997"/>
        <n v="0.54800000000000004"/>
        <n v="-0.17299999999999999"/>
        <n v="-1.206"/>
        <n v="-1.3640000000000001"/>
        <n v="-2.4129999999999998"/>
        <n v="0.80800000000000005"/>
        <n v="1.7"/>
        <n v="-2.0990000000000002"/>
        <n v="1.1140000000000001"/>
        <n v="1.9490000000000001"/>
        <n v="-0.86299999999999999"/>
        <n v="1.518"/>
        <n v="-0.46600000000000003"/>
        <n v="0.122"/>
        <n v="0.26800000000000002"/>
        <n v="-2.08"/>
        <n v="4.5439999999999996"/>
        <n v="1.0349999999999999"/>
        <n v="-3.9740000000000002"/>
        <n v="2.0139999999999998"/>
        <n v="-2.1469999999999998"/>
        <n v="-2.1139999999999999"/>
        <n v="3.4000000000000002E-2"/>
        <n v="-0.16800000000000001"/>
        <n v="2.2170000000000001"/>
        <n v="0.40100000000000002"/>
        <n v="0.13300000000000001"/>
        <n v="-0.59199999999999997"/>
        <n v="-0.95099999999999996"/>
        <n v="-1.0129999999999999"/>
        <n v="1.157"/>
        <n v="-0.51100000000000001"/>
        <n v="0.72599999999999998"/>
        <n v="-2.6480000000000001"/>
        <n v="-0.52500000000000002"/>
        <n v="1.256"/>
        <n v="-2.8239999999999998"/>
        <n v="1.5069999999999999"/>
        <n v="4.9039999999999999"/>
        <n v="1.7150000000000001"/>
        <n v="-1.7949999999999999"/>
        <n v="-1.645"/>
        <n v="1.7649999999999999"/>
        <n v="-0.495"/>
        <n v="0.26500000000000001"/>
        <n v="1.286"/>
        <n v="0.28000000000000003"/>
        <n v="0.91700000000000004"/>
        <n v="0.25900000000000001"/>
        <n v="-1.7350000000000001"/>
        <n v="-0.96499999999999997"/>
        <n v="0.51300000000000001"/>
        <n v="-0.16"/>
        <n v="-1.996"/>
        <n v="-0.88900000000000001"/>
        <n v="3.3929999999999998"/>
        <n v="0.82499999999999996"/>
        <n v="-0.54400000000000004"/>
        <n v="-0.88800000000000001"/>
        <n v="0.94599999999999995"/>
        <n v="0.48"/>
        <n v="-0.92500000000000004"/>
        <n v="-0.28699999999999998"/>
        <n v="0.189"/>
        <n v="-1.2470000000000001"/>
        <n v="0.371"/>
        <n v="-1.135"/>
        <n v="-2.0169999999999999"/>
        <n v="2.4350000000000001"/>
        <n v="0.38100000000000001"/>
        <n v="0.64500000000000002"/>
        <n v="0.97399999999999998"/>
        <n v="-3.2010000000000001"/>
        <n v="-1.0509999999999999"/>
        <n v="-1.7789999999999999"/>
        <n v="-1.0940000000000001"/>
        <n v="-0.55600000000000005"/>
        <n v="2.3140000000000001"/>
        <n v="0.436"/>
        <n v="0.498"/>
        <n v="-0.191"/>
        <n v="1.153"/>
        <n v="0.20799999999999999"/>
        <n v="-2.819"/>
        <n v="0.16600000000000001"/>
        <n v="1.8779999999999999"/>
        <n v="-0.79400000000000004"/>
        <n v="0.29499999999999998"/>
        <n v="0.14399999999999999"/>
        <n v="1.335"/>
        <n v="0.59699999999999998"/>
        <n v="-0.53700000000000003"/>
        <n v="0.23"/>
        <n v="-0.46200000000000002"/>
        <n v="-0.42"/>
        <n v="-1.4339999999999999"/>
        <n v="-1.7"/>
        <n v="-1.1080000000000001"/>
        <n v="-1.04"/>
        <n v="0.44800000000000001"/>
        <n v="-2.5659999999999998"/>
        <n v="-0.442"/>
        <n v="-1.329"/>
        <n v="2.3929999999999998"/>
        <n v="2.383"/>
        <n v="2.1259999999999999"/>
        <n v="-0.97599999999999998"/>
        <n v="-0.99299999999999999"/>
        <n v="-0.66700000000000004"/>
        <n v="-1.4650000000000001"/>
        <n v="0.42199999999999999"/>
        <n v="-1.071"/>
        <n v="-0.155"/>
        <n v="0.57199999999999995"/>
        <n v="1.5660000000000001"/>
        <n v="-1.5329999999999999"/>
        <n v="1.758"/>
        <n v="0.81"/>
        <n v="-2.89"/>
        <n v="-1.2490000000000001"/>
        <n v="1.3180000000000001"/>
        <n v="1.022"/>
        <n v="-1.8320000000000001"/>
        <n v="-1.26"/>
        <n v="-0.57599999999999996"/>
        <n v="-1.2070000000000001"/>
        <n v="-8.7999999999999995E-2"/>
        <n v="-1.1919999999999999"/>
        <n v="0.79500000000000004"/>
        <n v="0.60299999999999998"/>
        <n v="-1.6839999999999999"/>
        <n v="-0.52600000000000002"/>
        <n v="9.2999999999999999E-2"/>
        <n v="2.7789999999999999"/>
        <n v="-1.0840000000000001"/>
        <n v="-0.159"/>
        <n v="-1.089"/>
        <n v="0.9"/>
        <n v="0.26400000000000001"/>
        <n v="1.218"/>
        <n v="0.02"/>
        <n v="1.3919999999999999"/>
        <n v="-1.163"/>
        <n v="-1.7010000000000001"/>
        <n v="-3.3929999999999998"/>
        <n v="-0.90600000000000003"/>
        <n v="-3.0129999999999999"/>
        <n v="3.5350000000000001"/>
        <n v="-1.167"/>
        <n v="-1.165"/>
        <n v="1.371"/>
        <n v="0.83399999999999996"/>
        <n v="1.677"/>
        <n v="0.13800000000000001"/>
        <n v="1.7110000000000001"/>
        <n v="0.90800000000000003"/>
        <n v="-0.84599999999999997"/>
        <n v="-0.92200000000000004"/>
        <n v="5.4560000000000004"/>
        <n v="-0.65700000000000003"/>
        <n v="0.56399999999999995"/>
        <n v="0.152"/>
        <n v="1.1160000000000001"/>
        <n v="-3.6589999999999998"/>
        <n v="-4.859"/>
        <n v="1.891"/>
        <n v="-1.6479999999999999"/>
        <n v="1.1970000000000001"/>
        <n v="-0.114"/>
        <n v="2.2679999999999998"/>
        <n v="1.37"/>
        <n v="-0.23400000000000001"/>
        <n v="2.5009999999999999"/>
        <n v="-1.234"/>
        <n v="-0.65500000000000003"/>
        <n v="1.6879999999999999"/>
        <n v="-0.67600000000000005"/>
        <n v="0.13900000000000001"/>
        <n v="0.98399999999999999"/>
        <n v="1.736"/>
        <n v="-1.121"/>
        <n v="-2.7210000000000001"/>
        <n v="2.2490000000000001"/>
        <n v="1.528"/>
        <n v="2.2200000000000002"/>
        <n v="-0.46400000000000002"/>
        <n v="1.379"/>
        <n v="1.859"/>
        <n v="0.44600000000000001"/>
        <n v="2.1760000000000002"/>
        <n v="-0.79700000000000004"/>
        <n v="0.63700000000000001"/>
        <n v="-0.35499999999999998"/>
        <n v="-1.4"/>
        <n v="1.304"/>
        <n v="-0.78900000000000003"/>
        <n v="0.87"/>
        <n v="-1.5780000000000001"/>
        <n v="1.508"/>
        <n v="0.93700000000000006"/>
        <n v="1.117"/>
        <n v="2.6419999999999999"/>
        <n v="1.4359999999999999"/>
        <n v="2.379"/>
        <n v="0.56699999999999995"/>
        <n v="-1.38"/>
        <n v="-0.24299999999999999"/>
        <n v="-0.58899999999999997"/>
        <n v="-1.1619999999999999"/>
        <n v="-1.7529999999999999"/>
        <n v="0.48799999999999999"/>
        <n v="1.1379999999999999"/>
        <n v="-0.26900000000000002"/>
        <n v="3.9340000000000002"/>
        <n v="2.3439999999999999"/>
        <n v="-1.8540000000000001"/>
        <n v="-2.3969999999999998"/>
        <n v="2.1459999999999999"/>
        <n v="-1.6579999999999999"/>
        <n v="0.115"/>
        <n v="-1.421"/>
        <n v="-0.39"/>
        <n v="-1.97"/>
        <n v="7.226"/>
        <n v="1.349"/>
        <n v="-0.88700000000000001"/>
        <n v="0.76300000000000001"/>
        <n v="-1.673"/>
        <n v="1.9470000000000001"/>
        <n v="-0.66200000000000003"/>
        <n v="3.0990000000000002"/>
        <n v="2.2189999999999999"/>
        <n v="-1.4550000000000001"/>
        <n v="-0.71699999999999997"/>
        <n v="0.47399999999999998"/>
        <n v="1.663"/>
        <n v="-1.6E-2"/>
        <n v="0.75"/>
        <n v="1.1779999999999999"/>
        <n v="-0.28000000000000003"/>
        <n v="2.2360000000000002"/>
        <n v="-0.497"/>
        <n v="-0.14499999999999999"/>
        <n v="-1.365"/>
        <n v="1.08"/>
        <n v="-3.202"/>
        <n v="3.53"/>
        <n v="6.7000000000000004E-2"/>
        <n v="1.323"/>
        <n v="2.1280000000000001"/>
        <n v="-3.218"/>
        <n v="-2.157"/>
        <n v="0.34499999999999997"/>
        <n v="0.76500000000000001"/>
        <n v="2.16"/>
        <n v="-2.508"/>
        <n v="-3.4460000000000002"/>
        <n v="1.752"/>
        <n v="-2.5409999999999999"/>
        <n v="4.4290000000000003"/>
        <n v="4.3220000000000001"/>
        <n v="2.3740000000000001"/>
        <n v="-2.7690000000000001"/>
        <n v="3.5590000000000002"/>
        <n v="-3.4239999999999999"/>
        <n v="-5.16"/>
        <n v="5.52"/>
        <n v="-0.54900000000000004"/>
        <n v="2.1930000000000001"/>
        <n v="2.0569999999999999"/>
        <n v="-3.1829999999999998"/>
        <n v="1.6479999999999999"/>
        <n v="-1.554"/>
        <n v="4.0359999999999996"/>
        <n v="-2.032"/>
        <n v="-0.77300000000000002"/>
        <n v="-9.1999999999999998E-2"/>
        <n v="6.843"/>
        <n v="4.0380000000000003"/>
        <n v="3.3290000000000002"/>
        <n v="0.497"/>
        <n v="-1.865"/>
        <n v="0.53300000000000003"/>
        <n v="-2.46"/>
        <n v="-1.9339999999999999"/>
        <n v="1.7749999999999999"/>
        <n v="-2E-3"/>
        <n v="-0.85199999999999998"/>
        <n v="-3.8479999999999999"/>
        <n v="3.0939999999999999"/>
        <n v="2.3250000000000002"/>
        <n v="4.1000000000000002E-2"/>
        <n v="2.4820000000000002"/>
        <n v="-0.67400000000000004"/>
        <n v="1.155"/>
        <n v="-8.2000000000000003E-2"/>
        <n v="0.32500000000000001"/>
        <n v="0.96"/>
        <n v="-2.3029999999999999"/>
        <n v="0.59199999999999997"/>
        <n v="-0.66300000000000003"/>
        <n v="3.0609999999999999"/>
        <n v="0.315"/>
        <n v="-0.52100000000000002"/>
        <n v="-1.4490000000000001"/>
        <n v="-2.7440000000000002"/>
        <n v="-1.7569999999999999"/>
        <n v="-3.0390000000000001"/>
        <n v="2.3170000000000002"/>
        <n v="-0.91100000000000003"/>
        <n v="0.54400000000000004"/>
        <n v="1.6930000000000001"/>
        <n v="-1.1659999999999999"/>
        <n v="-1.9079999999999999"/>
        <n v="3.0219999999999998"/>
        <n v="0.83899999999999997"/>
        <n v="2.9409999999999998"/>
        <n v="-0.34899999999999998"/>
        <n v="-0.61699999999999999"/>
        <n v="-2.548"/>
        <n v="0.97299999999999998"/>
        <n v="2.4359999999999999"/>
        <n v="0.254"/>
        <n v="1.024"/>
        <n v="2.8639999999999999"/>
        <n v="-5.0999999999999997E-2"/>
        <n v="-2.282"/>
        <n v="1.536"/>
        <n v="-4.9290000000000003"/>
        <n v="0.45100000000000001"/>
        <n v="6.9690000000000003"/>
        <n v="-1.802"/>
        <n v="2.7120000000000002"/>
        <n v="-0.83399999999999996"/>
        <n v="0.84199999999999997"/>
        <n v="-0.126"/>
        <n v="5.58"/>
        <n v="-7.4790000000000001"/>
        <n v="1.3480000000000001"/>
        <n v="0.17299999999999999"/>
        <n v="-0.38"/>
        <n v="2.7130000000000001"/>
        <n v="-3.1419999999999999"/>
        <n v="-0.48199999999999998"/>
        <n v="-2.7589999999999999"/>
        <n v="2.492"/>
        <n v="2.2989999999999999"/>
        <n v="-1.514"/>
        <n v="1.0589999999999999"/>
        <n v="0.121"/>
        <n v="1.581"/>
        <n v="2.2040000000000002"/>
        <n v="-1.292"/>
        <n v="0.98599999999999999"/>
        <n v="-2.121"/>
        <n v="-2.0209999999999999"/>
        <n v="-2.6720000000000002"/>
        <n v="0.876"/>
        <n v="0.61199999999999999"/>
        <n v="-2.9000000000000001E-2"/>
        <n v="1.5529999999999999"/>
        <n v="-1.903"/>
        <n v="2.7250000000000001"/>
        <n v="-0.83599999999999997"/>
        <n v="-1.3380000000000001"/>
        <n v="0.49"/>
        <n v="11.173999999999999"/>
        <n v="-2.14"/>
        <n v="-1.524"/>
        <n v="1.6120000000000001"/>
        <n v="4.4969999999999999"/>
        <n v="-0.17"/>
        <n v="-3.532"/>
        <n v="1.73"/>
        <n v="-3.6629999999999998"/>
        <n v="-4.5060000000000002"/>
        <n v="-0.90700000000000003"/>
        <n v="2.4769999999999999"/>
        <n v="-3.226"/>
        <n v="-1.044"/>
        <n v="-0.54"/>
        <n v="4.2039999999999997"/>
        <n v="0.442"/>
        <n v="-4.1609999999999996"/>
        <n v="0.54200000000000004"/>
        <n v="1.79"/>
        <n v="0.81299999999999994"/>
        <n v="1.5149999999999999"/>
        <n v="4.2450000000000001"/>
        <n v="-2.589"/>
        <n v="2.7330000000000001"/>
        <n v="-2.4769999999999999"/>
        <n v="3.2160000000000002"/>
        <n v="-0.317"/>
        <n v="0.29899999999999999"/>
        <n v="-1.64"/>
        <n v="2.5030000000000001"/>
        <n v="-3.7610000000000001"/>
        <n v="-0.65600000000000003"/>
        <n v="-3.4049999999999998"/>
        <n v="-0.51500000000000001"/>
        <n v="-2.391"/>
        <n v="-1.9119999999999999"/>
        <n v="3.5000000000000003E-2"/>
        <n v="0.248"/>
        <n v="-0.22"/>
        <n v="-2.5000000000000001E-2"/>
        <n v="-5.2329999999999997"/>
        <n v="1.0960000000000001"/>
        <n v="0.47199999999999998"/>
        <n v="0.32100000000000001"/>
        <n v="1.421"/>
        <n v="-5.1999999999999998E-2"/>
        <n v="-3.0979999999999999"/>
        <n v="1.9730000000000001"/>
        <n v="1.607"/>
        <n v="-0.86199999999999999"/>
        <n v="-0.80700000000000005"/>
        <n v="-0.188"/>
        <n v="0.106"/>
        <n v="-3.3000000000000002E-2"/>
        <n v="0.55400000000000005"/>
        <n v="0.622"/>
        <n v="-2.8220000000000001"/>
        <n v="0.84399999999999997"/>
        <n v="-2.7E-2"/>
        <n v="0.98199999999999998"/>
        <n v="0.127"/>
        <n v="2.4860000000000002"/>
        <n v="0.35099999999999998"/>
        <n v="-1.087"/>
        <n v="0.16300000000000001"/>
        <n v="3.1539999999999999"/>
        <n v="-1.012"/>
        <n v="-3.3159999999999998"/>
        <n v="1.32"/>
        <n v="1.661"/>
        <n v="3.359"/>
        <n v="0.247"/>
        <n v="0.73699999999999999"/>
        <n v="0.23400000000000001"/>
        <n v="-0.215"/>
        <n v="-6.8000000000000005E-2"/>
        <n v="-1.9590000000000001"/>
        <n v="-0.223"/>
        <n v="0.52100000000000002"/>
        <n v="2.11"/>
        <n v="-1.0449999999999999"/>
        <n v="2.8919999999999999"/>
        <n v="-2.9940000000000002"/>
        <n v="-0.14399999999999999"/>
        <n v="-2.242"/>
        <n v="0.12"/>
        <n v="-0.17799999999999999"/>
        <n v="-1.7210000000000001"/>
        <n v="-1.1499999999999999"/>
        <n v="2.48"/>
        <n v="-1.2789999999999999"/>
        <n v="-0.40400000000000003"/>
        <n v="0.154"/>
        <n v="3.7"/>
        <n v="-0.44800000000000001"/>
        <n v="-2.9079999999999999"/>
        <n v="1.298"/>
        <n v="-4.9809999999999999"/>
        <n v="0.50800000000000001"/>
        <n v="-1.0429999999999999"/>
        <n v="0.41899999999999998"/>
        <n v="1.135"/>
        <n v="-1.948"/>
        <n v="2.2879999999999998"/>
        <n v="-0.26600000000000001"/>
        <n v="-1.276"/>
        <n v="2.3940000000000001"/>
        <n v="0.19400000000000001"/>
        <n v="-1.214"/>
        <n v="-7.4999999999999997E-2"/>
        <n v="6.4000000000000001E-2"/>
        <n v="-0.14199999999999999"/>
        <n v="-1.42"/>
        <n v="4.0289999999999999"/>
        <n v="2.5209999999999999"/>
        <n v="-1.4019999999999999"/>
        <n v="0.92900000000000005"/>
        <n v="-0.998"/>
        <n v="-4.6210000000000004"/>
        <n v="-1.958"/>
        <n v="0.86099999999999999"/>
        <n v="-4.1070000000000002"/>
        <n v="-0.17100000000000001"/>
        <n v="-1.7450000000000001"/>
        <n v="2.12"/>
        <n v="1.077"/>
        <n v="0.76100000000000001"/>
        <n v="-8.4000000000000005E-2"/>
        <n v="0.46700000000000003"/>
        <n v="-2.2480000000000002"/>
        <n v="1.43"/>
        <n v="2.746"/>
        <n v="0.98499999999999999"/>
        <n v="-2.4300000000000002"/>
        <n v="-2.7330000000000001"/>
        <n v="1.04"/>
        <n v="1.639"/>
        <n v="1.1619999999999999"/>
        <n v="1.7909999999999999"/>
        <n v="0.64200000000000002"/>
        <n v="0.626"/>
        <n v="0.314"/>
        <n v="-0.58699999999999997"/>
        <n v="-2.6760000000000002"/>
        <n v="0.92800000000000005"/>
        <n v="-0.72699999999999998"/>
        <n v="-0.875"/>
        <n v="0.17699999999999999"/>
        <n v="-0.98099999999999998"/>
        <n v="-0.68"/>
        <n v="0.69899999999999995"/>
        <n v="-1.379"/>
        <n v="0.26100000000000001"/>
        <n v="0.27600000000000002"/>
        <n v="-0.69099999999999995"/>
        <n v="-1.488"/>
        <n v="-1.764"/>
        <n v="0.71799999999999997"/>
        <n v="-3.05"/>
        <n v="3.1949999999999998"/>
        <n v="-0.505"/>
        <n v="1.129"/>
        <n v="0.69"/>
        <n v="-0.434"/>
        <n v="1.26"/>
        <n v="2.476"/>
        <n v="0.36899999999999999"/>
        <n v="-0.92100000000000004"/>
        <n v="4.0000000000000001E-3"/>
        <n v="0.41099999999999998"/>
        <n v="-0.315"/>
        <n v="-0.97799999999999998"/>
        <n v="-0.11600000000000001"/>
        <n v="0.55700000000000005"/>
        <n v="0.35299999999999998"/>
        <n v="-0.92800000000000005"/>
        <n v="2.1000000000000001E-2"/>
        <n v="-0.251"/>
        <n v="2.085"/>
        <n v="-1.861"/>
        <n v="-0.52300000000000002"/>
        <n v="1.65"/>
        <n v="0.88"/>
        <n v="2.0619999999999998"/>
        <n v="0.83799999999999997"/>
        <n v="1.9E-2"/>
        <n v="-0.33500000000000002"/>
        <n v="0.93"/>
        <n v="-8.9999999999999993E-3"/>
        <n v="-1.095"/>
        <n v="1.4870000000000001"/>
        <n v="-0.28399999999999997"/>
        <n v="1.621"/>
        <n v="-1.5209999999999999"/>
        <n v="-3.2000000000000001E-2"/>
        <n v="0.93799999999999994"/>
        <n v="-0.55300000000000005"/>
        <n v="0.91800000000000004"/>
        <n v="1.2829999999999999"/>
        <n v="-1.9890000000000001"/>
        <n v="-2.1230000000000002"/>
        <n v="1.1839999999999999"/>
        <n v="0.94699999999999995"/>
        <n v="-2.3759999999999999"/>
        <n v="0.30599999999999999"/>
        <n v="0.63500000000000001"/>
        <n v="0.41"/>
        <n v="0.16"/>
        <n v="-0.48299999999999998"/>
        <n v="-1.0980000000000001"/>
        <n v="0.95199999999999996"/>
        <n v="-0.74199999999999999"/>
        <n v="-0.69399999999999995"/>
        <n v="0.84799999999999998"/>
        <n v="1.5009999999999999"/>
        <n v="-0.65800000000000003"/>
        <n v="-0.8"/>
        <n v="-0.89"/>
        <n v="0.64"/>
        <n v="0.52"/>
        <n v="0.66700000000000004"/>
        <n v="0.36"/>
        <n v="4.0119999999999996"/>
        <n v="0.32800000000000001"/>
        <n v="1.3460000000000001"/>
        <n v="0.35"/>
        <n v="-0.46899999999999997"/>
        <n v="0.72499999999999998"/>
        <n v="1.327"/>
        <n v="1.603"/>
        <n v="2.2970000000000002"/>
        <n v="0.80700000000000005"/>
        <n v="2.0209999999999999"/>
        <n v="0.36599999999999999"/>
        <n v="-1.472"/>
        <n v="9.4E-2"/>
        <n v="-1.55"/>
        <n v="-1.2190000000000001"/>
        <n v="0.377"/>
        <n v="0.255"/>
        <n v="-1.9359999999999999"/>
        <n v="-0.89400000000000002"/>
        <n v="0.41799999999999998"/>
        <n v="-1.9E-2"/>
        <n v="0.79800000000000004"/>
        <n v="-0.874"/>
        <n v="1.706"/>
        <n v="1.4750000000000001"/>
        <n v="-1.637"/>
        <n v="4.5919999999999996"/>
        <n v="1.738"/>
        <n v="-1.6160000000000001"/>
        <n v="-0.23799999999999999"/>
        <n v="-0.97299999999999998"/>
        <n v="-0.38300000000000001"/>
        <n v="-1.522"/>
        <n v="0.31900000000000001"/>
        <n v="-6.9000000000000006E-2"/>
        <n v="3.859"/>
        <n v="1.99"/>
        <n v="1.1930000000000001"/>
        <n v="-0.77800000000000002"/>
        <n v="-0.90900000000000003"/>
        <n v="0.46200000000000002"/>
        <n v="2.5630000000000002"/>
        <n v="-1.145"/>
        <n v="1.627"/>
        <n v="-2.5499999999999998"/>
        <n v="-2.7490000000000001"/>
        <n v="0.17799999999999999"/>
        <n v="-0.93400000000000005"/>
        <n v="3.4239999999999999"/>
        <n v="0.245"/>
        <n v="-1.387"/>
        <n v="-1.9570000000000001"/>
        <n v="-2.488"/>
        <n v="-0.626"/>
        <n v="4.2999999999999997E-2"/>
        <n v="9.7000000000000003E-2"/>
        <n v="-3.9359999999999999"/>
        <n v="-4.8819999999999997"/>
        <n v="-0.10199999999999999"/>
        <n v="-3.3109999999999999"/>
        <n v="1.1020000000000001"/>
        <n v="-0.30499999999999999"/>
        <n v="-2.6419999999999999"/>
        <n v="-0.83"/>
        <n v="-1.216"/>
        <n v="-0.12"/>
        <n v="1.147"/>
        <n v="-1.01"/>
        <n v="-0.82499999999999996"/>
        <n v="1.2470000000000001"/>
        <n v="1.2350000000000001"/>
        <n v="1.8029999999999999"/>
        <n v="-0.375"/>
        <n v="-0.30599999999999999"/>
        <n v="-0.68899999999999995"/>
        <n v="-2.8000000000000001E-2"/>
        <n v="-0.14699999999999999"/>
        <n v="-1.2410000000000001"/>
        <n v="-1.361"/>
        <n v="-1.46"/>
        <n v="-4.1349999999999998"/>
        <n v="-0.189"/>
        <n v="-1.5289999999999999"/>
        <n v="0.253"/>
        <n v="0.71699999999999997"/>
        <n v="-1.2949999999999999"/>
        <n v="-3.3260000000000001"/>
        <n v="1.5629999999999999"/>
        <n v="-1.784"/>
        <n v="0.16700000000000001"/>
        <n v="-1.835"/>
        <n v="-0.73199999999999998"/>
        <n v="-4.9089999999999998"/>
        <n v="1.214"/>
        <n v="-0.621"/>
        <n v="6.2619999999999996"/>
        <n v="5.5830000000000002"/>
        <n v="-4.1870000000000003"/>
        <n v="-3.7589999999999999"/>
        <n v="0.70199999999999996"/>
        <n v="-1.9670000000000001"/>
        <n v="1.3440000000000001"/>
        <n v="1.038"/>
        <n v="1.0369999999999999"/>
        <n v="-3.4590000000000001"/>
        <n v="0.90900000000000003"/>
        <n v="-0.85899999999999999"/>
        <n v="-1.92"/>
        <n v="-0.316"/>
        <n v="-2.9750000000000001"/>
        <n v="-3.9870000000000001"/>
        <n v="9.84"/>
        <n v="1.0840000000000001"/>
        <n v="1.8560000000000001"/>
        <n v="-1.369"/>
        <n v="-2.2879999999999998"/>
        <n v="-4.6449999999999996"/>
        <n v="-1.704"/>
        <n v="-2.8159999999999998"/>
        <n v="-2.298"/>
        <n v="0.308"/>
        <n v="-5.7779999999999996"/>
        <n v="-2.2759999999999998"/>
        <n v="2.581"/>
        <n v="2.6789999999999998"/>
        <n v="3.2530000000000001"/>
        <n v="2.3119999999999998"/>
        <n v="3.1739999999999999"/>
        <n v="-1.39"/>
        <n v="-1.0660000000000001"/>
        <n v="-0.85399999999999998"/>
        <n v="0.874"/>
        <n v="1.9330000000000001"/>
        <n v="-2.0739999999999998"/>
        <n v="-2.3460000000000001"/>
        <n v="-0.88400000000000001"/>
        <n v="4.8049999999999997"/>
        <n v="-2.35"/>
        <n v="-0.78100000000000003"/>
        <n v="-1.68"/>
        <n v="-0.57099999999999995"/>
        <n v="-3.3180000000000001"/>
        <n v="-2.798"/>
        <n v="-0.629"/>
        <n v="4.6189999999999998"/>
        <n v="-7.7530000000000001"/>
        <n v="-0.80900000000000005"/>
        <n v="-2.1160000000000001"/>
        <n v="-1.8240000000000001"/>
        <n v="4.1550000000000002"/>
        <n v="-4.1879999999999997"/>
        <n v="4.0430000000000001"/>
        <n v="0.79700000000000004"/>
        <n v="3.218"/>
        <n v="-6.0510000000000002"/>
        <n v="-3.0950000000000002"/>
        <n v="-2.5670000000000002"/>
        <n v="-5.52"/>
        <n v="6.3129999999999997"/>
        <n v="5.9160000000000004"/>
        <n v="-3.5129999999999999"/>
        <n v="0.73499999999999999"/>
        <n v="-5.1040000000000001"/>
        <n v="3.05"/>
        <n v="0.25800000000000001"/>
        <n v="0.69299999999999995"/>
        <n v="-0.91200000000000003"/>
        <n v="4.1879999999999997"/>
        <n v="2.633"/>
        <n v="-2.9140000000000001"/>
        <n v="6.8070000000000004"/>
        <n v="-0.57999999999999996"/>
        <n v="-2.4489999999999998"/>
        <n v="1.919"/>
        <n v="2.4649999999999999"/>
        <n v="-3.927"/>
        <n v="0.16400000000000001"/>
        <n v="-4.1680000000000001"/>
        <n v="-1.302"/>
        <n v="6.41"/>
        <n v="-0.374"/>
        <n v="1.083"/>
        <n v="-3.7669999999999999"/>
        <n v="0.67"/>
        <n v="4.0049999999999999"/>
        <n v="-1.371"/>
        <n v="-5.0739999999999998"/>
        <n v="-1.242"/>
        <n v="1.96"/>
        <n v="5.4459999999999997"/>
        <n v="-0.61599999999999999"/>
        <n v="0.51600000000000001"/>
        <n v="-4"/>
        <n v="-1.6240000000000001"/>
        <n v="3.5539999999999998"/>
        <n v="-0.44400000000000001"/>
        <n v="7.7060000000000004"/>
        <n v="-0.82099999999999995"/>
        <n v="4.4610000000000003"/>
        <n v="3.9729999999999999"/>
        <n v="4.47"/>
        <n v="-0.872"/>
        <n v="-1.2649999999999999"/>
        <n v="-1.2689999999999999"/>
        <n v="4.7439999999999998"/>
        <n v="0.63200000000000001"/>
        <n v="0.72099999999999997"/>
        <n v="1.3939999999999999"/>
        <n v="-0.60199999999999998"/>
        <n v="0.86299999999999999"/>
        <n v="0.97899999999999998"/>
        <n v="0.65700000000000003"/>
        <n v="2.637"/>
        <n v="-0.72499999999999998"/>
        <n v="3.004"/>
        <n v="1.8340000000000001"/>
        <n v="0.40300000000000002"/>
        <n v="-0.59499999999999997"/>
        <n v="-1.2E-2"/>
        <n v="8.6999999999999994E-2"/>
        <n v="-2.5840000000000001"/>
        <n v="-0.84299999999999997"/>
        <n v="1.75"/>
        <n v="1.6240000000000001"/>
        <n v="-4.43"/>
        <n v="1.19"/>
        <n v="-2.6520000000000001"/>
        <n v="-1.5149999999999999"/>
        <n v="4.2229999999999999"/>
        <n v="-2.13"/>
        <n v="-3.1920000000000002"/>
        <n v="1.4630000000000001"/>
        <n v="1.25"/>
        <n v="-3.6949999999999998"/>
        <n v="1.956"/>
        <n v="2.13"/>
        <n v="3.8530000000000002"/>
        <n v="-0.57899999999999996"/>
        <n v="1.032"/>
        <n v="-2.39"/>
        <n v="0.72199999999999998"/>
        <n v="-3.7130000000000001"/>
        <n v="-0.67800000000000005"/>
        <n v="-1.8680000000000001"/>
        <n v="6.7530000000000001"/>
        <n v="-0.78600000000000003"/>
        <n v="0.5"/>
        <n v="-1.675"/>
        <n v="1.411"/>
        <n v="-4.6740000000000004"/>
        <n v="1.923"/>
        <n v="-5.202"/>
        <n v="3.0659999999999998"/>
        <n v="9.3190000000000008"/>
        <n v="-3.28"/>
        <n v="4.5599999999999996"/>
        <n v="-3.5790000000000002"/>
        <n v="2.7850000000000001"/>
        <n v="-1.694"/>
        <n v="7.6669999999999998"/>
        <n v="-2.681"/>
        <n v="1.4179999999999999"/>
        <n v="2.9580000000000002"/>
        <n v="-0.66500000000000004"/>
        <n v="-1.101"/>
        <n v="-3.181"/>
        <n v="-4.6790000000000003"/>
        <n v="-4.1280000000000001"/>
        <n v="-0.94199999999999995"/>
        <n v="1.3620000000000001"/>
        <n v="-1.9259999999999999"/>
        <n v="3.3759999999999999"/>
        <n v="5.7060000000000004"/>
        <n v="3.1970000000000001"/>
        <n v="0.32300000000000001"/>
        <n v="0.19"/>
        <n v="-3.145"/>
        <n v="-2.0449999999999999"/>
        <n v="1.9550000000000001"/>
        <n v="-1.1970000000000001"/>
        <n v="-0.996"/>
        <n v="-0.54500000000000004"/>
        <n v="8.5869999999999997"/>
        <n v="4.2629999999999999"/>
        <n v="-1.2230000000000001"/>
        <n v="-1.7490000000000001"/>
        <n v="0.372"/>
        <n v="-1.506"/>
        <n v="-2.335"/>
        <n v="-0.35699999999999998"/>
        <n v="-3.8759999999999999"/>
        <n v="0.67500000000000004"/>
        <n v="-0.49399999999999999"/>
        <n v="2.4710000000000001"/>
        <n v="2.7480000000000002"/>
        <n v="-0.41199999999999998"/>
        <n v="-3.077"/>
        <n v="-1.788"/>
        <n v="2.8039999999999998"/>
        <n v="3.2749999999999999"/>
        <n v="3.7450000000000001"/>
        <n v="0.879"/>
        <n v="1.2769999999999999"/>
        <n v="-0.52400000000000002"/>
        <n v="5.2949999999999999"/>
        <n v="0.23300000000000001"/>
        <n v="-0.71299999999999997"/>
        <n v="0.86399999999999999"/>
        <n v="-1.468"/>
        <n v="-0.129"/>
        <n v="-2.105"/>
        <n v="1.6950000000000001"/>
        <n v="4.5940000000000003"/>
        <n v="1.762"/>
        <n v="2.0499999999999998"/>
        <n v="-1.0580000000000001"/>
        <n v="-0.66900000000000004"/>
        <n v="-1.4870000000000001"/>
        <n v="1.109"/>
        <n v="2.298"/>
        <n v="1.899"/>
        <n v="-0.59399999999999997"/>
        <n v="1.238"/>
        <n v="1.8919999999999999"/>
        <n v="-2.661"/>
        <n v="-3.2850000000000001"/>
        <n v="2.5950000000000002"/>
        <n v="0.67400000000000004"/>
        <n v="1.343"/>
        <n v="-1.208"/>
        <n v="1.4E-2"/>
        <n v="-1.56"/>
        <n v="-0.77600000000000002"/>
        <n v="-0.67300000000000004"/>
        <n v="-0.25900000000000001"/>
        <n v="-0.48499999999999999"/>
        <n v="-2.5099999999999998"/>
        <n v="0.29599999999999999"/>
        <n v="-8.5999999999999993E-2"/>
        <n v="-1.5680000000000001"/>
        <n v="-1.3460000000000001"/>
        <n v="-4.5819999999999999"/>
        <n v="-1.7250000000000001"/>
        <n v="2.1469999999999998"/>
        <n v="-0.34799999999999998"/>
        <n v="3.8559999999999999"/>
        <n v="1.742"/>
        <n v="1.7809999999999999"/>
        <n v="-4.0510000000000002"/>
        <n v="5.15"/>
        <n v="2.42"/>
        <n v="-0.77900000000000003"/>
        <n v="1.7589999999999999"/>
        <n v="-0.54100000000000004"/>
        <n v="1.597"/>
        <n v="1.887"/>
        <n v="-0.499"/>
        <n v="1.1100000000000001"/>
        <n v="-1.526"/>
        <n v="-2.87"/>
        <n v="1.8240000000000001"/>
        <n v="-1.2569999999999999"/>
        <n v="-1.5620000000000001"/>
        <n v="-0.38800000000000001"/>
        <n v="-0.33600000000000002"/>
        <n v="1.548"/>
        <n v="1.542"/>
        <n v="-1.8109999999999999"/>
        <n v="-6.5000000000000002E-2"/>
        <n v="0.47799999999999998"/>
        <n v="-1.615"/>
        <n v="-2.2919999999999998"/>
        <n v="0.55100000000000005"/>
        <n v="0.55500000000000005"/>
        <n v="-0.26300000000000001"/>
        <n v="2.5449999999999999"/>
        <n v="0.44500000000000001"/>
        <n v="6.3E-2"/>
        <n v="2.92"/>
        <n v="-1.413"/>
        <n v="-1.389"/>
        <n v="2.472"/>
        <n v="6.923"/>
        <n v="-1.2170000000000001"/>
        <n v="-0.64300000000000002"/>
        <n v="-1.18"/>
        <n v="4.9240000000000004"/>
        <n v="-1.1319999999999999"/>
        <n v="0.85199999999999998"/>
        <n v="1.4390000000000001"/>
        <n v="-0.60099999999999998"/>
        <n v="0.76700000000000002"/>
        <n v="-1.41"/>
        <n v="-2.597"/>
        <n v="2.4009999999999998"/>
        <n v="-1.0549999999999999"/>
        <n v="1.2270000000000001"/>
        <n v="1.33"/>
        <n v="0.26300000000000001"/>
        <n v="1.0509999999999999"/>
        <n v="-1.895"/>
        <n v="-0.106"/>
        <n v="1.2969999999999999"/>
        <n v="-1.5389999999999999"/>
        <n v="-7.3999999999999996E-2"/>
        <n v="1.593"/>
        <n v="2.1779999999999999"/>
        <n v="0.38200000000000001"/>
        <n v="0.223"/>
        <n v="-0.26400000000000001"/>
        <n v="0.72699999999999998"/>
        <n v="0.35599999999999998"/>
        <n v="-0.112"/>
        <n v="0.75600000000000001"/>
        <n v="-2.403"/>
        <n v="1.0049999999999999"/>
        <n v="5.2770000000000001"/>
        <n v="0.153"/>
        <n v="-2.1429999999999998"/>
        <n v="-2.2570000000000001"/>
        <n v="0.79300000000000004"/>
        <n v="-0.36099999999999999"/>
        <n v="-3.2160000000000002"/>
        <n v="2.4590000000000001"/>
        <n v="2.9209999999999998"/>
        <n v="0.28599999999999998"/>
        <n v="-1.2709999999999999"/>
        <n v="0.748"/>
        <n v="-0.33700000000000002"/>
        <n v="-0.46800000000000003"/>
        <n v="-2.4649999999999999"/>
        <n v="-1.706"/>
        <n v="1.3720000000000001"/>
        <n v="-0.16700000000000001"/>
        <n v="-1.954"/>
        <n v="-2.8919999999999999"/>
        <n v="1.302"/>
        <n v="1.02"/>
        <n v="2.1869999999999998"/>
        <n v="-4.3440000000000003"/>
        <n v="0.97799999999999998"/>
        <n v="5.0000000000000001E-3"/>
        <n v="3.363"/>
        <n v="0.88700000000000001"/>
        <n v="0.56799999999999995"/>
        <n v="0.49099999999999999"/>
        <n v="2.347"/>
        <n v="-0.63500000000000001"/>
        <n v="0.51700000000000002"/>
        <n v="-1.843"/>
        <n v="-5.3410000000000002"/>
        <n v="-2.415"/>
        <n v="-0.27800000000000002"/>
        <n v="0.85499999999999998"/>
        <n v="-2.7069999999999999"/>
        <n v="-0.60799999999999998"/>
        <n v="-1.3480000000000001"/>
        <n v="0.496"/>
        <n v="-0.94799999999999995"/>
        <n v="-1.258"/>
        <n v="0.20200000000000001"/>
        <n v="-0.63200000000000001"/>
        <n v="0.755"/>
        <n v="-9.5000000000000001E-2"/>
        <n v="3.55"/>
        <n v="2.09"/>
        <n v="-3.18"/>
        <n v="-1.8380000000000001"/>
        <n v="-1.4410000000000001"/>
        <n v="1.0999999999999999E-2"/>
        <n v="1.294"/>
        <n v="-1.49"/>
        <n v="-1.37"/>
        <n v="-0.73399999999999999"/>
        <n v="-1.151"/>
        <n v="0.873"/>
        <n v="0.98899999999999999"/>
        <n v="-1.147"/>
        <n v="-1.915"/>
        <n v="-2.1040000000000001"/>
        <n v="1.921"/>
        <n v="0.59899999999999998"/>
        <n v="1.3069999999999999"/>
        <n v="0.84099999999999997"/>
        <n v="0.84"/>
        <n v="8.3000000000000004E-2"/>
        <n v="-0.36"/>
        <n v="0.379"/>
        <n v="2.2309999999999999"/>
        <n v="-0.58799999999999997"/>
        <n v="2.016"/>
        <n v="0.85299999999999998"/>
        <n v="0.252"/>
        <n v="0.51400000000000001"/>
        <n v="2.9000000000000001E-2"/>
        <n v="0.186"/>
        <n v="-0.378"/>
        <n v="-0.28199999999999997"/>
        <n v="-1.57"/>
        <n v="-1.538"/>
        <n v="0.98699999999999999"/>
        <n v="-2.8849999999999998"/>
        <n v="0.66600000000000004"/>
        <n v="-0.47899999999999998"/>
        <n v="3.8959999999999999"/>
        <n v="-2.1920000000000002"/>
        <n v="1.0189999999999999"/>
        <n v="1.355"/>
        <n v="-0.55500000000000005"/>
        <n v="-0.21299999999999999"/>
        <n v="-1.466"/>
        <n v="0.36799999999999999"/>
        <n v="0.112"/>
        <n v="-0.30299999999999999"/>
        <n v="-0.71199999999999997"/>
        <n v="-3.04"/>
        <n v="0.629"/>
        <n v="0.35699999999999998"/>
        <n v="-0.51200000000000001"/>
        <n v="2.351"/>
        <n v="1.38"/>
        <n v="-0.67900000000000005"/>
        <n v="-6.3E-2"/>
        <n v="-1.6679999999999999"/>
        <n v="-0.86099999999999999"/>
        <n v="1.1000000000000001"/>
        <n v="-0.41899999999999998"/>
        <n v="-0.377"/>
        <n v="3.9E-2"/>
        <n v="1.3240000000000001"/>
        <n v="1.821"/>
        <n v="1.5329999999999999"/>
        <n v="0.77700000000000002"/>
        <n v="-0.78800000000000003"/>
        <n v="0.224"/>
        <n v="8.5999999999999993E-2"/>
        <n v="-7.2999999999999995E-2"/>
        <n v="-1.4610000000000001"/>
        <n v="0.20399999999999999"/>
        <n v="-0.65100000000000002"/>
        <n v="1.9850000000000001"/>
        <n v="-2.1779999999999999"/>
        <n v="-0.87"/>
        <n v="-0.48399999999999999"/>
        <n v="0.70099999999999996"/>
        <n v="1.121"/>
        <n v="0.11600000000000001"/>
        <n v="3.2559999999999998"/>
        <n v="-1.901"/>
        <n v="-0.879"/>
        <n v="1.53"/>
        <n v="-0.56699999999999995"/>
        <n v="-1.1759999999999999"/>
        <n v="1.8109999999999999"/>
        <n v="-0.63900000000000001"/>
        <n v="-2.7360000000000002"/>
        <n v="0.78700000000000003"/>
        <n v="0.83199999999999996"/>
        <n v="1.248"/>
        <n v="-1.2589999999999999"/>
        <n v="0.61699999999999999"/>
        <n v="-7.0000000000000007E-2"/>
        <n v="0.64600000000000002"/>
        <n v="-2.4609999999999999"/>
        <n v="-1.246"/>
        <n v="0.52500000000000002"/>
        <n v="2.8279999999999998"/>
        <n v="-2.5379999999999998"/>
        <n v="1.802"/>
        <n v="-1.254"/>
        <n v="-2.1819999999999999"/>
        <n v="1.246"/>
        <n v="0.69799999999999995"/>
        <n v="-0.86"/>
        <n v="-3.653"/>
        <n v="1.649"/>
        <n v="-1.1719999999999999"/>
        <n v="-0.252"/>
        <n v="-2.2610000000000001"/>
        <n v="0.71499999999999997"/>
        <n v="3.82"/>
        <n v="-3.3410000000000002"/>
        <n v="2.7919999999999998"/>
        <n v="0.54100000000000004"/>
        <n v="5.5E-2"/>
        <n v="-1.671"/>
        <n v="0.70599999999999996"/>
        <n v="1.6419999999999999"/>
        <n v="2.3570000000000002"/>
        <n v="2.6040000000000001"/>
        <n v="1.63"/>
        <n v="1.3029999999999999"/>
        <n v="-0.376"/>
        <n v="-1.3129999999999999"/>
        <n v="0.373"/>
        <n v="-0.245"/>
        <n v="-0.81599999999999995"/>
        <n v="-0.84899999999999998"/>
        <n v="0.66500000000000004"/>
        <n v="3.2909999999999999"/>
        <n v="2.1749999999999998"/>
        <n v="-1.0309999999999999"/>
        <n v="-1.038"/>
        <n v="1.1499999999999999"/>
        <n v="0.30099999999999999"/>
        <n v="1.629"/>
        <n v="-0.89700000000000002"/>
        <n v="-0.371"/>
        <n v="-1.7709999999999999"/>
        <n v="-0.34100000000000003"/>
        <n v="0.56299999999999994"/>
        <n v="-1.218"/>
        <n v="1.222"/>
        <n v="-0.33"/>
        <n v="1.4379999999999999"/>
        <n v="2.1880000000000002"/>
        <n v="1.004"/>
        <n v="1.486"/>
        <n v="-0.40600000000000003"/>
        <n v="-2.3330000000000002"/>
        <n v="-0.153"/>
        <n v="0.78500000000000003"/>
        <n v="-0.60699999999999998"/>
        <n v="-0.19"/>
        <n v="0.89700000000000002"/>
        <n v="0.74199999999999999"/>
        <n v="-0.183"/>
        <n v="-1.0760000000000001"/>
        <n v="-2.9350000000000001"/>
        <n v="1.3819999999999999"/>
        <n v="-0.82799999999999996"/>
        <n v="-2.0649999999999999"/>
        <n v="-4.1319999999999997"/>
        <n v="1.2509999999999999"/>
        <n v="-1.0780000000000001"/>
        <n v="-2.113"/>
        <n v="-1.2050000000000001"/>
        <n v="-1.204"/>
        <n v="0.28399999999999997"/>
        <n v="-0.69899999999999995"/>
        <n v="1.9610000000000001"/>
        <n v="1.49"/>
        <n v="-0.745"/>
        <n v="0.33900000000000002"/>
        <n v="1.4810000000000001"/>
        <n v="2.0009999999999999"/>
        <n v="2.145"/>
        <n v="1.405"/>
        <n v="1.7000000000000001E-2"/>
        <n v="-0.29499999999999998"/>
        <n v="0.17199999999999999"/>
        <n v="1.044"/>
        <n v="-1.7230000000000001"/>
        <n v="0.35899999999999999"/>
        <n v="0.14099999999999999"/>
        <n v="-3.54"/>
        <n v="1.5569999999999999"/>
        <n v="-2.36"/>
        <n v="0.21099999999999999"/>
        <n v="-0.48"/>
        <n v="0.27400000000000002"/>
        <n v="2.5070000000000001"/>
        <n v="-0.5"/>
        <n v="0.86899999999999999"/>
        <n v="-2.4140000000000001"/>
        <n v="-9.6000000000000002E-2"/>
        <n v="-0.64100000000000001"/>
        <n v="0.42399999999999999"/>
        <n v="2.2120000000000002"/>
        <n v="7.8E-2"/>
        <n v="-0.14299999999999999"/>
        <n v="-1.052"/>
        <n v="0.36099999999999999"/>
        <n v="0.89400000000000002"/>
        <n v="-1.796"/>
        <n v="2.54"/>
        <n v="1.137"/>
        <n v="0.96799999999999997"/>
        <n v="-1.655"/>
        <n v="-0.91600000000000004"/>
        <n v="-2.371"/>
        <n v="0.82399999999999995"/>
        <n v="-0.13500000000000001"/>
        <n v="-1.7749999999999999"/>
        <n v="0.34300000000000003"/>
        <n v="-0.19700000000000001"/>
        <n v="1.1060000000000001"/>
        <n v="-0.57199999999999995"/>
        <n v="0.27900000000000003"/>
        <n v="0.34799999999999998"/>
        <n v="0.86599999999999999"/>
        <n v="1.9410000000000001"/>
        <n v="-0.29099999999999998"/>
        <n v="1.1990000000000001"/>
        <n v="0.95399999999999996"/>
        <n v="0.43099999999999999"/>
        <n v="-0.97099999999999997"/>
        <n v="3.8690000000000002"/>
        <n v="3.7589999999999999"/>
        <n v="0.44"/>
        <n v="0.2"/>
        <n v="-4.0419999999999998"/>
        <n v="0.58899999999999997"/>
        <n v="0.60499999999999998"/>
        <n v="0.52600000000000002"/>
        <n v="1.4490000000000001"/>
        <n v="2E-3"/>
        <n v="2.1320000000000001"/>
        <n v="-1.542"/>
        <n v="-4.4999999999999998E-2"/>
        <n v="1.2809999999999999"/>
        <n v="0.22500000000000001"/>
        <n v="-0.31"/>
        <n v="-0.26200000000000001"/>
        <n v="1.7729999999999999"/>
        <n v="1.871"/>
        <n v="-0.45900000000000002"/>
        <n v="-0.92400000000000004"/>
        <n v="0.66200000000000003"/>
        <n v="-0.97899999999999998"/>
        <n v="-1.353"/>
        <n v="-0.78400000000000003"/>
        <n v="-2.1999999999999999E-2"/>
        <n v="-0.56799999999999995"/>
        <n v="-3.3140000000000001"/>
        <n v="1.0529999999999999"/>
        <n v="-1.7549999999999999"/>
        <n v="1.413"/>
        <n v="-2.1589999999999998"/>
        <n v="0.71199999999999997"/>
        <n v="-4.4130000000000003"/>
        <n v="2.8239999999999998"/>
        <n v="-0.69299999999999995"/>
        <n v="8.1000000000000003E-2"/>
        <n v="0.53"/>
        <n v="0.28299999999999997"/>
        <n v="0.61"/>
        <n v="1.4690000000000001"/>
        <n v="2.367"/>
        <n v="0.77500000000000002"/>
        <n v="-0.30199999999999999"/>
        <n v="2.17"/>
        <n v="1.6619999999999999"/>
        <n v="1.306"/>
        <n v="-2.278"/>
        <n v="-1.6759999999999999"/>
        <n v="-2.552"/>
        <n v="-1.9379999999999999"/>
        <n v="-1.2290000000000001"/>
        <n v="1.2749999999999999"/>
        <n v="-3.2090000000000001"/>
        <n v="-0.94599999999999995"/>
        <n v="0.1"/>
        <n v="1.7769999999999999"/>
        <n v="-6.8479999999999999"/>
        <n v="-0.95899999999999996"/>
        <n v="3.1920000000000002"/>
        <n v="-2.5009999999999999"/>
        <n v="1.835"/>
        <n v="1.071"/>
        <n v="2.5350000000000001"/>
        <n v="1.9810000000000001"/>
        <n v="0.23899999999999999"/>
        <n v="1.9530000000000001"/>
        <n v="-2.33"/>
        <n v="0.25700000000000001"/>
        <n v="-3.9249999999999998"/>
        <n v="9.5000000000000001E-2"/>
        <n v="1.3560000000000001"/>
        <n v="1.6910000000000001"/>
        <n v="-4.5330000000000004"/>
        <n v="4.8289999999999997"/>
        <n v="-4.6070000000000002"/>
        <n v="10.461"/>
        <n v="-1.1559999999999999"/>
        <n v="-0.186"/>
        <n v="-0.152"/>
        <n v="2.766"/>
        <n v="-1.5009999999999999"/>
        <n v="0.41599999999999998"/>
        <n v="3.4860000000000002"/>
        <n v="0.22600000000000001"/>
        <n v="4.6630000000000003"/>
        <n v="0.40899999999999997"/>
        <n v="0.94399999999999995"/>
        <n v="1.968"/>
        <n v="1.714"/>
        <n v="0.97499999999999998"/>
        <n v="1.7450000000000001"/>
        <n v="1.728"/>
        <n v="0.73099999999999998"/>
        <n v="1.425"/>
        <n v="-1.48"/>
        <n v="-0.6"/>
        <n v="-1.268"/>
        <n v="2.1520000000000001"/>
        <n v="1.8939999999999999"/>
        <n v="2.6349999999999998"/>
        <n v="1.5389999999999999"/>
        <n v="0.441"/>
        <n v="0.68500000000000005"/>
        <n v="-0.372"/>
        <n v="0.11700000000000001"/>
        <n v="1.359"/>
        <n v="-1.9159999999999999"/>
        <n v="0.74299999999999999"/>
        <n v="1.48"/>
        <n v="-0.158"/>
        <n v="1.5509999999999999"/>
        <n v="0.8"/>
        <n v="-1.4239999999999999"/>
        <n v="-1.1639999999999999"/>
        <n v="-1.9470000000000001"/>
        <n v="1.4370000000000001"/>
        <n v="-0.61799999999999999"/>
        <n v="0.46100000000000002"/>
        <n v="1.085"/>
        <n v="5.8999999999999997E-2"/>
        <n v="-0.246"/>
        <n v="1.2529999999999999"/>
        <n v="1.472"/>
        <n v="-0.90100000000000002"/>
        <n v="2.0840000000000001"/>
        <n v="1.2430000000000001"/>
        <n v="0.61099999999999999"/>
        <n v="-3.335"/>
        <n v="-0.93300000000000005"/>
        <n v="-0.41499999999999998"/>
        <n v="1.1220000000000001"/>
        <n v="-2.7160000000000002"/>
        <n v="1.369"/>
        <n v="-0.13700000000000001"/>
        <n v="-0.90400000000000003"/>
        <n v="1.69"/>
        <n v="-2.6349999999999998"/>
        <n v="2.2610000000000001"/>
        <n v="-3.2749999999999999"/>
        <n v="0.251"/>
        <n v="0.17599999999999999"/>
        <n v="-0.55900000000000005"/>
        <n v="1.339"/>
        <n v="-2.1440000000000001"/>
        <n v="-0.379"/>
        <n v="-1.9750000000000001"/>
        <n v="2.1640000000000001"/>
        <n v="-0.11799999999999999"/>
        <n v="2.4049999999999998"/>
        <n v="0.35399999999999998"/>
        <n v="2.3E-2"/>
        <n v="-2.395"/>
        <n v="1.708"/>
        <n v="0.39800000000000002"/>
        <n v="0.76600000000000001"/>
        <n v="-2.1"/>
        <n v="-0.34"/>
        <n v="-0.43099999999999999"/>
        <n v="-0.35"/>
        <n v="1.3660000000000001"/>
        <n v="0.48199999999999998"/>
        <n v="-1.6060000000000001"/>
        <n v="1.429"/>
        <n v="1.746"/>
        <n v="2.802"/>
        <n v="-1.284"/>
        <n v="-1.286"/>
        <n v="-3.7970000000000002"/>
        <n v="-1.2150000000000001"/>
        <n v="1.1659999999999999"/>
        <n v="-0.42599999999999999"/>
        <n v="0.61299999999999999"/>
        <n v="-1.0680000000000001"/>
        <n v="-0.72199999999999998"/>
        <n v="-1.2030000000000001"/>
        <n v="0.42799999999999999"/>
        <n v="8.8999999999999996E-2"/>
        <n v="-1.0029999999999999"/>
        <n v="1.127"/>
        <n v="1.4319999999999999"/>
        <n v="1.385"/>
        <n v="-0.72599999999999998"/>
        <n v="4.9000000000000002E-2"/>
        <n v="-0.80100000000000005"/>
        <n v="-2.3559999999999999"/>
        <n v="1.3320000000000001"/>
        <n v="-0.11899999999999999"/>
        <n v="-2.3210000000000002"/>
        <n v="-1.181"/>
        <n v="5.1999999999999998E-2"/>
        <n v="-0.49299999999999999"/>
        <n v="1.2190000000000001"/>
        <n v="-2.9249999999999998"/>
        <n v="1.2410000000000001"/>
        <n v="1.206"/>
        <n v="1.6859999999999999"/>
        <n v="1.698"/>
        <n v="-0.36899999999999999"/>
        <n v="-2.6739999999999999"/>
        <n v="3.4449999999999998"/>
        <n v="-2.6549999999999998"/>
        <n v="-4.8019999999999996"/>
        <n v="-0.78"/>
        <n v="2.609"/>
        <n v="-1.621"/>
        <n v="0.378"/>
        <n v="2.46"/>
        <n v="0.128"/>
        <n v="-2.4670000000000001"/>
        <n v="-0.33800000000000002"/>
        <n v="1.478"/>
        <n v="-3.0840000000000001"/>
        <n v="-4.1660000000000004"/>
        <n v="-0.32500000000000001"/>
        <n v="-2.343"/>
        <n v="-1.24"/>
        <n v="-1.073"/>
        <n v="-1.5629999999999999"/>
        <n v="0.107"/>
        <n v="0.56899999999999995"/>
        <n v="0.17"/>
        <n v="0.27800000000000002"/>
        <n v="0.17100000000000001"/>
        <n v="-3.3359999999999999"/>
        <n v="0.59399999999999997"/>
        <n v="-0.97199999999999998"/>
        <n v="8.7999999999999995E-2"/>
        <n v="-0.63300000000000001"/>
        <n v="-0.312"/>
        <n v="-2.948"/>
        <n v="-1.0900000000000001"/>
        <n v="-0.38500000000000001"/>
        <n v="-1.9219999999999999"/>
        <n v="3.4420000000000002"/>
        <n v="-1.7410000000000001"/>
        <n v="3.2240000000000002"/>
        <n v="-1.4039999999999999"/>
        <n v="0.35199999999999998"/>
        <n v="0.46899999999999997"/>
        <n v="-2.7850000000000001"/>
        <n v="0.21299999999999999"/>
        <n v="-0.76100000000000001"/>
        <n v="1.456"/>
        <n v="-0.86399999999999999"/>
        <n v="-2.855"/>
        <n v="-4.1079999999999997"/>
        <n v="0.95899999999999996"/>
        <n v="0.104"/>
        <n v="0.86699999999999999"/>
        <n v="2.6890000000000001"/>
        <n v="-2.2749999999999999"/>
        <n v="4.117"/>
        <n v="1.671"/>
        <n v="1.76"/>
        <n v="1.5960000000000001"/>
        <n v="0.68"/>
        <n v="-2.5870000000000002"/>
        <n v="-0.39800000000000002"/>
        <n v="-2.7250000000000001"/>
        <n v="0.55900000000000005"/>
        <n v="-2.0150000000000001"/>
        <n v="1.9670000000000001"/>
        <n v="0.23699999999999999"/>
        <n v="3.3540000000000001"/>
        <n v="-0.95399999999999996"/>
        <n v="3.5579999999999998"/>
        <n v="-2.0110000000000001"/>
        <n v="-0.92700000000000005"/>
        <n v="2.4289999999999998"/>
        <n v="0.52700000000000002"/>
        <n v="-1E-3"/>
        <n v="-1.8640000000000001"/>
        <n v="-1.698"/>
        <n v="0.73"/>
        <n v="2.1440000000000001"/>
        <n v="-2.16"/>
        <n v="-0.999"/>
      </sharedItems>
    </cacheField>
    <cacheField name="reviews_count" numFmtId="0">
      <sharedItems containsSemiMixedTypes="0" containsString="0" containsNumber="1" containsInteger="1" minValue="0" maxValue="383" count="178">
        <n v="28"/>
        <n v="37"/>
        <n v="34"/>
        <n v="44"/>
        <n v="46"/>
        <n v="33"/>
        <n v="29"/>
        <n v="35"/>
        <n v="48"/>
        <n v="23"/>
        <n v="39"/>
        <n v="49"/>
        <n v="47"/>
        <n v="40"/>
        <n v="62"/>
        <n v="24"/>
        <n v="38"/>
        <n v="45"/>
        <n v="26"/>
        <n v="43"/>
        <n v="57"/>
        <n v="66"/>
        <n v="65"/>
        <n v="55"/>
        <n v="68"/>
        <n v="63"/>
        <n v="42"/>
        <n v="30"/>
        <n v="51"/>
        <n v="90"/>
        <n v="73"/>
        <n v="71"/>
        <n v="52"/>
        <n v="58"/>
        <n v="56"/>
        <n v="50"/>
        <n v="36"/>
        <n v="32"/>
        <n v="31"/>
        <n v="21"/>
        <n v="53"/>
        <n v="41"/>
        <n v="54"/>
        <n v="25"/>
        <n v="61"/>
        <n v="69"/>
        <n v="92"/>
        <n v="60"/>
        <n v="59"/>
        <n v="70"/>
        <n v="64"/>
        <n v="67"/>
        <n v="88"/>
        <n v="75"/>
        <n v="72"/>
        <n v="95"/>
        <n v="98"/>
        <n v="79"/>
        <n v="76"/>
        <n v="77"/>
        <n v="82"/>
        <n v="129"/>
        <n v="89"/>
        <n v="87"/>
        <n v="114"/>
        <n v="81"/>
        <n v="93"/>
        <n v="108"/>
        <n v="94"/>
        <n v="100"/>
        <n v="96"/>
        <n v="91"/>
        <n v="117"/>
        <n v="85"/>
        <n v="83"/>
        <n v="109"/>
        <n v="112"/>
        <n v="106"/>
        <n v="150"/>
        <n v="97"/>
        <n v="111"/>
        <n v="99"/>
        <n v="107"/>
        <n v="110"/>
        <n v="80"/>
        <n v="105"/>
        <n v="84"/>
        <n v="103"/>
        <n v="101"/>
        <n v="116"/>
        <n v="123"/>
        <n v="142"/>
        <n v="86"/>
        <n v="78"/>
        <n v="74"/>
        <n v="115"/>
        <n v="125"/>
        <n v="104"/>
        <n v="102"/>
        <n v="248"/>
        <n v="137"/>
        <n v="122"/>
        <n v="27"/>
        <n v="22"/>
        <n v="18"/>
        <n v="17"/>
        <n v="16"/>
        <n v="19"/>
        <n v="13"/>
        <n v="126"/>
        <n v="20"/>
        <n v="14"/>
        <n v="15"/>
        <n v="147"/>
        <n v="133"/>
        <n v="146"/>
        <n v="134"/>
        <n v="141"/>
        <n v="120"/>
        <n v="154"/>
        <n v="181"/>
        <n v="175"/>
        <n v="121"/>
        <n v="291"/>
        <n v="179"/>
        <n v="185"/>
        <n v="217"/>
        <n v="162"/>
        <n v="170"/>
        <n v="0"/>
        <n v="353"/>
        <n v="194"/>
        <n v="187"/>
        <n v="172"/>
        <n v="159"/>
        <n v="149"/>
        <n v="176"/>
        <n v="192"/>
        <n v="202"/>
        <n v="168"/>
        <n v="148"/>
        <n v="163"/>
        <n v="169"/>
        <n v="153"/>
        <n v="158"/>
        <n v="164"/>
        <n v="173"/>
        <n v="156"/>
        <n v="188"/>
        <n v="138"/>
        <n v="2"/>
        <n v="1"/>
        <n v="3"/>
        <n v="128"/>
        <n v="119"/>
        <n v="130"/>
        <n v="143"/>
        <n v="9"/>
        <n v="135"/>
        <n v="118"/>
        <n v="165"/>
        <n v="127"/>
        <n v="139"/>
        <n v="155"/>
        <n v="160"/>
        <n v="140"/>
        <n v="124"/>
        <n v="11"/>
        <n v="246"/>
        <n v="145"/>
        <n v="216"/>
        <n v="383"/>
        <n v="203"/>
        <n v="190"/>
        <n v="213"/>
        <n v="249"/>
        <n v="201"/>
        <n v="177"/>
      </sharedItems>
    </cacheField>
    <cacheField name="reviews_avg_rating" numFmtId="0">
      <sharedItems containsString="0" containsBlank="1" containsNumber="1" minValue="1" maxValue="5"/>
    </cacheField>
    <cacheField name="reviews_sentiment_score" numFmtId="0">
      <sharedItems containsString="0" containsBlank="1" containsNumber="1" minValue="-0.96779999999999999" maxValue="0.95709999999999995"/>
    </cacheField>
    <cacheField name="titles_released_count" numFmtId="0">
      <sharedItems containsSemiMixedTypes="0" containsString="0" containsNumber="1" containsInteger="1" minValue="0" maxValue="118" count="43">
        <n v="2"/>
        <n v="11"/>
        <n v="16"/>
        <n v="1"/>
        <n v="3"/>
        <n v="6"/>
        <n v="0"/>
        <n v="7"/>
        <n v="72"/>
        <n v="17"/>
        <n v="4"/>
        <n v="9"/>
        <n v="5"/>
        <n v="18"/>
        <n v="8"/>
        <n v="61"/>
        <n v="13"/>
        <n v="29"/>
        <n v="10"/>
        <n v="27"/>
        <n v="40"/>
        <n v="41"/>
        <n v="32"/>
        <n v="23"/>
        <n v="30"/>
        <n v="15"/>
        <n v="12"/>
        <n v="14"/>
        <n v="58"/>
        <n v="22"/>
        <n v="33"/>
        <n v="34"/>
        <n v="63"/>
        <n v="24"/>
        <n v="94"/>
        <n v="28"/>
        <n v="76"/>
        <n v="118"/>
        <n v="46"/>
        <n v="25"/>
        <n v="26"/>
        <n v="36"/>
        <n v="53"/>
      </sharedItems>
    </cacheField>
    <cacheField name="titles_avg_imdb_score" numFmtId="0">
      <sharedItems containsString="0" containsBlank="1" containsNumber="1" minValue="2.6" maxValue="9.1"/>
    </cacheField>
    <cacheField name="is_trading_day" numFmtId="0">
      <sharedItems containsSemiMixedTypes="0" containsString="0" containsNumber="1" containsInteger="1" minValue="0" maxValue="1"/>
    </cacheField>
    <cacheField name="Year" numFmtId="0">
      <sharedItems containsSemiMixedTypes="0" containsString="0" containsNumber="1" containsInteger="1" minValue="2018" maxValue="2026" count="9">
        <n v="2018"/>
        <n v="2019"/>
        <n v="2020"/>
        <n v="2021"/>
        <n v="2022"/>
        <n v="2023"/>
        <n v="2024"/>
        <n v="2025"/>
        <n v="2026"/>
      </sharedItems>
    </cacheField>
    <cacheField name="Month" numFmtId="0">
      <sharedItems count="12">
        <s v="Sep"/>
        <s v="Oct"/>
        <s v="Nov"/>
        <s v="Dec"/>
        <s v="Jan"/>
        <s v="Feb"/>
        <s v="Mar"/>
        <s v="Apr"/>
        <s v="May"/>
        <s v="Jun"/>
        <s v="Jul"/>
        <s v="Aug"/>
      </sharedItems>
    </cacheField>
    <cacheField name="Month-Year" numFmtId="0">
      <sharedItems count="93">
        <s v="Sep 2018"/>
        <s v="Oct 2018"/>
        <s v="Nov 2018"/>
        <s v="Dec 2018"/>
        <s v="Jan 2019"/>
        <s v="Feb 2019"/>
        <s v="Mar 2019"/>
        <s v="Apr 2019"/>
        <s v="May 2019"/>
        <s v="Jun 2019"/>
        <s v="Jul 2019"/>
        <s v="Aug 2019"/>
        <s v="Sep 2019"/>
        <s v="Oct 2019"/>
        <s v="Nov 2019"/>
        <s v="Dec 2019"/>
        <s v="Jan 2020"/>
        <s v="Feb 2020"/>
        <s v="Mar 2020"/>
        <s v="Apr 2020"/>
        <s v="May 2020"/>
        <s v="Jun 2020"/>
        <s v="Jul 2020"/>
        <s v="Aug 2020"/>
        <s v="Sep 2020"/>
        <s v="Oct 2020"/>
        <s v="Nov 2020"/>
        <s v="Dec 2020"/>
        <s v="Jan 2021"/>
        <s v="Feb 2021"/>
        <s v="Mar 2021"/>
        <s v="Apr 2021"/>
        <s v="May 2021"/>
        <s v="Jun 2021"/>
        <s v="Jul 2021"/>
        <s v="Aug 2021"/>
        <s v="Sep 2021"/>
        <s v="Oct 2021"/>
        <s v="Nov 2021"/>
        <s v="Dec 2021"/>
        <s v="Jan 2022"/>
        <s v="Feb 2022"/>
        <s v="Mar 2022"/>
        <s v="Apr 2022"/>
        <s v="May 2022"/>
        <s v="Jun 2022"/>
        <s v="Jul 2022"/>
        <s v="Aug 2022"/>
        <s v="Sep 2022"/>
        <s v="Oct 2022"/>
        <s v="Nov 2022"/>
        <s v="Dec 2022"/>
        <s v="Jan 2023"/>
        <s v="Feb 2023"/>
        <s v="Mar 2023"/>
        <s v="Apr 2023"/>
        <s v="May 2023"/>
        <s v="Jun 2023"/>
        <s v="Jul 2023"/>
        <s v="Aug 2023"/>
        <s v="Sep 2023"/>
        <s v="Oct 2023"/>
        <s v="Nov 2023"/>
        <s v="Dec 2023"/>
        <s v="Jan 2024"/>
        <s v="Feb 2024"/>
        <s v="Mar 2024"/>
        <s v="Apr 2024"/>
        <s v="May 2024"/>
        <s v="Jun 2024"/>
        <s v="Jul 2024"/>
        <s v="Aug 2024"/>
        <s v="Sep 2024"/>
        <s v="Oct 2024"/>
        <s v="Nov 2024"/>
        <s v="Dec 2024"/>
        <s v="Jan 2025"/>
        <s v="Feb 2025"/>
        <s v="Mar 2025"/>
        <s v="Apr 2025"/>
        <s v="May 2025"/>
        <s v="Jun 2025"/>
        <s v="Jul 2025"/>
        <s v="Aug 2025"/>
        <s v="Sep 2025"/>
        <s v="Oct 2025"/>
        <s v="Nov 2025"/>
        <s v="Dec 2025"/>
        <s v="Jan 2026"/>
        <s v="Feb 2026"/>
        <s v="Mar 2026"/>
        <s v="Apr 2026"/>
        <s v="Sep 2026"/>
      </sharedItems>
    </cacheField>
    <cacheField name="Trading_status" numFmtId="0">
      <sharedItems count="2">
        <s v="Trading Day"/>
        <s v="Non-Trading Day"/>
      </sharedItems>
    </cacheField>
    <cacheField name="StockReturn_Category" numFmtId="0">
      <sharedItems count="3">
        <s v="Positive"/>
        <s v="Negative"/>
        <s v="No Change"/>
      </sharedItems>
    </cacheField>
    <cacheField name="Sentiment_status" numFmtId="0">
      <sharedItems count="3">
        <s v="Positive"/>
        <s v="Neutral"/>
        <s v="Negative"/>
      </sharedItems>
    </cacheField>
  </cacheFields>
  <extLst>
    <ext xmlns:x14="http://schemas.microsoft.com/office/spreadsheetml/2009/9/main" uri="{725AE2AE-9491-48be-B2B4-4EB974FC3084}">
      <x14:pivotCacheDefinition pivotCacheId="151923271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0">
  <r>
    <x v="0"/>
    <n v="36.99"/>
    <x v="0"/>
    <x v="0"/>
    <x v="0"/>
    <n v="3.18"/>
    <n v="0.19500000000000001"/>
    <x v="0"/>
    <n v="7.6"/>
    <n v="1"/>
    <x v="0"/>
    <x v="0"/>
    <x v="0"/>
    <x v="0"/>
    <x v="0"/>
    <x v="0"/>
  </r>
  <r>
    <x v="1"/>
    <n v="36.81"/>
    <x v="1"/>
    <x v="1"/>
    <x v="1"/>
    <n v="2.81"/>
    <n v="0.2291"/>
    <x v="0"/>
    <n v="7.3"/>
    <n v="1"/>
    <x v="0"/>
    <x v="0"/>
    <x v="0"/>
    <x v="0"/>
    <x v="1"/>
    <x v="0"/>
  </r>
  <r>
    <x v="2"/>
    <n v="36.46"/>
    <x v="2"/>
    <x v="2"/>
    <x v="2"/>
    <n v="3.06"/>
    <n v="0.23250000000000001"/>
    <x v="1"/>
    <n v="6.78"/>
    <n v="1"/>
    <x v="0"/>
    <x v="0"/>
    <x v="0"/>
    <x v="1"/>
    <x v="1"/>
    <x v="0"/>
  </r>
  <r>
    <x v="3"/>
    <n v="36.46"/>
    <x v="3"/>
    <x v="3"/>
    <x v="3"/>
    <n v="2.91"/>
    <n v="-4.5400000000000003E-2"/>
    <x v="2"/>
    <n v="6.86"/>
    <n v="0"/>
    <x v="0"/>
    <x v="0"/>
    <x v="0"/>
    <x v="1"/>
    <x v="2"/>
    <x v="1"/>
  </r>
  <r>
    <x v="4"/>
    <n v="36.46"/>
    <x v="3"/>
    <x v="3"/>
    <x v="4"/>
    <n v="3.33"/>
    <n v="0.33589999999999998"/>
    <x v="0"/>
    <n v="6.9"/>
    <n v="0"/>
    <x v="0"/>
    <x v="0"/>
    <x v="0"/>
    <x v="0"/>
    <x v="2"/>
    <x v="0"/>
  </r>
  <r>
    <x v="5"/>
    <n v="35.03"/>
    <x v="4"/>
    <x v="4"/>
    <x v="5"/>
    <n v="2.85"/>
    <n v="0.20519999999999999"/>
    <x v="3"/>
    <n v="7"/>
    <n v="1"/>
    <x v="0"/>
    <x v="0"/>
    <x v="0"/>
    <x v="0"/>
    <x v="1"/>
    <x v="0"/>
  </r>
  <r>
    <x v="6"/>
    <n v="36.76"/>
    <x v="5"/>
    <x v="5"/>
    <x v="6"/>
    <n v="2.5499999999999998"/>
    <n v="0.1239"/>
    <x v="3"/>
    <n v="6.5"/>
    <n v="1"/>
    <x v="0"/>
    <x v="0"/>
    <x v="0"/>
    <x v="0"/>
    <x v="0"/>
    <x v="0"/>
  </r>
  <r>
    <x v="7"/>
    <n v="36.700000000000003"/>
    <x v="6"/>
    <x v="6"/>
    <x v="6"/>
    <n v="2.79"/>
    <n v="0.185"/>
    <x v="0"/>
    <n v="6.5"/>
    <n v="1"/>
    <x v="0"/>
    <x v="0"/>
    <x v="0"/>
    <x v="0"/>
    <x v="1"/>
    <x v="0"/>
  </r>
  <r>
    <x v="8"/>
    <n v="36.54"/>
    <x v="7"/>
    <x v="7"/>
    <x v="7"/>
    <n v="2.66"/>
    <n v="0.13170000000000001"/>
    <x v="4"/>
    <n v="7.2"/>
    <n v="1"/>
    <x v="0"/>
    <x v="0"/>
    <x v="0"/>
    <x v="0"/>
    <x v="1"/>
    <x v="0"/>
  </r>
  <r>
    <x v="9"/>
    <n v="36.119999999999997"/>
    <x v="8"/>
    <x v="8"/>
    <x v="5"/>
    <n v="2.73"/>
    <n v="0.217"/>
    <x v="5"/>
    <n v="7.3"/>
    <n v="1"/>
    <x v="0"/>
    <x v="0"/>
    <x v="0"/>
    <x v="1"/>
    <x v="1"/>
    <x v="0"/>
  </r>
  <r>
    <x v="10"/>
    <n v="36.119999999999997"/>
    <x v="3"/>
    <x v="3"/>
    <x v="5"/>
    <n v="2.82"/>
    <n v="0.1336"/>
    <x v="0"/>
    <n v="6.6"/>
    <n v="0"/>
    <x v="0"/>
    <x v="0"/>
    <x v="0"/>
    <x v="1"/>
    <x v="2"/>
    <x v="0"/>
  </r>
  <r>
    <x v="11"/>
    <n v="36.119999999999997"/>
    <x v="3"/>
    <x v="3"/>
    <x v="8"/>
    <n v="2.6"/>
    <n v="0.192"/>
    <x v="6"/>
    <m/>
    <n v="0"/>
    <x v="0"/>
    <x v="0"/>
    <x v="0"/>
    <x v="0"/>
    <x v="2"/>
    <x v="0"/>
  </r>
  <r>
    <x v="12"/>
    <n v="36.96"/>
    <x v="9"/>
    <x v="9"/>
    <x v="9"/>
    <n v="3.09"/>
    <n v="0.2394"/>
    <x v="3"/>
    <n v="2.6"/>
    <n v="1"/>
    <x v="0"/>
    <x v="0"/>
    <x v="0"/>
    <x v="0"/>
    <x v="0"/>
    <x v="0"/>
  </r>
  <r>
    <x v="13"/>
    <n v="36.94"/>
    <x v="10"/>
    <x v="10"/>
    <x v="10"/>
    <n v="3.03"/>
    <n v="0.23430000000000001"/>
    <x v="3"/>
    <n v="4.3"/>
    <n v="1"/>
    <x v="0"/>
    <x v="0"/>
    <x v="0"/>
    <x v="0"/>
    <x v="1"/>
    <x v="0"/>
  </r>
  <r>
    <x v="14"/>
    <n v="37.79"/>
    <x v="11"/>
    <x v="11"/>
    <x v="11"/>
    <n v="3.04"/>
    <n v="0.124"/>
    <x v="3"/>
    <n v="5.2"/>
    <n v="1"/>
    <x v="0"/>
    <x v="0"/>
    <x v="0"/>
    <x v="0"/>
    <x v="0"/>
    <x v="0"/>
  </r>
  <r>
    <x v="15"/>
    <n v="38.07"/>
    <x v="12"/>
    <x v="12"/>
    <x v="12"/>
    <n v="3.13"/>
    <n v="0.2717"/>
    <x v="3"/>
    <n v="6.7"/>
    <n v="1"/>
    <x v="0"/>
    <x v="0"/>
    <x v="0"/>
    <x v="0"/>
    <x v="0"/>
    <x v="0"/>
  </r>
  <r>
    <x v="16"/>
    <n v="37.409999999999997"/>
    <x v="13"/>
    <x v="13"/>
    <x v="6"/>
    <n v="3.41"/>
    <n v="0.36670000000000003"/>
    <x v="1"/>
    <n v="6"/>
    <n v="1"/>
    <x v="0"/>
    <x v="0"/>
    <x v="0"/>
    <x v="1"/>
    <x v="1"/>
    <x v="0"/>
  </r>
  <r>
    <x v="17"/>
    <n v="37.409999999999997"/>
    <x v="3"/>
    <x v="3"/>
    <x v="13"/>
    <n v="3.18"/>
    <n v="0.1845"/>
    <x v="0"/>
    <n v="6.35"/>
    <n v="0"/>
    <x v="0"/>
    <x v="0"/>
    <x v="0"/>
    <x v="1"/>
    <x v="2"/>
    <x v="0"/>
  </r>
  <r>
    <x v="18"/>
    <n v="37.409999999999997"/>
    <x v="3"/>
    <x v="3"/>
    <x v="4"/>
    <n v="3.48"/>
    <n v="0.31190000000000001"/>
    <x v="7"/>
    <n v="6.87"/>
    <n v="0"/>
    <x v="0"/>
    <x v="0"/>
    <x v="0"/>
    <x v="0"/>
    <x v="2"/>
    <x v="0"/>
  </r>
  <r>
    <x v="19"/>
    <n v="38.14"/>
    <x v="14"/>
    <x v="14"/>
    <x v="3"/>
    <n v="3.48"/>
    <n v="0.31240000000000001"/>
    <x v="8"/>
    <n v="6.32"/>
    <n v="1"/>
    <x v="0"/>
    <x v="1"/>
    <x v="1"/>
    <x v="0"/>
    <x v="0"/>
    <x v="0"/>
  </r>
  <r>
    <x v="20"/>
    <n v="37.71"/>
    <x v="15"/>
    <x v="15"/>
    <x v="14"/>
    <n v="3.68"/>
    <n v="0.43709999999999999"/>
    <x v="9"/>
    <n v="7.9"/>
    <n v="1"/>
    <x v="0"/>
    <x v="1"/>
    <x v="1"/>
    <x v="0"/>
    <x v="1"/>
    <x v="0"/>
  </r>
  <r>
    <x v="21"/>
    <n v="37.71"/>
    <x v="16"/>
    <x v="16"/>
    <x v="15"/>
    <n v="2.88"/>
    <n v="0.25519999999999998"/>
    <x v="4"/>
    <n v="6.05"/>
    <n v="1"/>
    <x v="0"/>
    <x v="1"/>
    <x v="1"/>
    <x v="0"/>
    <x v="1"/>
    <x v="0"/>
  </r>
  <r>
    <x v="22"/>
    <n v="36.369999999999997"/>
    <x v="17"/>
    <x v="17"/>
    <x v="16"/>
    <n v="3.16"/>
    <n v="0.2336"/>
    <x v="10"/>
    <n v="4.87"/>
    <n v="1"/>
    <x v="0"/>
    <x v="1"/>
    <x v="1"/>
    <x v="0"/>
    <x v="1"/>
    <x v="0"/>
  </r>
  <r>
    <x v="23"/>
    <n v="35.130000000000003"/>
    <x v="18"/>
    <x v="18"/>
    <x v="11"/>
    <n v="3.16"/>
    <n v="0.2525"/>
    <x v="11"/>
    <n v="6.49"/>
    <n v="1"/>
    <x v="0"/>
    <x v="1"/>
    <x v="1"/>
    <x v="1"/>
    <x v="1"/>
    <x v="0"/>
  </r>
  <r>
    <x v="24"/>
    <n v="35.130000000000003"/>
    <x v="3"/>
    <x v="3"/>
    <x v="17"/>
    <n v="3.11"/>
    <n v="0.25490000000000002"/>
    <x v="0"/>
    <n v="5.95"/>
    <n v="0"/>
    <x v="0"/>
    <x v="1"/>
    <x v="1"/>
    <x v="1"/>
    <x v="2"/>
    <x v="0"/>
  </r>
  <r>
    <x v="25"/>
    <n v="35.130000000000003"/>
    <x v="3"/>
    <x v="3"/>
    <x v="18"/>
    <n v="3.31"/>
    <n v="0.22969999999999999"/>
    <x v="6"/>
    <m/>
    <n v="0"/>
    <x v="0"/>
    <x v="1"/>
    <x v="1"/>
    <x v="0"/>
    <x v="2"/>
    <x v="0"/>
  </r>
  <r>
    <x v="26"/>
    <n v="34.909999999999997"/>
    <x v="19"/>
    <x v="19"/>
    <x v="19"/>
    <n v="3.44"/>
    <n v="0.28770000000000001"/>
    <x v="0"/>
    <n v="6.7"/>
    <n v="1"/>
    <x v="0"/>
    <x v="1"/>
    <x v="1"/>
    <x v="0"/>
    <x v="0"/>
    <x v="0"/>
  </r>
  <r>
    <x v="27"/>
    <n v="35.57"/>
    <x v="20"/>
    <x v="20"/>
    <x v="19"/>
    <n v="3.4"/>
    <n v="0.24410000000000001"/>
    <x v="4"/>
    <n v="6.7"/>
    <n v="1"/>
    <x v="0"/>
    <x v="1"/>
    <x v="1"/>
    <x v="0"/>
    <x v="0"/>
    <x v="0"/>
  </r>
  <r>
    <x v="28"/>
    <n v="32.590000000000003"/>
    <x v="21"/>
    <x v="21"/>
    <x v="20"/>
    <n v="3.58"/>
    <n v="0.36309999999999998"/>
    <x v="4"/>
    <n v="8.6999999999999993"/>
    <n v="1"/>
    <x v="0"/>
    <x v="1"/>
    <x v="1"/>
    <x v="0"/>
    <x v="1"/>
    <x v="0"/>
  </r>
  <r>
    <x v="29"/>
    <n v="32.11"/>
    <x v="22"/>
    <x v="22"/>
    <x v="11"/>
    <n v="3.45"/>
    <n v="0.30819999999999997"/>
    <x v="10"/>
    <n v="7.25"/>
    <n v="1"/>
    <x v="0"/>
    <x v="1"/>
    <x v="1"/>
    <x v="0"/>
    <x v="1"/>
    <x v="0"/>
  </r>
  <r>
    <x v="30"/>
    <n v="33.96"/>
    <x v="23"/>
    <x v="23"/>
    <x v="20"/>
    <n v="3.04"/>
    <n v="0.26640000000000003"/>
    <x v="1"/>
    <n v="7.3"/>
    <n v="1"/>
    <x v="0"/>
    <x v="1"/>
    <x v="1"/>
    <x v="1"/>
    <x v="1"/>
    <x v="0"/>
  </r>
  <r>
    <x v="31"/>
    <n v="33.96"/>
    <x v="3"/>
    <x v="3"/>
    <x v="21"/>
    <n v="3.39"/>
    <n v="0.28789999999999999"/>
    <x v="3"/>
    <n v="7.3"/>
    <n v="0"/>
    <x v="0"/>
    <x v="1"/>
    <x v="1"/>
    <x v="1"/>
    <x v="2"/>
    <x v="0"/>
  </r>
  <r>
    <x v="32"/>
    <n v="33.96"/>
    <x v="3"/>
    <x v="3"/>
    <x v="22"/>
    <n v="3.26"/>
    <n v="0.28720000000000001"/>
    <x v="6"/>
    <m/>
    <n v="0"/>
    <x v="0"/>
    <x v="1"/>
    <x v="1"/>
    <x v="0"/>
    <x v="2"/>
    <x v="0"/>
  </r>
  <r>
    <x v="33"/>
    <n v="33.31"/>
    <x v="24"/>
    <x v="24"/>
    <x v="23"/>
    <n v="3.04"/>
    <n v="0.26190000000000002"/>
    <x v="12"/>
    <n v="6.15"/>
    <n v="1"/>
    <x v="0"/>
    <x v="1"/>
    <x v="1"/>
    <x v="0"/>
    <x v="1"/>
    <x v="0"/>
  </r>
  <r>
    <x v="34"/>
    <n v="34.64"/>
    <x v="25"/>
    <x v="25"/>
    <x v="13"/>
    <n v="2.62"/>
    <n v="0.2021"/>
    <x v="0"/>
    <n v="3.6"/>
    <n v="1"/>
    <x v="0"/>
    <x v="1"/>
    <x v="1"/>
    <x v="0"/>
    <x v="0"/>
    <x v="0"/>
  </r>
  <r>
    <x v="35"/>
    <n v="36.47"/>
    <x v="26"/>
    <x v="26"/>
    <x v="13"/>
    <n v="2.98"/>
    <n v="0.1789"/>
    <x v="0"/>
    <n v="7.1"/>
    <n v="1"/>
    <x v="0"/>
    <x v="1"/>
    <x v="1"/>
    <x v="0"/>
    <x v="1"/>
    <x v="0"/>
  </r>
  <r>
    <x v="36"/>
    <n v="34.67"/>
    <x v="27"/>
    <x v="27"/>
    <x v="14"/>
    <n v="3.05"/>
    <n v="0.29759999999999998"/>
    <x v="3"/>
    <n v="5.0999999999999996"/>
    <n v="1"/>
    <x v="0"/>
    <x v="1"/>
    <x v="1"/>
    <x v="0"/>
    <x v="1"/>
    <x v="0"/>
  </r>
  <r>
    <x v="37"/>
    <n v="33.270000000000003"/>
    <x v="28"/>
    <x v="28"/>
    <x v="17"/>
    <n v="3.24"/>
    <n v="0.2351"/>
    <x v="13"/>
    <n v="6.84"/>
    <n v="1"/>
    <x v="0"/>
    <x v="1"/>
    <x v="1"/>
    <x v="1"/>
    <x v="1"/>
    <x v="0"/>
  </r>
  <r>
    <x v="38"/>
    <n v="33.270000000000003"/>
    <x v="3"/>
    <x v="3"/>
    <x v="24"/>
    <n v="2.9"/>
    <n v="0.1847"/>
    <x v="0"/>
    <n v="6.95"/>
    <n v="0"/>
    <x v="0"/>
    <x v="1"/>
    <x v="1"/>
    <x v="1"/>
    <x v="2"/>
    <x v="0"/>
  </r>
  <r>
    <x v="39"/>
    <n v="33.270000000000003"/>
    <x v="3"/>
    <x v="3"/>
    <x v="25"/>
    <n v="3.06"/>
    <n v="0.17330000000000001"/>
    <x v="3"/>
    <n v="7.9"/>
    <n v="0"/>
    <x v="0"/>
    <x v="1"/>
    <x v="1"/>
    <x v="0"/>
    <x v="2"/>
    <x v="0"/>
  </r>
  <r>
    <x v="40"/>
    <n v="32.950000000000003"/>
    <x v="29"/>
    <x v="29"/>
    <x v="21"/>
    <n v="3.45"/>
    <n v="0.32429999999999998"/>
    <x v="3"/>
    <n v="7.2"/>
    <n v="1"/>
    <x v="0"/>
    <x v="1"/>
    <x v="1"/>
    <x v="0"/>
    <x v="1"/>
    <x v="0"/>
  </r>
  <r>
    <x v="41"/>
    <n v="33.32"/>
    <x v="30"/>
    <x v="30"/>
    <x v="26"/>
    <n v="3.19"/>
    <n v="0.34570000000000001"/>
    <x v="10"/>
    <n v="7.35"/>
    <n v="1"/>
    <x v="0"/>
    <x v="1"/>
    <x v="1"/>
    <x v="0"/>
    <x v="0"/>
    <x v="0"/>
  </r>
  <r>
    <x v="42"/>
    <n v="30.18"/>
    <x v="31"/>
    <x v="31"/>
    <x v="8"/>
    <n v="3.25"/>
    <n v="0.36770000000000003"/>
    <x v="3"/>
    <m/>
    <n v="1"/>
    <x v="0"/>
    <x v="1"/>
    <x v="1"/>
    <x v="0"/>
    <x v="1"/>
    <x v="0"/>
  </r>
  <r>
    <x v="43"/>
    <n v="31.29"/>
    <x v="32"/>
    <x v="32"/>
    <x v="27"/>
    <n v="3.1"/>
    <n v="0.23699999999999999"/>
    <x v="10"/>
    <n v="6.83"/>
    <n v="1"/>
    <x v="0"/>
    <x v="1"/>
    <x v="1"/>
    <x v="0"/>
    <x v="0"/>
    <x v="0"/>
  </r>
  <r>
    <x v="44"/>
    <n v="29.98"/>
    <x v="33"/>
    <x v="33"/>
    <x v="26"/>
    <n v="3.24"/>
    <n v="0.32719999999999999"/>
    <x v="14"/>
    <n v="5.64"/>
    <n v="1"/>
    <x v="0"/>
    <x v="1"/>
    <x v="1"/>
    <x v="1"/>
    <x v="1"/>
    <x v="0"/>
  </r>
  <r>
    <x v="45"/>
    <n v="29.98"/>
    <x v="3"/>
    <x v="3"/>
    <x v="3"/>
    <n v="2.98"/>
    <n v="0.20300000000000001"/>
    <x v="0"/>
    <n v="5.4"/>
    <n v="0"/>
    <x v="0"/>
    <x v="1"/>
    <x v="1"/>
    <x v="1"/>
    <x v="2"/>
    <x v="0"/>
  </r>
  <r>
    <x v="46"/>
    <n v="29.98"/>
    <x v="3"/>
    <x v="3"/>
    <x v="28"/>
    <n v="3.27"/>
    <n v="0.30099999999999999"/>
    <x v="3"/>
    <n v="6"/>
    <n v="0"/>
    <x v="0"/>
    <x v="1"/>
    <x v="1"/>
    <x v="0"/>
    <x v="2"/>
    <x v="0"/>
  </r>
  <r>
    <x v="47"/>
    <n v="28.48"/>
    <x v="34"/>
    <x v="34"/>
    <x v="26"/>
    <n v="3.19"/>
    <n v="0.16500000000000001"/>
    <x v="3"/>
    <m/>
    <n v="1"/>
    <x v="0"/>
    <x v="1"/>
    <x v="1"/>
    <x v="0"/>
    <x v="1"/>
    <x v="0"/>
  </r>
  <r>
    <x v="48"/>
    <n v="28.58"/>
    <x v="35"/>
    <x v="35"/>
    <x v="29"/>
    <n v="2.7"/>
    <n v="6.6699999999999995E-2"/>
    <x v="12"/>
    <n v="6.2"/>
    <n v="1"/>
    <x v="0"/>
    <x v="1"/>
    <x v="1"/>
    <x v="0"/>
    <x v="0"/>
    <x v="1"/>
  </r>
  <r>
    <x v="49"/>
    <n v="30.18"/>
    <x v="36"/>
    <x v="36"/>
    <x v="30"/>
    <n v="3.22"/>
    <n v="1.3899999999999999E-2"/>
    <x v="0"/>
    <n v="6.85"/>
    <n v="1"/>
    <x v="0"/>
    <x v="1"/>
    <x v="1"/>
    <x v="0"/>
    <x v="0"/>
    <x v="1"/>
  </r>
  <r>
    <x v="50"/>
    <n v="31.74"/>
    <x v="37"/>
    <x v="37"/>
    <x v="31"/>
    <n v="3.51"/>
    <n v="0.2606"/>
    <x v="15"/>
    <n v="6.26"/>
    <n v="1"/>
    <x v="0"/>
    <x v="2"/>
    <x v="2"/>
    <x v="0"/>
    <x v="0"/>
    <x v="0"/>
  </r>
  <r>
    <x v="51"/>
    <n v="30.91"/>
    <x v="38"/>
    <x v="38"/>
    <x v="20"/>
    <n v="3.16"/>
    <n v="0.1857"/>
    <x v="14"/>
    <n v="6.78"/>
    <n v="1"/>
    <x v="0"/>
    <x v="2"/>
    <x v="2"/>
    <x v="1"/>
    <x v="1"/>
    <x v="0"/>
  </r>
  <r>
    <x v="52"/>
    <n v="30.91"/>
    <x v="3"/>
    <x v="3"/>
    <x v="32"/>
    <n v="2.77"/>
    <n v="0.1865"/>
    <x v="0"/>
    <n v="4.7"/>
    <n v="0"/>
    <x v="0"/>
    <x v="2"/>
    <x v="2"/>
    <x v="1"/>
    <x v="2"/>
    <x v="0"/>
  </r>
  <r>
    <x v="53"/>
    <n v="30.91"/>
    <x v="3"/>
    <x v="3"/>
    <x v="33"/>
    <n v="3.07"/>
    <n v="0.14000000000000001"/>
    <x v="6"/>
    <m/>
    <n v="0"/>
    <x v="0"/>
    <x v="2"/>
    <x v="2"/>
    <x v="0"/>
    <x v="2"/>
    <x v="0"/>
  </r>
  <r>
    <x v="54"/>
    <n v="31.54"/>
    <x v="39"/>
    <x v="39"/>
    <x v="14"/>
    <n v="3.5"/>
    <n v="0.30309999999999998"/>
    <x v="0"/>
    <n v="5.7"/>
    <n v="1"/>
    <x v="0"/>
    <x v="2"/>
    <x v="2"/>
    <x v="0"/>
    <x v="0"/>
    <x v="0"/>
  </r>
  <r>
    <x v="55"/>
    <n v="31.08"/>
    <x v="40"/>
    <x v="40"/>
    <x v="16"/>
    <n v="3.05"/>
    <n v="0.27010000000000001"/>
    <x v="6"/>
    <m/>
    <n v="1"/>
    <x v="0"/>
    <x v="2"/>
    <x v="2"/>
    <x v="0"/>
    <x v="1"/>
    <x v="0"/>
  </r>
  <r>
    <x v="56"/>
    <n v="32.75"/>
    <x v="41"/>
    <x v="41"/>
    <x v="10"/>
    <n v="3.26"/>
    <n v="0.26500000000000001"/>
    <x v="4"/>
    <n v="6.83"/>
    <n v="1"/>
    <x v="0"/>
    <x v="2"/>
    <x v="2"/>
    <x v="0"/>
    <x v="0"/>
    <x v="0"/>
  </r>
  <r>
    <x v="57"/>
    <n v="31.79"/>
    <x v="42"/>
    <x v="42"/>
    <x v="26"/>
    <n v="3.43"/>
    <n v="0.3019"/>
    <x v="5"/>
    <n v="5.98"/>
    <n v="1"/>
    <x v="0"/>
    <x v="2"/>
    <x v="2"/>
    <x v="0"/>
    <x v="1"/>
    <x v="0"/>
  </r>
  <r>
    <x v="58"/>
    <n v="30.35"/>
    <x v="43"/>
    <x v="43"/>
    <x v="8"/>
    <n v="3.31"/>
    <n v="0.33050000000000002"/>
    <x v="11"/>
    <n v="6.72"/>
    <n v="1"/>
    <x v="0"/>
    <x v="2"/>
    <x v="2"/>
    <x v="1"/>
    <x v="1"/>
    <x v="0"/>
  </r>
  <r>
    <x v="59"/>
    <n v="30.35"/>
    <x v="3"/>
    <x v="3"/>
    <x v="12"/>
    <n v="3.4"/>
    <n v="0.34810000000000002"/>
    <x v="4"/>
    <n v="5.9"/>
    <n v="0"/>
    <x v="0"/>
    <x v="2"/>
    <x v="2"/>
    <x v="1"/>
    <x v="2"/>
    <x v="0"/>
  </r>
  <r>
    <x v="60"/>
    <n v="30.35"/>
    <x v="3"/>
    <x v="3"/>
    <x v="19"/>
    <n v="3.49"/>
    <n v="0.33879999999999999"/>
    <x v="6"/>
    <m/>
    <n v="0"/>
    <x v="0"/>
    <x v="2"/>
    <x v="2"/>
    <x v="0"/>
    <x v="2"/>
    <x v="0"/>
  </r>
  <r>
    <x v="61"/>
    <n v="29.41"/>
    <x v="44"/>
    <x v="44"/>
    <x v="34"/>
    <n v="3.71"/>
    <n v="0.36990000000000001"/>
    <x v="0"/>
    <n v="6.9"/>
    <n v="1"/>
    <x v="0"/>
    <x v="2"/>
    <x v="2"/>
    <x v="0"/>
    <x v="1"/>
    <x v="0"/>
  </r>
  <r>
    <x v="62"/>
    <n v="29.44"/>
    <x v="45"/>
    <x v="45"/>
    <x v="13"/>
    <n v="3.6"/>
    <n v="0.35320000000000001"/>
    <x v="4"/>
    <n v="6.43"/>
    <n v="1"/>
    <x v="0"/>
    <x v="2"/>
    <x v="2"/>
    <x v="0"/>
    <x v="1"/>
    <x v="0"/>
  </r>
  <r>
    <x v="63"/>
    <n v="28.67"/>
    <x v="46"/>
    <x v="46"/>
    <x v="8"/>
    <n v="3.48"/>
    <n v="0.28720000000000001"/>
    <x v="6"/>
    <m/>
    <n v="1"/>
    <x v="0"/>
    <x v="2"/>
    <x v="2"/>
    <x v="0"/>
    <x v="1"/>
    <x v="0"/>
  </r>
  <r>
    <x v="64"/>
    <n v="29.01"/>
    <x v="47"/>
    <x v="47"/>
    <x v="35"/>
    <n v="3.94"/>
    <n v="0.37469999999999998"/>
    <x v="2"/>
    <n v="6.32"/>
    <n v="1"/>
    <x v="0"/>
    <x v="2"/>
    <x v="2"/>
    <x v="0"/>
    <x v="0"/>
    <x v="0"/>
  </r>
  <r>
    <x v="65"/>
    <n v="28.62"/>
    <x v="48"/>
    <x v="48"/>
    <x v="36"/>
    <n v="3.75"/>
    <n v="0.3372"/>
    <x v="14"/>
    <n v="6.56"/>
    <n v="1"/>
    <x v="0"/>
    <x v="2"/>
    <x v="2"/>
    <x v="1"/>
    <x v="1"/>
    <x v="0"/>
  </r>
  <r>
    <x v="66"/>
    <n v="28.62"/>
    <x v="3"/>
    <x v="3"/>
    <x v="8"/>
    <n v="3.73"/>
    <n v="0.2722"/>
    <x v="4"/>
    <n v="7.75"/>
    <n v="0"/>
    <x v="0"/>
    <x v="2"/>
    <x v="2"/>
    <x v="1"/>
    <x v="2"/>
    <x v="0"/>
  </r>
  <r>
    <x v="67"/>
    <n v="28.62"/>
    <x v="3"/>
    <x v="3"/>
    <x v="5"/>
    <n v="3.76"/>
    <n v="0.3493"/>
    <x v="3"/>
    <n v="7.7"/>
    <n v="0"/>
    <x v="0"/>
    <x v="2"/>
    <x v="2"/>
    <x v="0"/>
    <x v="2"/>
    <x v="0"/>
  </r>
  <r>
    <x v="68"/>
    <n v="27.06"/>
    <x v="49"/>
    <x v="49"/>
    <x v="19"/>
    <n v="3.53"/>
    <n v="0.30659999999999998"/>
    <x v="6"/>
    <m/>
    <n v="1"/>
    <x v="0"/>
    <x v="2"/>
    <x v="2"/>
    <x v="0"/>
    <x v="1"/>
    <x v="0"/>
  </r>
  <r>
    <x v="69"/>
    <n v="26.7"/>
    <x v="50"/>
    <x v="50"/>
    <x v="13"/>
    <n v="4.03"/>
    <n v="0.40129999999999999"/>
    <x v="7"/>
    <n v="5.22"/>
    <n v="1"/>
    <x v="0"/>
    <x v="2"/>
    <x v="2"/>
    <x v="0"/>
    <x v="0"/>
    <x v="0"/>
  </r>
  <r>
    <x v="70"/>
    <n v="26.21"/>
    <x v="51"/>
    <x v="51"/>
    <x v="11"/>
    <n v="3.63"/>
    <n v="0.28670000000000001"/>
    <x v="0"/>
    <n v="6.6"/>
    <n v="1"/>
    <x v="0"/>
    <x v="2"/>
    <x v="2"/>
    <x v="1"/>
    <x v="1"/>
    <x v="0"/>
  </r>
  <r>
    <x v="71"/>
    <n v="26.21"/>
    <x v="3"/>
    <x v="3"/>
    <x v="6"/>
    <n v="3.79"/>
    <n v="0.42"/>
    <x v="0"/>
    <n v="7"/>
    <n v="0"/>
    <x v="0"/>
    <x v="2"/>
    <x v="2"/>
    <x v="0"/>
    <x v="2"/>
    <x v="0"/>
  </r>
  <r>
    <x v="72"/>
    <n v="25.88"/>
    <x v="52"/>
    <x v="52"/>
    <x v="11"/>
    <n v="3.84"/>
    <n v="0.36899999999999999"/>
    <x v="4"/>
    <n v="6.15"/>
    <n v="1"/>
    <x v="0"/>
    <x v="2"/>
    <x v="2"/>
    <x v="1"/>
    <x v="1"/>
    <x v="0"/>
  </r>
  <r>
    <x v="73"/>
    <n v="25.88"/>
    <x v="3"/>
    <x v="3"/>
    <x v="8"/>
    <n v="3.62"/>
    <n v="0.36870000000000003"/>
    <x v="6"/>
    <m/>
    <n v="0"/>
    <x v="0"/>
    <x v="2"/>
    <x v="2"/>
    <x v="1"/>
    <x v="2"/>
    <x v="0"/>
  </r>
  <r>
    <x v="74"/>
    <n v="25.88"/>
    <x v="3"/>
    <x v="3"/>
    <x v="11"/>
    <n v="3.92"/>
    <n v="0.46870000000000001"/>
    <x v="0"/>
    <n v="7.9"/>
    <n v="0"/>
    <x v="0"/>
    <x v="2"/>
    <x v="2"/>
    <x v="0"/>
    <x v="2"/>
    <x v="0"/>
  </r>
  <r>
    <x v="75"/>
    <n v="26.14"/>
    <x v="53"/>
    <x v="53"/>
    <x v="1"/>
    <n v="3.62"/>
    <n v="0.33600000000000002"/>
    <x v="6"/>
    <m/>
    <n v="1"/>
    <x v="0"/>
    <x v="2"/>
    <x v="2"/>
    <x v="0"/>
    <x v="0"/>
    <x v="0"/>
  </r>
  <r>
    <x v="76"/>
    <n v="26.66"/>
    <x v="54"/>
    <x v="54"/>
    <x v="16"/>
    <n v="3.39"/>
    <n v="0.25819999999999999"/>
    <x v="4"/>
    <n v="7.07"/>
    <n v="1"/>
    <x v="0"/>
    <x v="2"/>
    <x v="2"/>
    <x v="0"/>
    <x v="0"/>
    <x v="0"/>
  </r>
  <r>
    <x v="77"/>
    <n v="28.26"/>
    <x v="55"/>
    <x v="55"/>
    <x v="33"/>
    <n v="3.66"/>
    <n v="0.39800000000000002"/>
    <x v="3"/>
    <m/>
    <n v="1"/>
    <x v="0"/>
    <x v="2"/>
    <x v="2"/>
    <x v="0"/>
    <x v="0"/>
    <x v="0"/>
  </r>
  <r>
    <x v="78"/>
    <n v="28.88"/>
    <x v="56"/>
    <x v="56"/>
    <x v="36"/>
    <n v="3.28"/>
    <n v="0.18940000000000001"/>
    <x v="6"/>
    <m/>
    <n v="1"/>
    <x v="0"/>
    <x v="2"/>
    <x v="2"/>
    <x v="0"/>
    <x v="0"/>
    <x v="0"/>
  </r>
  <r>
    <x v="79"/>
    <n v="28.61"/>
    <x v="57"/>
    <x v="57"/>
    <x v="37"/>
    <n v="3.53"/>
    <n v="0.34660000000000002"/>
    <x v="16"/>
    <n v="6.28"/>
    <n v="1"/>
    <x v="0"/>
    <x v="2"/>
    <x v="2"/>
    <x v="1"/>
    <x v="1"/>
    <x v="0"/>
  </r>
  <r>
    <x v="80"/>
    <n v="28.61"/>
    <x v="3"/>
    <x v="3"/>
    <x v="8"/>
    <n v="3.6"/>
    <n v="0.34789999999999999"/>
    <x v="17"/>
    <n v="6.42"/>
    <n v="0"/>
    <x v="0"/>
    <x v="3"/>
    <x v="3"/>
    <x v="1"/>
    <x v="2"/>
    <x v="0"/>
  </r>
  <r>
    <x v="81"/>
    <n v="28.61"/>
    <x v="3"/>
    <x v="3"/>
    <x v="13"/>
    <n v="3.42"/>
    <n v="0.26500000000000001"/>
    <x v="4"/>
    <n v="7.27"/>
    <n v="0"/>
    <x v="0"/>
    <x v="3"/>
    <x v="3"/>
    <x v="0"/>
    <x v="2"/>
    <x v="0"/>
  </r>
  <r>
    <x v="82"/>
    <n v="29.03"/>
    <x v="58"/>
    <x v="58"/>
    <x v="10"/>
    <n v="3.82"/>
    <n v="0.4"/>
    <x v="4"/>
    <n v="7.65"/>
    <n v="1"/>
    <x v="0"/>
    <x v="3"/>
    <x v="3"/>
    <x v="0"/>
    <x v="1"/>
    <x v="0"/>
  </r>
  <r>
    <x v="83"/>
    <n v="27.53"/>
    <x v="59"/>
    <x v="59"/>
    <x v="8"/>
    <n v="3.4"/>
    <n v="0.32019999999999998"/>
    <x v="4"/>
    <n v="5.95"/>
    <n v="1"/>
    <x v="0"/>
    <x v="3"/>
    <x v="3"/>
    <x v="1"/>
    <x v="1"/>
    <x v="0"/>
  </r>
  <r>
    <x v="84"/>
    <n v="27.53"/>
    <x v="3"/>
    <x v="3"/>
    <x v="38"/>
    <n v="3.26"/>
    <n v="0.30620000000000003"/>
    <x v="3"/>
    <n v="2.8"/>
    <n v="0"/>
    <x v="0"/>
    <x v="3"/>
    <x v="3"/>
    <x v="0"/>
    <x v="2"/>
    <x v="0"/>
  </r>
  <r>
    <x v="85"/>
    <n v="28.29"/>
    <x v="60"/>
    <x v="60"/>
    <x v="7"/>
    <n v="3.69"/>
    <n v="0.43809999999999999"/>
    <x v="3"/>
    <n v="6.7"/>
    <n v="1"/>
    <x v="0"/>
    <x v="3"/>
    <x v="3"/>
    <x v="0"/>
    <x v="0"/>
    <x v="0"/>
  </r>
  <r>
    <x v="86"/>
    <n v="26.51"/>
    <x v="61"/>
    <x v="61"/>
    <x v="17"/>
    <n v="3.44"/>
    <n v="0.28599999999999998"/>
    <x v="18"/>
    <n v="6.63"/>
    <n v="1"/>
    <x v="0"/>
    <x v="3"/>
    <x v="3"/>
    <x v="1"/>
    <x v="1"/>
    <x v="0"/>
  </r>
  <r>
    <x v="87"/>
    <n v="26.51"/>
    <x v="3"/>
    <x v="3"/>
    <x v="10"/>
    <n v="3.26"/>
    <n v="0.17660000000000001"/>
    <x v="12"/>
    <n v="6.43"/>
    <n v="0"/>
    <x v="0"/>
    <x v="3"/>
    <x v="3"/>
    <x v="1"/>
    <x v="2"/>
    <x v="0"/>
  </r>
  <r>
    <x v="88"/>
    <n v="26.51"/>
    <x v="3"/>
    <x v="3"/>
    <x v="12"/>
    <n v="3.49"/>
    <n v="0.31319999999999998"/>
    <x v="3"/>
    <m/>
    <n v="0"/>
    <x v="0"/>
    <x v="3"/>
    <x v="3"/>
    <x v="0"/>
    <x v="2"/>
    <x v="0"/>
  </r>
  <r>
    <x v="89"/>
    <n v="26.97"/>
    <x v="62"/>
    <x v="62"/>
    <x v="6"/>
    <n v="3.55"/>
    <n v="0.35610000000000003"/>
    <x v="10"/>
    <n v="6.38"/>
    <n v="1"/>
    <x v="0"/>
    <x v="3"/>
    <x v="3"/>
    <x v="0"/>
    <x v="0"/>
    <x v="0"/>
  </r>
  <r>
    <x v="90"/>
    <n v="26.53"/>
    <x v="63"/>
    <x v="63"/>
    <x v="37"/>
    <n v="3.06"/>
    <n v="8.6099999999999996E-2"/>
    <x v="0"/>
    <m/>
    <n v="1"/>
    <x v="0"/>
    <x v="3"/>
    <x v="3"/>
    <x v="0"/>
    <x v="1"/>
    <x v="1"/>
  </r>
  <r>
    <x v="91"/>
    <n v="27.49"/>
    <x v="64"/>
    <x v="64"/>
    <x v="10"/>
    <n v="3.21"/>
    <n v="0.34250000000000003"/>
    <x v="0"/>
    <n v="6.5"/>
    <n v="1"/>
    <x v="0"/>
    <x v="3"/>
    <x v="3"/>
    <x v="0"/>
    <x v="0"/>
    <x v="0"/>
  </r>
  <r>
    <x v="92"/>
    <n v="27.6"/>
    <x v="65"/>
    <x v="65"/>
    <x v="19"/>
    <n v="3.63"/>
    <n v="0.36470000000000002"/>
    <x v="3"/>
    <n v="8.1999999999999993"/>
    <n v="1"/>
    <x v="0"/>
    <x v="3"/>
    <x v="3"/>
    <x v="0"/>
    <x v="1"/>
    <x v="0"/>
  </r>
  <r>
    <x v="93"/>
    <n v="26.68"/>
    <x v="66"/>
    <x v="66"/>
    <x v="26"/>
    <n v="3.6"/>
    <n v="0.36820000000000003"/>
    <x v="11"/>
    <n v="6.91"/>
    <n v="1"/>
    <x v="0"/>
    <x v="3"/>
    <x v="3"/>
    <x v="1"/>
    <x v="1"/>
    <x v="0"/>
  </r>
  <r>
    <x v="94"/>
    <n v="26.68"/>
    <x v="3"/>
    <x v="3"/>
    <x v="12"/>
    <n v="3.6"/>
    <n v="0.36830000000000002"/>
    <x v="9"/>
    <n v="5.49"/>
    <n v="0"/>
    <x v="0"/>
    <x v="3"/>
    <x v="3"/>
    <x v="1"/>
    <x v="2"/>
    <x v="0"/>
  </r>
  <r>
    <x v="95"/>
    <n v="26.68"/>
    <x v="3"/>
    <x v="3"/>
    <x v="7"/>
    <n v="3.37"/>
    <n v="0.34379999999999999"/>
    <x v="11"/>
    <n v="7.37"/>
    <n v="0"/>
    <x v="0"/>
    <x v="3"/>
    <x v="3"/>
    <x v="0"/>
    <x v="2"/>
    <x v="0"/>
  </r>
  <r>
    <x v="96"/>
    <n v="26.28"/>
    <x v="67"/>
    <x v="67"/>
    <x v="2"/>
    <n v="3.56"/>
    <n v="0.3448"/>
    <x v="4"/>
    <n v="5.6"/>
    <n v="1"/>
    <x v="0"/>
    <x v="3"/>
    <x v="3"/>
    <x v="0"/>
    <x v="1"/>
    <x v="0"/>
  </r>
  <r>
    <x v="97"/>
    <n v="27.09"/>
    <x v="68"/>
    <x v="68"/>
    <x v="1"/>
    <n v="3.11"/>
    <n v="0.31769999999999998"/>
    <x v="0"/>
    <n v="4.5"/>
    <n v="1"/>
    <x v="0"/>
    <x v="3"/>
    <x v="3"/>
    <x v="0"/>
    <x v="0"/>
    <x v="0"/>
  </r>
  <r>
    <x v="98"/>
    <n v="26.68"/>
    <x v="69"/>
    <x v="22"/>
    <x v="6"/>
    <n v="3.21"/>
    <n v="0.3886"/>
    <x v="3"/>
    <n v="4.9000000000000004"/>
    <n v="1"/>
    <x v="0"/>
    <x v="3"/>
    <x v="3"/>
    <x v="0"/>
    <x v="1"/>
    <x v="0"/>
  </r>
  <r>
    <x v="99"/>
    <n v="26.06"/>
    <x v="70"/>
    <x v="69"/>
    <x v="39"/>
    <n v="2.71"/>
    <n v="0.12180000000000001"/>
    <x v="14"/>
    <n v="5.4"/>
    <n v="1"/>
    <x v="0"/>
    <x v="3"/>
    <x v="3"/>
    <x v="0"/>
    <x v="1"/>
    <x v="0"/>
  </r>
  <r>
    <x v="100"/>
    <n v="24.64"/>
    <x v="71"/>
    <x v="70"/>
    <x v="18"/>
    <n v="3.04"/>
    <n v="0.4304"/>
    <x v="16"/>
    <n v="6.88"/>
    <n v="1"/>
    <x v="0"/>
    <x v="3"/>
    <x v="3"/>
    <x v="1"/>
    <x v="1"/>
    <x v="0"/>
  </r>
  <r>
    <x v="101"/>
    <n v="24.64"/>
    <x v="3"/>
    <x v="3"/>
    <x v="2"/>
    <n v="2.88"/>
    <n v="0.16009999999999999"/>
    <x v="12"/>
    <n v="5.0999999999999996"/>
    <n v="0"/>
    <x v="0"/>
    <x v="3"/>
    <x v="3"/>
    <x v="1"/>
    <x v="2"/>
    <x v="0"/>
  </r>
  <r>
    <x v="102"/>
    <n v="24.64"/>
    <x v="3"/>
    <x v="3"/>
    <x v="6"/>
    <n v="2.69"/>
    <n v="5.7099999999999998E-2"/>
    <x v="4"/>
    <n v="6.83"/>
    <n v="0"/>
    <x v="0"/>
    <x v="3"/>
    <x v="3"/>
    <x v="0"/>
    <x v="2"/>
    <x v="1"/>
  </r>
  <r>
    <x v="103"/>
    <n v="23.39"/>
    <x v="72"/>
    <x v="71"/>
    <x v="15"/>
    <n v="2.5"/>
    <n v="0.16"/>
    <x v="0"/>
    <n v="7.8"/>
    <n v="1"/>
    <x v="0"/>
    <x v="3"/>
    <x v="3"/>
    <x v="1"/>
    <x v="1"/>
    <x v="0"/>
  </r>
  <r>
    <x v="104"/>
    <n v="23.39"/>
    <x v="3"/>
    <x v="3"/>
    <x v="2"/>
    <n v="3.24"/>
    <n v="0.43190000000000001"/>
    <x v="0"/>
    <n v="7.2"/>
    <n v="0"/>
    <x v="0"/>
    <x v="3"/>
    <x v="3"/>
    <x v="0"/>
    <x v="2"/>
    <x v="0"/>
  </r>
  <r>
    <x v="105"/>
    <n v="25.37"/>
    <x v="73"/>
    <x v="72"/>
    <x v="13"/>
    <n v="2.78"/>
    <n v="0.23549999999999999"/>
    <x v="3"/>
    <n v="3.2"/>
    <n v="1"/>
    <x v="0"/>
    <x v="3"/>
    <x v="3"/>
    <x v="0"/>
    <x v="0"/>
    <x v="0"/>
  </r>
  <r>
    <x v="106"/>
    <n v="25.56"/>
    <x v="74"/>
    <x v="73"/>
    <x v="10"/>
    <n v="3.56"/>
    <n v="0.33460000000000001"/>
    <x v="3"/>
    <n v="5.6"/>
    <n v="1"/>
    <x v="0"/>
    <x v="3"/>
    <x v="3"/>
    <x v="0"/>
    <x v="0"/>
    <x v="0"/>
  </r>
  <r>
    <x v="107"/>
    <n v="25.61"/>
    <x v="75"/>
    <x v="74"/>
    <x v="11"/>
    <n v="3.51"/>
    <n v="0.40920000000000001"/>
    <x v="1"/>
    <n v="6.79"/>
    <n v="1"/>
    <x v="0"/>
    <x v="3"/>
    <x v="3"/>
    <x v="1"/>
    <x v="1"/>
    <x v="0"/>
  </r>
  <r>
    <x v="108"/>
    <n v="25.61"/>
    <x v="3"/>
    <x v="3"/>
    <x v="1"/>
    <n v="2.86"/>
    <n v="0.2306"/>
    <x v="0"/>
    <n v="8.1999999999999993"/>
    <n v="0"/>
    <x v="0"/>
    <x v="3"/>
    <x v="3"/>
    <x v="1"/>
    <x v="2"/>
    <x v="0"/>
  </r>
  <r>
    <x v="109"/>
    <n v="25.61"/>
    <x v="3"/>
    <x v="3"/>
    <x v="3"/>
    <n v="2.64"/>
    <n v="0.25840000000000002"/>
    <x v="10"/>
    <n v="6.1"/>
    <n v="0"/>
    <x v="0"/>
    <x v="3"/>
    <x v="3"/>
    <x v="0"/>
    <x v="2"/>
    <x v="0"/>
  </r>
  <r>
    <x v="110"/>
    <n v="26.77"/>
    <x v="76"/>
    <x v="75"/>
    <x v="10"/>
    <n v="3.49"/>
    <n v="0.43780000000000002"/>
    <x v="19"/>
    <n v="5.97"/>
    <n v="1"/>
    <x v="0"/>
    <x v="3"/>
    <x v="3"/>
    <x v="1"/>
    <x v="0"/>
    <x v="0"/>
  </r>
  <r>
    <x v="111"/>
    <n v="26.77"/>
    <x v="3"/>
    <x v="3"/>
    <x v="16"/>
    <n v="2.58"/>
    <n v="0.2"/>
    <x v="20"/>
    <n v="6.72"/>
    <n v="0"/>
    <x v="1"/>
    <x v="4"/>
    <x v="4"/>
    <x v="0"/>
    <x v="2"/>
    <x v="0"/>
  </r>
  <r>
    <x v="112"/>
    <n v="26.77"/>
    <x v="77"/>
    <x v="76"/>
    <x v="12"/>
    <n v="2.79"/>
    <n v="0.22589999999999999"/>
    <x v="0"/>
    <n v="7"/>
    <n v="1"/>
    <x v="1"/>
    <x v="4"/>
    <x v="4"/>
    <x v="0"/>
    <x v="0"/>
    <x v="0"/>
  </r>
  <r>
    <x v="113"/>
    <n v="27.12"/>
    <x v="78"/>
    <x v="77"/>
    <x v="10"/>
    <n v="2.79"/>
    <n v="0.3619"/>
    <x v="0"/>
    <n v="5.6"/>
    <n v="1"/>
    <x v="1"/>
    <x v="4"/>
    <x v="4"/>
    <x v="0"/>
    <x v="0"/>
    <x v="0"/>
  </r>
  <r>
    <x v="114"/>
    <n v="29.76"/>
    <x v="79"/>
    <x v="78"/>
    <x v="7"/>
    <n v="2.4900000000000002"/>
    <n v="0.26369999999999999"/>
    <x v="5"/>
    <n v="6.22"/>
    <n v="1"/>
    <x v="1"/>
    <x v="4"/>
    <x v="4"/>
    <x v="1"/>
    <x v="0"/>
    <x v="0"/>
  </r>
  <r>
    <x v="115"/>
    <n v="29.76"/>
    <x v="3"/>
    <x v="3"/>
    <x v="7"/>
    <n v="3.17"/>
    <n v="0.37480000000000002"/>
    <x v="14"/>
    <n v="6.05"/>
    <n v="0"/>
    <x v="1"/>
    <x v="4"/>
    <x v="4"/>
    <x v="1"/>
    <x v="2"/>
    <x v="0"/>
  </r>
  <r>
    <x v="116"/>
    <n v="29.76"/>
    <x v="3"/>
    <x v="3"/>
    <x v="10"/>
    <n v="3.33"/>
    <n v="0.27650000000000002"/>
    <x v="6"/>
    <m/>
    <n v="0"/>
    <x v="1"/>
    <x v="4"/>
    <x v="4"/>
    <x v="0"/>
    <x v="2"/>
    <x v="0"/>
  </r>
  <r>
    <x v="117"/>
    <n v="31.53"/>
    <x v="80"/>
    <x v="79"/>
    <x v="6"/>
    <n v="3.07"/>
    <n v="0.23350000000000001"/>
    <x v="4"/>
    <n v="6.8"/>
    <n v="1"/>
    <x v="1"/>
    <x v="4"/>
    <x v="4"/>
    <x v="0"/>
    <x v="0"/>
    <x v="0"/>
  </r>
  <r>
    <x v="118"/>
    <n v="32.03"/>
    <x v="81"/>
    <x v="80"/>
    <x v="7"/>
    <n v="2.86"/>
    <n v="0.18809999999999999"/>
    <x v="3"/>
    <n v="6.1"/>
    <n v="1"/>
    <x v="1"/>
    <x v="4"/>
    <x v="4"/>
    <x v="0"/>
    <x v="0"/>
    <x v="0"/>
  </r>
  <r>
    <x v="119"/>
    <n v="32"/>
    <x v="82"/>
    <x v="81"/>
    <x v="18"/>
    <n v="3.27"/>
    <n v="0.39629999999999999"/>
    <x v="12"/>
    <n v="5.42"/>
    <n v="1"/>
    <x v="1"/>
    <x v="4"/>
    <x v="4"/>
    <x v="0"/>
    <x v="0"/>
    <x v="0"/>
  </r>
  <r>
    <x v="120"/>
    <n v="32.47"/>
    <x v="83"/>
    <x v="82"/>
    <x v="2"/>
    <n v="2.88"/>
    <n v="0.34460000000000002"/>
    <x v="4"/>
    <n v="7.4"/>
    <n v="1"/>
    <x v="1"/>
    <x v="4"/>
    <x v="4"/>
    <x v="0"/>
    <x v="0"/>
    <x v="0"/>
  </r>
  <r>
    <x v="121"/>
    <n v="33.76"/>
    <x v="84"/>
    <x v="83"/>
    <x v="2"/>
    <n v="3.21"/>
    <n v="0.32200000000000001"/>
    <x v="14"/>
    <n v="6.28"/>
    <n v="1"/>
    <x v="1"/>
    <x v="4"/>
    <x v="4"/>
    <x v="1"/>
    <x v="0"/>
    <x v="0"/>
  </r>
  <r>
    <x v="122"/>
    <n v="33.76"/>
    <x v="3"/>
    <x v="3"/>
    <x v="36"/>
    <n v="3.06"/>
    <n v="0.12590000000000001"/>
    <x v="0"/>
    <n v="6.15"/>
    <n v="0"/>
    <x v="1"/>
    <x v="4"/>
    <x v="4"/>
    <x v="1"/>
    <x v="2"/>
    <x v="0"/>
  </r>
  <r>
    <x v="123"/>
    <n v="33.76"/>
    <x v="3"/>
    <x v="3"/>
    <x v="37"/>
    <n v="2.75"/>
    <n v="0.22819999999999999"/>
    <x v="4"/>
    <n v="6.87"/>
    <n v="0"/>
    <x v="1"/>
    <x v="4"/>
    <x v="4"/>
    <x v="0"/>
    <x v="2"/>
    <x v="0"/>
  </r>
  <r>
    <x v="124"/>
    <n v="33.29"/>
    <x v="85"/>
    <x v="84"/>
    <x v="6"/>
    <n v="3.1"/>
    <n v="0.1167"/>
    <x v="0"/>
    <n v="7.1"/>
    <n v="1"/>
    <x v="1"/>
    <x v="4"/>
    <x v="4"/>
    <x v="0"/>
    <x v="1"/>
    <x v="0"/>
  </r>
  <r>
    <x v="125"/>
    <n v="35.46"/>
    <x v="86"/>
    <x v="85"/>
    <x v="34"/>
    <n v="3.34"/>
    <n v="0.3931"/>
    <x v="9"/>
    <n v="6.23"/>
    <n v="1"/>
    <x v="1"/>
    <x v="4"/>
    <x v="4"/>
    <x v="0"/>
    <x v="0"/>
    <x v="0"/>
  </r>
  <r>
    <x v="126"/>
    <n v="35.14"/>
    <x v="87"/>
    <x v="86"/>
    <x v="10"/>
    <n v="3.15"/>
    <n v="0.34379999999999999"/>
    <x v="0"/>
    <n v="4.55"/>
    <n v="1"/>
    <x v="1"/>
    <x v="4"/>
    <x v="4"/>
    <x v="0"/>
    <x v="1"/>
    <x v="0"/>
  </r>
  <r>
    <x v="127"/>
    <n v="35.32"/>
    <x v="88"/>
    <x v="87"/>
    <x v="5"/>
    <n v="3.27"/>
    <n v="0.44090000000000001"/>
    <x v="6"/>
    <m/>
    <n v="1"/>
    <x v="1"/>
    <x v="4"/>
    <x v="4"/>
    <x v="0"/>
    <x v="0"/>
    <x v="0"/>
  </r>
  <r>
    <x v="128"/>
    <n v="33.909999999999997"/>
    <x v="89"/>
    <x v="88"/>
    <x v="0"/>
    <n v="2.68"/>
    <n v="0.1792"/>
    <x v="16"/>
    <n v="6.54"/>
    <n v="1"/>
    <x v="1"/>
    <x v="4"/>
    <x v="4"/>
    <x v="1"/>
    <x v="1"/>
    <x v="0"/>
  </r>
  <r>
    <x v="129"/>
    <n v="33.909999999999997"/>
    <x v="3"/>
    <x v="3"/>
    <x v="3"/>
    <n v="3.16"/>
    <n v="0.22559999999999999"/>
    <x v="3"/>
    <m/>
    <n v="0"/>
    <x v="1"/>
    <x v="4"/>
    <x v="4"/>
    <x v="1"/>
    <x v="2"/>
    <x v="0"/>
  </r>
  <r>
    <x v="130"/>
    <n v="33.909999999999997"/>
    <x v="3"/>
    <x v="3"/>
    <x v="12"/>
    <n v="2.96"/>
    <n v="0.19950000000000001"/>
    <x v="6"/>
    <m/>
    <n v="0"/>
    <x v="1"/>
    <x v="4"/>
    <x v="4"/>
    <x v="1"/>
    <x v="2"/>
    <x v="0"/>
  </r>
  <r>
    <x v="131"/>
    <n v="33.909999999999997"/>
    <x v="3"/>
    <x v="3"/>
    <x v="19"/>
    <n v="3.05"/>
    <n v="0.1148"/>
    <x v="6"/>
    <m/>
    <n v="0"/>
    <x v="1"/>
    <x v="4"/>
    <x v="4"/>
    <x v="0"/>
    <x v="2"/>
    <x v="0"/>
  </r>
  <r>
    <x v="132"/>
    <n v="32.520000000000003"/>
    <x v="90"/>
    <x v="89"/>
    <x v="16"/>
    <n v="2.89"/>
    <n v="0.12180000000000001"/>
    <x v="6"/>
    <m/>
    <n v="1"/>
    <x v="1"/>
    <x v="4"/>
    <x v="4"/>
    <x v="0"/>
    <x v="1"/>
    <x v="0"/>
  </r>
  <r>
    <x v="133"/>
    <n v="32.200000000000003"/>
    <x v="91"/>
    <x v="90"/>
    <x v="12"/>
    <n v="3.11"/>
    <n v="0.23719999999999999"/>
    <x v="0"/>
    <n v="7.15"/>
    <n v="1"/>
    <x v="1"/>
    <x v="4"/>
    <x v="4"/>
    <x v="0"/>
    <x v="1"/>
    <x v="0"/>
  </r>
  <r>
    <x v="134"/>
    <n v="32.67"/>
    <x v="92"/>
    <x v="91"/>
    <x v="38"/>
    <n v="3.32"/>
    <n v="0.24399999999999999"/>
    <x v="4"/>
    <n v="7"/>
    <n v="1"/>
    <x v="1"/>
    <x v="4"/>
    <x v="4"/>
    <x v="0"/>
    <x v="0"/>
    <x v="0"/>
  </r>
  <r>
    <x v="135"/>
    <n v="33.81"/>
    <x v="93"/>
    <x v="92"/>
    <x v="17"/>
    <n v="2.73"/>
    <n v="0.2392"/>
    <x v="7"/>
    <n v="7.17"/>
    <n v="1"/>
    <x v="1"/>
    <x v="4"/>
    <x v="4"/>
    <x v="1"/>
    <x v="0"/>
    <x v="0"/>
  </r>
  <r>
    <x v="136"/>
    <n v="33.81"/>
    <x v="3"/>
    <x v="3"/>
    <x v="36"/>
    <n v="2.69"/>
    <n v="0.1464"/>
    <x v="0"/>
    <n v="6.6"/>
    <n v="0"/>
    <x v="1"/>
    <x v="4"/>
    <x v="4"/>
    <x v="1"/>
    <x v="2"/>
    <x v="0"/>
  </r>
  <r>
    <x v="137"/>
    <n v="33.81"/>
    <x v="3"/>
    <x v="3"/>
    <x v="3"/>
    <n v="2.64"/>
    <n v="0.16689999999999999"/>
    <x v="0"/>
    <n v="6.4"/>
    <n v="0"/>
    <x v="1"/>
    <x v="4"/>
    <x v="4"/>
    <x v="0"/>
    <x v="2"/>
    <x v="0"/>
  </r>
  <r>
    <x v="138"/>
    <n v="33.57"/>
    <x v="94"/>
    <x v="93"/>
    <x v="16"/>
    <n v="3.08"/>
    <n v="0.21959999999999999"/>
    <x v="5"/>
    <n v="7.15"/>
    <n v="1"/>
    <x v="1"/>
    <x v="4"/>
    <x v="4"/>
    <x v="0"/>
    <x v="0"/>
    <x v="0"/>
  </r>
  <r>
    <x v="139"/>
    <n v="32.89"/>
    <x v="95"/>
    <x v="94"/>
    <x v="40"/>
    <n v="3.6"/>
    <n v="0.33800000000000002"/>
    <x v="5"/>
    <n v="6.62"/>
    <n v="1"/>
    <x v="1"/>
    <x v="4"/>
    <x v="4"/>
    <x v="0"/>
    <x v="1"/>
    <x v="0"/>
  </r>
  <r>
    <x v="140"/>
    <n v="34.07"/>
    <x v="96"/>
    <x v="95"/>
    <x v="11"/>
    <n v="2.88"/>
    <n v="0.124"/>
    <x v="5"/>
    <n v="6.48"/>
    <n v="1"/>
    <x v="1"/>
    <x v="4"/>
    <x v="4"/>
    <x v="0"/>
    <x v="0"/>
    <x v="0"/>
  </r>
  <r>
    <x v="141"/>
    <n v="33.950000000000003"/>
    <x v="97"/>
    <x v="96"/>
    <x v="6"/>
    <n v="3.17"/>
    <n v="0.29870000000000002"/>
    <x v="14"/>
    <n v="6.83"/>
    <n v="1"/>
    <x v="1"/>
    <x v="4"/>
    <x v="4"/>
    <x v="0"/>
    <x v="1"/>
    <x v="0"/>
  </r>
  <r>
    <x v="142"/>
    <n v="33.99"/>
    <x v="98"/>
    <x v="97"/>
    <x v="3"/>
    <n v="3"/>
    <n v="0.27450000000000002"/>
    <x v="21"/>
    <n v="6.28"/>
    <n v="1"/>
    <x v="1"/>
    <x v="5"/>
    <x v="5"/>
    <x v="1"/>
    <x v="0"/>
    <x v="0"/>
  </r>
  <r>
    <x v="143"/>
    <n v="33.99"/>
    <x v="3"/>
    <x v="3"/>
    <x v="26"/>
    <n v="2.86"/>
    <n v="0.2928"/>
    <x v="5"/>
    <n v="5.9"/>
    <n v="0"/>
    <x v="1"/>
    <x v="5"/>
    <x v="5"/>
    <x v="1"/>
    <x v="2"/>
    <x v="0"/>
  </r>
  <r>
    <x v="144"/>
    <n v="33.99"/>
    <x v="3"/>
    <x v="3"/>
    <x v="16"/>
    <n v="3.16"/>
    <n v="0.30580000000000002"/>
    <x v="3"/>
    <n v="7.9"/>
    <n v="0"/>
    <x v="1"/>
    <x v="5"/>
    <x v="5"/>
    <x v="0"/>
    <x v="2"/>
    <x v="0"/>
  </r>
  <r>
    <x v="145"/>
    <n v="35.130000000000003"/>
    <x v="99"/>
    <x v="98"/>
    <x v="10"/>
    <n v="3.03"/>
    <n v="-7.6E-3"/>
    <x v="6"/>
    <m/>
    <n v="1"/>
    <x v="1"/>
    <x v="5"/>
    <x v="5"/>
    <x v="0"/>
    <x v="0"/>
    <x v="1"/>
  </r>
  <r>
    <x v="146"/>
    <n v="35.58"/>
    <x v="100"/>
    <x v="99"/>
    <x v="19"/>
    <n v="3.02"/>
    <n v="0.21870000000000001"/>
    <x v="5"/>
    <n v="7.97"/>
    <n v="1"/>
    <x v="1"/>
    <x v="5"/>
    <x v="5"/>
    <x v="0"/>
    <x v="0"/>
    <x v="0"/>
  </r>
  <r>
    <x v="147"/>
    <n v="35.22"/>
    <x v="101"/>
    <x v="13"/>
    <x v="1"/>
    <n v="2.89"/>
    <n v="0.31069999999999998"/>
    <x v="0"/>
    <n v="6.4"/>
    <n v="1"/>
    <x v="1"/>
    <x v="5"/>
    <x v="5"/>
    <x v="0"/>
    <x v="1"/>
    <x v="0"/>
  </r>
  <r>
    <x v="148"/>
    <n v="34.47"/>
    <x v="102"/>
    <x v="100"/>
    <x v="32"/>
    <n v="3.33"/>
    <n v="0.33110000000000001"/>
    <x v="0"/>
    <n v="5.3"/>
    <n v="1"/>
    <x v="1"/>
    <x v="5"/>
    <x v="5"/>
    <x v="0"/>
    <x v="1"/>
    <x v="0"/>
  </r>
  <r>
    <x v="149"/>
    <n v="34.76"/>
    <x v="103"/>
    <x v="101"/>
    <x v="17"/>
    <n v="3.49"/>
    <n v="0.4103"/>
    <x v="7"/>
    <n v="5.9"/>
    <n v="1"/>
    <x v="1"/>
    <x v="5"/>
    <x v="5"/>
    <x v="1"/>
    <x v="0"/>
    <x v="0"/>
  </r>
  <r>
    <x v="150"/>
    <n v="34.76"/>
    <x v="3"/>
    <x v="3"/>
    <x v="26"/>
    <n v="3.24"/>
    <n v="0.38800000000000001"/>
    <x v="4"/>
    <n v="6.17"/>
    <n v="0"/>
    <x v="1"/>
    <x v="5"/>
    <x v="5"/>
    <x v="1"/>
    <x v="2"/>
    <x v="0"/>
  </r>
  <r>
    <x v="151"/>
    <n v="34.76"/>
    <x v="3"/>
    <x v="3"/>
    <x v="13"/>
    <n v="3.48"/>
    <n v="0.375"/>
    <x v="6"/>
    <m/>
    <n v="0"/>
    <x v="1"/>
    <x v="5"/>
    <x v="5"/>
    <x v="0"/>
    <x v="2"/>
    <x v="0"/>
  </r>
  <r>
    <x v="152"/>
    <n v="34.57"/>
    <x v="104"/>
    <x v="102"/>
    <x v="12"/>
    <n v="2.6"/>
    <n v="8.4000000000000005E-2"/>
    <x v="3"/>
    <n v="6.9"/>
    <n v="1"/>
    <x v="1"/>
    <x v="5"/>
    <x v="5"/>
    <x v="0"/>
    <x v="1"/>
    <x v="1"/>
  </r>
  <r>
    <x v="153"/>
    <n v="36"/>
    <x v="105"/>
    <x v="103"/>
    <x v="17"/>
    <n v="2.78"/>
    <n v="0.1459"/>
    <x v="0"/>
    <n v="6.9"/>
    <n v="1"/>
    <x v="1"/>
    <x v="5"/>
    <x v="5"/>
    <x v="0"/>
    <x v="0"/>
    <x v="0"/>
  </r>
  <r>
    <x v="154"/>
    <n v="35.18"/>
    <x v="106"/>
    <x v="104"/>
    <x v="16"/>
    <n v="2.4700000000000002"/>
    <n v="0.14879999999999999"/>
    <x v="3"/>
    <m/>
    <n v="1"/>
    <x v="1"/>
    <x v="5"/>
    <x v="5"/>
    <x v="0"/>
    <x v="1"/>
    <x v="0"/>
  </r>
  <r>
    <x v="155"/>
    <n v="35.909999999999997"/>
    <x v="107"/>
    <x v="105"/>
    <x v="38"/>
    <n v="2.9"/>
    <n v="0.33739999999999998"/>
    <x v="10"/>
    <n v="6.17"/>
    <n v="1"/>
    <x v="1"/>
    <x v="5"/>
    <x v="5"/>
    <x v="0"/>
    <x v="0"/>
    <x v="0"/>
  </r>
  <r>
    <x v="156"/>
    <n v="35.69"/>
    <x v="108"/>
    <x v="106"/>
    <x v="2"/>
    <n v="2.38"/>
    <n v="1.7999999999999999E-2"/>
    <x v="19"/>
    <n v="6.17"/>
    <n v="1"/>
    <x v="1"/>
    <x v="5"/>
    <x v="5"/>
    <x v="1"/>
    <x v="1"/>
    <x v="1"/>
  </r>
  <r>
    <x v="157"/>
    <n v="35.69"/>
    <x v="3"/>
    <x v="3"/>
    <x v="10"/>
    <n v="2.54"/>
    <n v="0.1181"/>
    <x v="4"/>
    <n v="5.7"/>
    <n v="0"/>
    <x v="1"/>
    <x v="5"/>
    <x v="5"/>
    <x v="1"/>
    <x v="2"/>
    <x v="0"/>
  </r>
  <r>
    <x v="158"/>
    <n v="35.69"/>
    <x v="3"/>
    <x v="3"/>
    <x v="13"/>
    <n v="3.3"/>
    <n v="0.32750000000000001"/>
    <x v="0"/>
    <n v="6.05"/>
    <n v="0"/>
    <x v="1"/>
    <x v="5"/>
    <x v="5"/>
    <x v="1"/>
    <x v="2"/>
    <x v="0"/>
  </r>
  <r>
    <x v="159"/>
    <n v="35.69"/>
    <x v="3"/>
    <x v="3"/>
    <x v="5"/>
    <n v="3.06"/>
    <n v="0.29870000000000002"/>
    <x v="6"/>
    <m/>
    <n v="0"/>
    <x v="1"/>
    <x v="5"/>
    <x v="5"/>
    <x v="0"/>
    <x v="2"/>
    <x v="0"/>
  </r>
  <r>
    <x v="160"/>
    <n v="36.19"/>
    <x v="109"/>
    <x v="107"/>
    <x v="5"/>
    <n v="3.18"/>
    <n v="0.3175"/>
    <x v="4"/>
    <n v="6.65"/>
    <n v="1"/>
    <x v="1"/>
    <x v="5"/>
    <x v="5"/>
    <x v="0"/>
    <x v="0"/>
    <x v="0"/>
  </r>
  <r>
    <x v="161"/>
    <n v="35.99"/>
    <x v="110"/>
    <x v="108"/>
    <x v="41"/>
    <n v="3.29"/>
    <n v="0.37219999999999998"/>
    <x v="0"/>
    <n v="6.9"/>
    <n v="1"/>
    <x v="1"/>
    <x v="5"/>
    <x v="5"/>
    <x v="0"/>
    <x v="1"/>
    <x v="0"/>
  </r>
  <r>
    <x v="162"/>
    <n v="35.700000000000003"/>
    <x v="111"/>
    <x v="109"/>
    <x v="16"/>
    <n v="2.61"/>
    <n v="0.20080000000000001"/>
    <x v="0"/>
    <n v="5"/>
    <n v="1"/>
    <x v="1"/>
    <x v="5"/>
    <x v="5"/>
    <x v="0"/>
    <x v="1"/>
    <x v="0"/>
  </r>
  <r>
    <x v="163"/>
    <n v="36.299999999999997"/>
    <x v="112"/>
    <x v="110"/>
    <x v="3"/>
    <n v="2.4300000000000002"/>
    <n v="0.1114"/>
    <x v="1"/>
    <n v="6.28"/>
    <n v="1"/>
    <x v="1"/>
    <x v="5"/>
    <x v="5"/>
    <x v="1"/>
    <x v="0"/>
    <x v="0"/>
  </r>
  <r>
    <x v="164"/>
    <n v="36.299999999999997"/>
    <x v="3"/>
    <x v="3"/>
    <x v="19"/>
    <n v="2.88"/>
    <n v="0.21490000000000001"/>
    <x v="3"/>
    <n v="6.8"/>
    <n v="0"/>
    <x v="1"/>
    <x v="5"/>
    <x v="5"/>
    <x v="1"/>
    <x v="2"/>
    <x v="0"/>
  </r>
  <r>
    <x v="165"/>
    <n v="36.299999999999997"/>
    <x v="3"/>
    <x v="3"/>
    <x v="41"/>
    <n v="2.88"/>
    <n v="0.27129999999999999"/>
    <x v="10"/>
    <n v="9.1"/>
    <n v="0"/>
    <x v="1"/>
    <x v="5"/>
    <x v="5"/>
    <x v="0"/>
    <x v="2"/>
    <x v="0"/>
  </r>
  <r>
    <x v="166"/>
    <n v="36.39"/>
    <x v="113"/>
    <x v="111"/>
    <x v="38"/>
    <n v="2.1"/>
    <n v="6.0600000000000001E-2"/>
    <x v="4"/>
    <n v="6.77"/>
    <n v="1"/>
    <x v="1"/>
    <x v="5"/>
    <x v="5"/>
    <x v="0"/>
    <x v="1"/>
    <x v="1"/>
  </r>
  <r>
    <x v="167"/>
    <n v="36.5"/>
    <x v="114"/>
    <x v="112"/>
    <x v="16"/>
    <n v="3.03"/>
    <n v="0.1938"/>
    <x v="0"/>
    <n v="6.4"/>
    <n v="1"/>
    <x v="1"/>
    <x v="5"/>
    <x v="5"/>
    <x v="0"/>
    <x v="0"/>
    <x v="0"/>
  </r>
  <r>
    <x v="168"/>
    <n v="36.29"/>
    <x v="115"/>
    <x v="113"/>
    <x v="3"/>
    <n v="3.09"/>
    <n v="0.4002"/>
    <x v="2"/>
    <n v="6.44"/>
    <n v="1"/>
    <x v="1"/>
    <x v="5"/>
    <x v="5"/>
    <x v="0"/>
    <x v="1"/>
    <x v="0"/>
  </r>
  <r>
    <x v="169"/>
    <n v="35.81"/>
    <x v="116"/>
    <x v="114"/>
    <x v="16"/>
    <n v="2.5499999999999998"/>
    <n v="0.1633"/>
    <x v="10"/>
    <n v="7.1"/>
    <n v="1"/>
    <x v="1"/>
    <x v="5"/>
    <x v="5"/>
    <x v="0"/>
    <x v="1"/>
    <x v="0"/>
  </r>
  <r>
    <x v="170"/>
    <n v="35.729999999999997"/>
    <x v="117"/>
    <x v="115"/>
    <x v="3"/>
    <n v="2.86"/>
    <n v="0.27979999999999999"/>
    <x v="22"/>
    <n v="6.43"/>
    <n v="1"/>
    <x v="1"/>
    <x v="6"/>
    <x v="6"/>
    <x v="1"/>
    <x v="1"/>
    <x v="0"/>
  </r>
  <r>
    <x v="171"/>
    <n v="35.729999999999997"/>
    <x v="3"/>
    <x v="3"/>
    <x v="3"/>
    <n v="3.34"/>
    <n v="0.34810000000000002"/>
    <x v="18"/>
    <n v="6"/>
    <n v="0"/>
    <x v="1"/>
    <x v="6"/>
    <x v="6"/>
    <x v="1"/>
    <x v="2"/>
    <x v="0"/>
  </r>
  <r>
    <x v="172"/>
    <n v="35.729999999999997"/>
    <x v="3"/>
    <x v="3"/>
    <x v="26"/>
    <n v="2.79"/>
    <n v="0.2545"/>
    <x v="0"/>
    <n v="4.6500000000000004"/>
    <n v="0"/>
    <x v="1"/>
    <x v="6"/>
    <x v="6"/>
    <x v="0"/>
    <x v="2"/>
    <x v="0"/>
  </r>
  <r>
    <x v="173"/>
    <n v="35.1"/>
    <x v="118"/>
    <x v="116"/>
    <x v="17"/>
    <n v="3.11"/>
    <n v="0.32869999999999999"/>
    <x v="5"/>
    <n v="7.06"/>
    <n v="1"/>
    <x v="1"/>
    <x v="6"/>
    <x v="6"/>
    <x v="0"/>
    <x v="1"/>
    <x v="0"/>
  </r>
  <r>
    <x v="174"/>
    <n v="35.43"/>
    <x v="119"/>
    <x v="117"/>
    <x v="42"/>
    <n v="3.37"/>
    <n v="0.35120000000000001"/>
    <x v="12"/>
    <n v="6.46"/>
    <n v="1"/>
    <x v="1"/>
    <x v="6"/>
    <x v="6"/>
    <x v="0"/>
    <x v="0"/>
    <x v="0"/>
  </r>
  <r>
    <x v="175"/>
    <n v="35.96"/>
    <x v="120"/>
    <x v="118"/>
    <x v="10"/>
    <n v="2.82"/>
    <n v="8.72E-2"/>
    <x v="10"/>
    <n v="7.4"/>
    <n v="1"/>
    <x v="1"/>
    <x v="6"/>
    <x v="6"/>
    <x v="0"/>
    <x v="0"/>
    <x v="1"/>
  </r>
  <r>
    <x v="176"/>
    <n v="35.26"/>
    <x v="121"/>
    <x v="119"/>
    <x v="16"/>
    <n v="3.16"/>
    <n v="0.30470000000000003"/>
    <x v="5"/>
    <n v="6.65"/>
    <n v="1"/>
    <x v="1"/>
    <x v="6"/>
    <x v="6"/>
    <x v="0"/>
    <x v="1"/>
    <x v="0"/>
  </r>
  <r>
    <x v="177"/>
    <n v="34.96"/>
    <x v="122"/>
    <x v="120"/>
    <x v="32"/>
    <n v="3.08"/>
    <n v="0.2147"/>
    <x v="16"/>
    <n v="6.56"/>
    <n v="1"/>
    <x v="1"/>
    <x v="6"/>
    <x v="6"/>
    <x v="1"/>
    <x v="0"/>
    <x v="0"/>
  </r>
  <r>
    <x v="178"/>
    <n v="34.96"/>
    <x v="3"/>
    <x v="3"/>
    <x v="3"/>
    <n v="3.27"/>
    <n v="0.38219999999999998"/>
    <x v="0"/>
    <n v="5.2"/>
    <n v="0"/>
    <x v="1"/>
    <x v="6"/>
    <x v="6"/>
    <x v="1"/>
    <x v="2"/>
    <x v="0"/>
  </r>
  <r>
    <x v="179"/>
    <n v="34.96"/>
    <x v="3"/>
    <x v="3"/>
    <x v="19"/>
    <n v="2.77"/>
    <n v="0.15459999999999999"/>
    <x v="3"/>
    <m/>
    <n v="0"/>
    <x v="1"/>
    <x v="6"/>
    <x v="6"/>
    <x v="0"/>
    <x v="2"/>
    <x v="0"/>
  </r>
  <r>
    <x v="180"/>
    <n v="35.89"/>
    <x v="123"/>
    <x v="121"/>
    <x v="43"/>
    <n v="3.32"/>
    <n v="0.45579999999999998"/>
    <x v="0"/>
    <n v="7.4"/>
    <n v="1"/>
    <x v="1"/>
    <x v="6"/>
    <x v="6"/>
    <x v="0"/>
    <x v="0"/>
    <x v="0"/>
  </r>
  <r>
    <x v="181"/>
    <n v="35.630000000000003"/>
    <x v="124"/>
    <x v="122"/>
    <x v="17"/>
    <n v="2.98"/>
    <n v="0.3503"/>
    <x v="10"/>
    <n v="7.13"/>
    <n v="1"/>
    <x v="1"/>
    <x v="6"/>
    <x v="6"/>
    <x v="0"/>
    <x v="1"/>
    <x v="0"/>
  </r>
  <r>
    <x v="182"/>
    <n v="36.119999999999997"/>
    <x v="125"/>
    <x v="123"/>
    <x v="41"/>
    <n v="3.37"/>
    <n v="0.38119999999999998"/>
    <x v="4"/>
    <n v="6.9"/>
    <n v="1"/>
    <x v="1"/>
    <x v="6"/>
    <x v="6"/>
    <x v="0"/>
    <x v="0"/>
    <x v="0"/>
  </r>
  <r>
    <x v="183"/>
    <n v="35.880000000000003"/>
    <x v="126"/>
    <x v="124"/>
    <x v="16"/>
    <n v="2.95"/>
    <n v="0.14460000000000001"/>
    <x v="5"/>
    <n v="6.5"/>
    <n v="1"/>
    <x v="1"/>
    <x v="6"/>
    <x v="6"/>
    <x v="0"/>
    <x v="1"/>
    <x v="0"/>
  </r>
  <r>
    <x v="184"/>
    <n v="36.15"/>
    <x v="127"/>
    <x v="125"/>
    <x v="10"/>
    <n v="2.74"/>
    <n v="7.0400000000000004E-2"/>
    <x v="23"/>
    <n v="6.21"/>
    <n v="1"/>
    <x v="1"/>
    <x v="6"/>
    <x v="6"/>
    <x v="1"/>
    <x v="0"/>
    <x v="1"/>
  </r>
  <r>
    <x v="185"/>
    <n v="36.15"/>
    <x v="3"/>
    <x v="3"/>
    <x v="16"/>
    <n v="3.26"/>
    <n v="0.32329999999999998"/>
    <x v="0"/>
    <n v="8.3000000000000007"/>
    <n v="0"/>
    <x v="1"/>
    <x v="6"/>
    <x v="6"/>
    <x v="1"/>
    <x v="2"/>
    <x v="0"/>
  </r>
  <r>
    <x v="186"/>
    <n v="36.15"/>
    <x v="3"/>
    <x v="3"/>
    <x v="10"/>
    <n v="3.13"/>
    <n v="0.20680000000000001"/>
    <x v="0"/>
    <n v="6.25"/>
    <n v="0"/>
    <x v="1"/>
    <x v="6"/>
    <x v="6"/>
    <x v="0"/>
    <x v="2"/>
    <x v="0"/>
  </r>
  <r>
    <x v="187"/>
    <n v="36.340000000000003"/>
    <x v="128"/>
    <x v="126"/>
    <x v="41"/>
    <n v="2.59"/>
    <n v="0.1704"/>
    <x v="3"/>
    <n v="6.2"/>
    <n v="1"/>
    <x v="1"/>
    <x v="6"/>
    <x v="6"/>
    <x v="0"/>
    <x v="0"/>
    <x v="0"/>
  </r>
  <r>
    <x v="188"/>
    <n v="35.880000000000003"/>
    <x v="129"/>
    <x v="127"/>
    <x v="10"/>
    <n v="3.28"/>
    <n v="0.32200000000000001"/>
    <x v="4"/>
    <n v="5.25"/>
    <n v="1"/>
    <x v="1"/>
    <x v="6"/>
    <x v="6"/>
    <x v="0"/>
    <x v="1"/>
    <x v="0"/>
  </r>
  <r>
    <x v="189"/>
    <n v="37.520000000000003"/>
    <x v="130"/>
    <x v="128"/>
    <x v="35"/>
    <n v="2.82"/>
    <n v="0.2495"/>
    <x v="12"/>
    <n v="6.58"/>
    <n v="1"/>
    <x v="1"/>
    <x v="6"/>
    <x v="6"/>
    <x v="0"/>
    <x v="0"/>
    <x v="0"/>
  </r>
  <r>
    <x v="190"/>
    <n v="37.79"/>
    <x v="131"/>
    <x v="129"/>
    <x v="3"/>
    <n v="3.09"/>
    <n v="0.26429999999999998"/>
    <x v="11"/>
    <n v="5.24"/>
    <n v="1"/>
    <x v="1"/>
    <x v="6"/>
    <x v="6"/>
    <x v="0"/>
    <x v="0"/>
    <x v="0"/>
  </r>
  <r>
    <x v="191"/>
    <n v="36.1"/>
    <x v="132"/>
    <x v="130"/>
    <x v="33"/>
    <n v="2.78"/>
    <n v="0.20399999999999999"/>
    <x v="11"/>
    <n v="7.33"/>
    <n v="1"/>
    <x v="1"/>
    <x v="6"/>
    <x v="6"/>
    <x v="1"/>
    <x v="1"/>
    <x v="0"/>
  </r>
  <r>
    <x v="192"/>
    <n v="36.1"/>
    <x v="3"/>
    <x v="3"/>
    <x v="8"/>
    <n v="2.9"/>
    <n v="0.22750000000000001"/>
    <x v="4"/>
    <n v="5.4"/>
    <n v="0"/>
    <x v="1"/>
    <x v="6"/>
    <x v="6"/>
    <x v="1"/>
    <x v="2"/>
    <x v="0"/>
  </r>
  <r>
    <x v="193"/>
    <n v="36.1"/>
    <x v="3"/>
    <x v="3"/>
    <x v="36"/>
    <n v="3.17"/>
    <n v="0.3211"/>
    <x v="3"/>
    <n v="5.4"/>
    <n v="0"/>
    <x v="1"/>
    <x v="6"/>
    <x v="6"/>
    <x v="0"/>
    <x v="2"/>
    <x v="0"/>
  </r>
  <r>
    <x v="194"/>
    <n v="36.619999999999997"/>
    <x v="133"/>
    <x v="131"/>
    <x v="41"/>
    <n v="3.27"/>
    <n v="0.34610000000000002"/>
    <x v="0"/>
    <n v="4.4000000000000004"/>
    <n v="1"/>
    <x v="1"/>
    <x v="6"/>
    <x v="6"/>
    <x v="0"/>
    <x v="0"/>
    <x v="0"/>
  </r>
  <r>
    <x v="195"/>
    <n v="36"/>
    <x v="134"/>
    <x v="132"/>
    <x v="36"/>
    <n v="2.92"/>
    <n v="0.2666"/>
    <x v="3"/>
    <m/>
    <n v="1"/>
    <x v="1"/>
    <x v="6"/>
    <x v="6"/>
    <x v="0"/>
    <x v="1"/>
    <x v="0"/>
  </r>
  <r>
    <x v="196"/>
    <n v="35.340000000000003"/>
    <x v="135"/>
    <x v="133"/>
    <x v="18"/>
    <n v="3.04"/>
    <n v="0.2555"/>
    <x v="0"/>
    <n v="6.9"/>
    <n v="1"/>
    <x v="1"/>
    <x v="6"/>
    <x v="6"/>
    <x v="0"/>
    <x v="1"/>
    <x v="0"/>
  </r>
  <r>
    <x v="197"/>
    <n v="35.46"/>
    <x v="136"/>
    <x v="134"/>
    <x v="0"/>
    <n v="3.18"/>
    <n v="0.3916"/>
    <x v="3"/>
    <n v="7"/>
    <n v="1"/>
    <x v="1"/>
    <x v="6"/>
    <x v="6"/>
    <x v="0"/>
    <x v="0"/>
    <x v="0"/>
  </r>
  <r>
    <x v="198"/>
    <n v="35.659999999999997"/>
    <x v="137"/>
    <x v="135"/>
    <x v="11"/>
    <n v="3"/>
    <n v="0.20319999999999999"/>
    <x v="16"/>
    <n v="6.3"/>
    <n v="1"/>
    <x v="1"/>
    <x v="6"/>
    <x v="6"/>
    <x v="1"/>
    <x v="1"/>
    <x v="0"/>
  </r>
  <r>
    <x v="199"/>
    <n v="35.659999999999997"/>
    <x v="3"/>
    <x v="3"/>
    <x v="4"/>
    <n v="3.35"/>
    <n v="0.4516"/>
    <x v="0"/>
    <n v="7.4"/>
    <n v="0"/>
    <x v="1"/>
    <x v="6"/>
    <x v="6"/>
    <x v="1"/>
    <x v="2"/>
    <x v="0"/>
  </r>
  <r>
    <x v="200"/>
    <n v="35.659999999999997"/>
    <x v="3"/>
    <x v="3"/>
    <x v="4"/>
    <n v="3.65"/>
    <n v="0.41399999999999998"/>
    <x v="4"/>
    <n v="5.83"/>
    <n v="0"/>
    <x v="1"/>
    <x v="6"/>
    <x v="6"/>
    <x v="0"/>
    <x v="2"/>
    <x v="0"/>
  </r>
  <r>
    <x v="201"/>
    <n v="36.700000000000003"/>
    <x v="138"/>
    <x v="136"/>
    <x v="26"/>
    <n v="2.81"/>
    <n v="0.22650000000000001"/>
    <x v="24"/>
    <n v="6.36"/>
    <n v="1"/>
    <x v="1"/>
    <x v="7"/>
    <x v="7"/>
    <x v="0"/>
    <x v="0"/>
    <x v="0"/>
  </r>
  <r>
    <x v="202"/>
    <n v="36.770000000000003"/>
    <x v="139"/>
    <x v="137"/>
    <x v="17"/>
    <n v="2.73"/>
    <n v="0.15379999999999999"/>
    <x v="10"/>
    <n v="5.93"/>
    <n v="1"/>
    <x v="1"/>
    <x v="7"/>
    <x v="7"/>
    <x v="0"/>
    <x v="0"/>
    <x v="0"/>
  </r>
  <r>
    <x v="203"/>
    <n v="36.97"/>
    <x v="140"/>
    <x v="138"/>
    <x v="8"/>
    <n v="2.98"/>
    <n v="0.33539999999999998"/>
    <x v="10"/>
    <n v="6.27"/>
    <n v="1"/>
    <x v="1"/>
    <x v="7"/>
    <x v="7"/>
    <x v="0"/>
    <x v="0"/>
    <x v="0"/>
  </r>
  <r>
    <x v="204"/>
    <n v="36.79"/>
    <x v="141"/>
    <x v="139"/>
    <x v="17"/>
    <n v="3.18"/>
    <n v="0.1807"/>
    <x v="3"/>
    <n v="6.6"/>
    <n v="1"/>
    <x v="1"/>
    <x v="7"/>
    <x v="7"/>
    <x v="0"/>
    <x v="1"/>
    <x v="0"/>
  </r>
  <r>
    <x v="205"/>
    <n v="36.549999999999997"/>
    <x v="142"/>
    <x v="140"/>
    <x v="40"/>
    <n v="3.26"/>
    <n v="0.2838"/>
    <x v="25"/>
    <n v="6.56"/>
    <n v="1"/>
    <x v="1"/>
    <x v="7"/>
    <x v="7"/>
    <x v="1"/>
    <x v="1"/>
    <x v="0"/>
  </r>
  <r>
    <x v="206"/>
    <n v="36.549999999999997"/>
    <x v="3"/>
    <x v="3"/>
    <x v="19"/>
    <n v="3.16"/>
    <n v="0.26340000000000002"/>
    <x v="0"/>
    <n v="4.8"/>
    <n v="0"/>
    <x v="1"/>
    <x v="7"/>
    <x v="7"/>
    <x v="1"/>
    <x v="2"/>
    <x v="0"/>
  </r>
  <r>
    <x v="207"/>
    <n v="36.549999999999997"/>
    <x v="3"/>
    <x v="3"/>
    <x v="3"/>
    <n v="3.45"/>
    <n v="0.35770000000000002"/>
    <x v="0"/>
    <n v="8.4"/>
    <n v="0"/>
    <x v="1"/>
    <x v="7"/>
    <x v="7"/>
    <x v="0"/>
    <x v="2"/>
    <x v="0"/>
  </r>
  <r>
    <x v="208"/>
    <n v="36.14"/>
    <x v="143"/>
    <x v="141"/>
    <x v="2"/>
    <n v="3.29"/>
    <n v="0.20430000000000001"/>
    <x v="0"/>
    <n v="7"/>
    <n v="1"/>
    <x v="1"/>
    <x v="7"/>
    <x v="7"/>
    <x v="0"/>
    <x v="1"/>
    <x v="0"/>
  </r>
  <r>
    <x v="209"/>
    <n v="36.47"/>
    <x v="144"/>
    <x v="142"/>
    <x v="2"/>
    <n v="3.74"/>
    <n v="0.37140000000000001"/>
    <x v="0"/>
    <n v="4.2"/>
    <n v="1"/>
    <x v="1"/>
    <x v="7"/>
    <x v="7"/>
    <x v="0"/>
    <x v="0"/>
    <x v="0"/>
  </r>
  <r>
    <x v="210"/>
    <n v="36.39"/>
    <x v="145"/>
    <x v="143"/>
    <x v="12"/>
    <n v="3.15"/>
    <n v="0.246"/>
    <x v="10"/>
    <n v="5.63"/>
    <n v="1"/>
    <x v="1"/>
    <x v="7"/>
    <x v="7"/>
    <x v="0"/>
    <x v="1"/>
    <x v="0"/>
  </r>
  <r>
    <x v="211"/>
    <n v="36.76"/>
    <x v="146"/>
    <x v="144"/>
    <x v="19"/>
    <n v="2.81"/>
    <n v="0.1832"/>
    <x v="4"/>
    <n v="6.55"/>
    <n v="1"/>
    <x v="1"/>
    <x v="7"/>
    <x v="7"/>
    <x v="0"/>
    <x v="0"/>
    <x v="0"/>
  </r>
  <r>
    <x v="212"/>
    <n v="35.11"/>
    <x v="147"/>
    <x v="145"/>
    <x v="1"/>
    <n v="3.08"/>
    <n v="0.20499999999999999"/>
    <x v="18"/>
    <n v="6.43"/>
    <n v="1"/>
    <x v="1"/>
    <x v="7"/>
    <x v="7"/>
    <x v="1"/>
    <x v="1"/>
    <x v="0"/>
  </r>
  <r>
    <x v="213"/>
    <n v="35.11"/>
    <x v="3"/>
    <x v="3"/>
    <x v="41"/>
    <n v="3.24"/>
    <n v="0.34689999999999999"/>
    <x v="4"/>
    <n v="5.75"/>
    <n v="0"/>
    <x v="1"/>
    <x v="7"/>
    <x v="7"/>
    <x v="1"/>
    <x v="2"/>
    <x v="0"/>
  </r>
  <r>
    <x v="214"/>
    <n v="35.11"/>
    <x v="3"/>
    <x v="3"/>
    <x v="41"/>
    <n v="3.1"/>
    <n v="0.34989999999999999"/>
    <x v="0"/>
    <n v="3.1"/>
    <n v="0"/>
    <x v="1"/>
    <x v="7"/>
    <x v="7"/>
    <x v="0"/>
    <x v="2"/>
    <x v="0"/>
  </r>
  <r>
    <x v="215"/>
    <n v="34.89"/>
    <x v="148"/>
    <x v="146"/>
    <x v="6"/>
    <n v="3.07"/>
    <n v="0.46879999999999999"/>
    <x v="18"/>
    <n v="6.22"/>
    <n v="1"/>
    <x v="1"/>
    <x v="7"/>
    <x v="7"/>
    <x v="0"/>
    <x v="1"/>
    <x v="0"/>
  </r>
  <r>
    <x v="216"/>
    <n v="35.950000000000003"/>
    <x v="149"/>
    <x v="147"/>
    <x v="23"/>
    <n v="3.67"/>
    <n v="0.39529999999999998"/>
    <x v="12"/>
    <n v="6.25"/>
    <n v="1"/>
    <x v="1"/>
    <x v="7"/>
    <x v="7"/>
    <x v="0"/>
    <x v="0"/>
    <x v="0"/>
  </r>
  <r>
    <x v="217"/>
    <n v="35.47"/>
    <x v="150"/>
    <x v="148"/>
    <x v="26"/>
    <n v="3.1"/>
    <n v="0.30220000000000002"/>
    <x v="12"/>
    <n v="5.95"/>
    <n v="1"/>
    <x v="1"/>
    <x v="7"/>
    <x v="7"/>
    <x v="0"/>
    <x v="1"/>
    <x v="0"/>
  </r>
  <r>
    <x v="218"/>
    <n v="36.03"/>
    <x v="151"/>
    <x v="149"/>
    <x v="41"/>
    <n v="2.95"/>
    <n v="0.20499999999999999"/>
    <x v="5"/>
    <n v="3.84"/>
    <n v="1"/>
    <x v="1"/>
    <x v="7"/>
    <x v="7"/>
    <x v="1"/>
    <x v="0"/>
    <x v="0"/>
  </r>
  <r>
    <x v="219"/>
    <n v="36.03"/>
    <x v="3"/>
    <x v="3"/>
    <x v="11"/>
    <n v="2.71"/>
    <n v="0.1658"/>
    <x v="2"/>
    <n v="6.44"/>
    <n v="0"/>
    <x v="1"/>
    <x v="7"/>
    <x v="7"/>
    <x v="1"/>
    <x v="2"/>
    <x v="0"/>
  </r>
  <r>
    <x v="220"/>
    <n v="36.03"/>
    <x v="3"/>
    <x v="3"/>
    <x v="36"/>
    <n v="3.33"/>
    <n v="0.22239999999999999"/>
    <x v="4"/>
    <n v="6.53"/>
    <n v="0"/>
    <x v="1"/>
    <x v="7"/>
    <x v="7"/>
    <x v="1"/>
    <x v="2"/>
    <x v="0"/>
  </r>
  <r>
    <x v="221"/>
    <n v="36.03"/>
    <x v="3"/>
    <x v="3"/>
    <x v="6"/>
    <n v="3.59"/>
    <n v="0.27560000000000001"/>
    <x v="3"/>
    <n v="7.3"/>
    <n v="0"/>
    <x v="1"/>
    <x v="7"/>
    <x v="7"/>
    <x v="0"/>
    <x v="2"/>
    <x v="0"/>
  </r>
  <r>
    <x v="222"/>
    <n v="37.729999999999997"/>
    <x v="152"/>
    <x v="150"/>
    <x v="41"/>
    <n v="3.46"/>
    <n v="0.3372"/>
    <x v="3"/>
    <m/>
    <n v="1"/>
    <x v="1"/>
    <x v="7"/>
    <x v="7"/>
    <x v="0"/>
    <x v="0"/>
    <x v="0"/>
  </r>
  <r>
    <x v="223"/>
    <n v="38.19"/>
    <x v="153"/>
    <x v="151"/>
    <x v="4"/>
    <n v="3.2"/>
    <n v="0.31869999999999998"/>
    <x v="0"/>
    <n v="8.1"/>
    <n v="1"/>
    <x v="1"/>
    <x v="7"/>
    <x v="7"/>
    <x v="0"/>
    <x v="0"/>
    <x v="0"/>
  </r>
  <r>
    <x v="224"/>
    <n v="37.42"/>
    <x v="154"/>
    <x v="152"/>
    <x v="36"/>
    <n v="3.44"/>
    <n v="0.33019999999999999"/>
    <x v="0"/>
    <n v="5.15"/>
    <n v="1"/>
    <x v="1"/>
    <x v="7"/>
    <x v="7"/>
    <x v="0"/>
    <x v="1"/>
    <x v="0"/>
  </r>
  <r>
    <x v="225"/>
    <n v="36.83"/>
    <x v="155"/>
    <x v="153"/>
    <x v="15"/>
    <n v="4.17"/>
    <n v="0.4083"/>
    <x v="7"/>
    <n v="5.87"/>
    <n v="1"/>
    <x v="1"/>
    <x v="7"/>
    <x v="7"/>
    <x v="0"/>
    <x v="1"/>
    <x v="0"/>
  </r>
  <r>
    <x v="226"/>
    <n v="37.49"/>
    <x v="156"/>
    <x v="154"/>
    <x v="15"/>
    <n v="2.79"/>
    <n v="0.2492"/>
    <x v="26"/>
    <n v="6.4"/>
    <n v="1"/>
    <x v="1"/>
    <x v="7"/>
    <x v="7"/>
    <x v="1"/>
    <x v="0"/>
    <x v="0"/>
  </r>
  <r>
    <x v="227"/>
    <n v="37.49"/>
    <x v="3"/>
    <x v="3"/>
    <x v="40"/>
    <n v="3.47"/>
    <n v="0.4723"/>
    <x v="3"/>
    <n v="7"/>
    <n v="0"/>
    <x v="1"/>
    <x v="7"/>
    <x v="7"/>
    <x v="1"/>
    <x v="2"/>
    <x v="0"/>
  </r>
  <r>
    <x v="228"/>
    <n v="37.49"/>
    <x v="3"/>
    <x v="3"/>
    <x v="26"/>
    <n v="2.95"/>
    <n v="0.2417"/>
    <x v="3"/>
    <m/>
    <n v="0"/>
    <x v="1"/>
    <x v="7"/>
    <x v="7"/>
    <x v="0"/>
    <x v="2"/>
    <x v="0"/>
  </r>
  <r>
    <x v="229"/>
    <n v="37.18"/>
    <x v="157"/>
    <x v="155"/>
    <x v="18"/>
    <n v="3.58"/>
    <n v="0.48220000000000002"/>
    <x v="10"/>
    <n v="7.15"/>
    <n v="1"/>
    <x v="1"/>
    <x v="7"/>
    <x v="7"/>
    <x v="0"/>
    <x v="1"/>
    <x v="0"/>
  </r>
  <r>
    <x v="230"/>
    <n v="37.049999999999997"/>
    <x v="158"/>
    <x v="156"/>
    <x v="26"/>
    <n v="2.62"/>
    <n v="0.184"/>
    <x v="18"/>
    <n v="6.39"/>
    <n v="1"/>
    <x v="1"/>
    <x v="7"/>
    <x v="7"/>
    <x v="0"/>
    <x v="0"/>
    <x v="0"/>
  </r>
  <r>
    <x v="231"/>
    <n v="37.880000000000003"/>
    <x v="159"/>
    <x v="157"/>
    <x v="44"/>
    <n v="3.07"/>
    <n v="0.18179999999999999"/>
    <x v="9"/>
    <n v="6.03"/>
    <n v="1"/>
    <x v="1"/>
    <x v="8"/>
    <x v="8"/>
    <x v="0"/>
    <x v="0"/>
    <x v="0"/>
  </r>
  <r>
    <x v="232"/>
    <n v="37.909999999999997"/>
    <x v="160"/>
    <x v="158"/>
    <x v="12"/>
    <n v="3.02"/>
    <n v="0.23039999999999999"/>
    <x v="14"/>
    <n v="6.16"/>
    <n v="1"/>
    <x v="1"/>
    <x v="8"/>
    <x v="8"/>
    <x v="0"/>
    <x v="0"/>
    <x v="0"/>
  </r>
  <r>
    <x v="233"/>
    <n v="38.5"/>
    <x v="161"/>
    <x v="159"/>
    <x v="19"/>
    <n v="2.88"/>
    <n v="0.16900000000000001"/>
    <x v="18"/>
    <n v="6.32"/>
    <n v="1"/>
    <x v="1"/>
    <x v="8"/>
    <x v="8"/>
    <x v="1"/>
    <x v="0"/>
    <x v="0"/>
  </r>
  <r>
    <x v="234"/>
    <n v="38.5"/>
    <x v="3"/>
    <x v="3"/>
    <x v="26"/>
    <n v="2.86"/>
    <n v="0.2228"/>
    <x v="6"/>
    <m/>
    <n v="0"/>
    <x v="1"/>
    <x v="8"/>
    <x v="8"/>
    <x v="1"/>
    <x v="2"/>
    <x v="0"/>
  </r>
  <r>
    <x v="235"/>
    <n v="38.5"/>
    <x v="3"/>
    <x v="3"/>
    <x v="26"/>
    <n v="3.48"/>
    <n v="0.27"/>
    <x v="3"/>
    <n v="3"/>
    <n v="0"/>
    <x v="1"/>
    <x v="8"/>
    <x v="8"/>
    <x v="0"/>
    <x v="2"/>
    <x v="0"/>
  </r>
  <r>
    <x v="236"/>
    <n v="37.869999999999997"/>
    <x v="162"/>
    <x v="160"/>
    <x v="18"/>
    <n v="2.19"/>
    <n v="3.85E-2"/>
    <x v="10"/>
    <n v="6.8"/>
    <n v="1"/>
    <x v="1"/>
    <x v="8"/>
    <x v="8"/>
    <x v="0"/>
    <x v="0"/>
    <x v="1"/>
  </r>
  <r>
    <x v="237"/>
    <n v="37.049999999999997"/>
    <x v="163"/>
    <x v="161"/>
    <x v="38"/>
    <n v="2.68"/>
    <n v="0.1182"/>
    <x v="5"/>
    <n v="6.34"/>
    <n v="1"/>
    <x v="1"/>
    <x v="8"/>
    <x v="8"/>
    <x v="0"/>
    <x v="1"/>
    <x v="0"/>
  </r>
  <r>
    <x v="238"/>
    <n v="36.44"/>
    <x v="164"/>
    <x v="162"/>
    <x v="36"/>
    <n v="2.97"/>
    <n v="0.15529999999999999"/>
    <x v="11"/>
    <n v="7.9"/>
    <n v="1"/>
    <x v="1"/>
    <x v="8"/>
    <x v="8"/>
    <x v="0"/>
    <x v="1"/>
    <x v="0"/>
  </r>
  <r>
    <x v="239"/>
    <n v="36.28"/>
    <x v="165"/>
    <x v="163"/>
    <x v="38"/>
    <n v="2.3199999999999998"/>
    <n v="0.10730000000000001"/>
    <x v="14"/>
    <n v="6.05"/>
    <n v="1"/>
    <x v="1"/>
    <x v="8"/>
    <x v="8"/>
    <x v="0"/>
    <x v="0"/>
    <x v="0"/>
  </r>
  <r>
    <x v="240"/>
    <n v="36.1"/>
    <x v="166"/>
    <x v="164"/>
    <x v="2"/>
    <n v="2.79"/>
    <n v="6.2E-2"/>
    <x v="1"/>
    <n v="7.1"/>
    <n v="1"/>
    <x v="1"/>
    <x v="8"/>
    <x v="8"/>
    <x v="1"/>
    <x v="1"/>
    <x v="1"/>
  </r>
  <r>
    <x v="241"/>
    <n v="36.1"/>
    <x v="3"/>
    <x v="3"/>
    <x v="1"/>
    <n v="2.5099999999999998"/>
    <n v="0.253"/>
    <x v="10"/>
    <n v="5.9"/>
    <n v="0"/>
    <x v="1"/>
    <x v="8"/>
    <x v="8"/>
    <x v="1"/>
    <x v="2"/>
    <x v="0"/>
  </r>
  <r>
    <x v="242"/>
    <n v="36.1"/>
    <x v="3"/>
    <x v="3"/>
    <x v="3"/>
    <n v="2.8"/>
    <n v="0.14460000000000001"/>
    <x v="0"/>
    <n v="7"/>
    <n v="0"/>
    <x v="1"/>
    <x v="8"/>
    <x v="8"/>
    <x v="0"/>
    <x v="2"/>
    <x v="0"/>
  </r>
  <r>
    <x v="243"/>
    <n v="34.53"/>
    <x v="167"/>
    <x v="165"/>
    <x v="1"/>
    <n v="3.14"/>
    <n v="0.28699999999999998"/>
    <x v="3"/>
    <n v="5.2"/>
    <n v="1"/>
    <x v="1"/>
    <x v="8"/>
    <x v="8"/>
    <x v="0"/>
    <x v="1"/>
    <x v="0"/>
  </r>
  <r>
    <x v="244"/>
    <n v="34.56"/>
    <x v="168"/>
    <x v="166"/>
    <x v="36"/>
    <n v="3.06"/>
    <n v="0.1666"/>
    <x v="10"/>
    <n v="6.6"/>
    <n v="1"/>
    <x v="1"/>
    <x v="8"/>
    <x v="8"/>
    <x v="0"/>
    <x v="1"/>
    <x v="0"/>
  </r>
  <r>
    <x v="245"/>
    <n v="35.5"/>
    <x v="169"/>
    <x v="167"/>
    <x v="11"/>
    <n v="2.98"/>
    <n v="0.22120000000000001"/>
    <x v="16"/>
    <n v="6.05"/>
    <n v="1"/>
    <x v="1"/>
    <x v="8"/>
    <x v="8"/>
    <x v="0"/>
    <x v="0"/>
    <x v="0"/>
  </r>
  <r>
    <x v="246"/>
    <n v="35.93"/>
    <x v="170"/>
    <x v="168"/>
    <x v="8"/>
    <n v="3.08"/>
    <n v="0.25290000000000001"/>
    <x v="14"/>
    <n v="5.8"/>
    <n v="1"/>
    <x v="1"/>
    <x v="8"/>
    <x v="8"/>
    <x v="0"/>
    <x v="0"/>
    <x v="0"/>
  </r>
  <r>
    <x v="247"/>
    <n v="35.44"/>
    <x v="171"/>
    <x v="169"/>
    <x v="4"/>
    <n v="2.8"/>
    <n v="0.19689999999999999"/>
    <x v="1"/>
    <n v="7.07"/>
    <n v="1"/>
    <x v="1"/>
    <x v="8"/>
    <x v="8"/>
    <x v="1"/>
    <x v="1"/>
    <x v="0"/>
  </r>
  <r>
    <x v="248"/>
    <n v="35.44"/>
    <x v="3"/>
    <x v="3"/>
    <x v="45"/>
    <n v="3.17"/>
    <n v="0.29499999999999998"/>
    <x v="0"/>
    <n v="5.4"/>
    <n v="0"/>
    <x v="1"/>
    <x v="8"/>
    <x v="8"/>
    <x v="1"/>
    <x v="2"/>
    <x v="0"/>
  </r>
  <r>
    <x v="249"/>
    <n v="35.44"/>
    <x v="3"/>
    <x v="3"/>
    <x v="32"/>
    <n v="2.9"/>
    <n v="0.25990000000000002"/>
    <x v="3"/>
    <n v="6"/>
    <n v="0"/>
    <x v="1"/>
    <x v="8"/>
    <x v="8"/>
    <x v="0"/>
    <x v="2"/>
    <x v="0"/>
  </r>
  <r>
    <x v="250"/>
    <n v="34.81"/>
    <x v="172"/>
    <x v="170"/>
    <x v="4"/>
    <n v="3"/>
    <n v="0.27139999999999997"/>
    <x v="0"/>
    <n v="6.1"/>
    <n v="1"/>
    <x v="1"/>
    <x v="8"/>
    <x v="8"/>
    <x v="0"/>
    <x v="1"/>
    <x v="0"/>
  </r>
  <r>
    <x v="251"/>
    <n v="35.43"/>
    <x v="173"/>
    <x v="171"/>
    <x v="32"/>
    <n v="3.25"/>
    <n v="0.19950000000000001"/>
    <x v="4"/>
    <n v="5.8"/>
    <n v="1"/>
    <x v="1"/>
    <x v="8"/>
    <x v="8"/>
    <x v="0"/>
    <x v="0"/>
    <x v="0"/>
  </r>
  <r>
    <x v="252"/>
    <n v="35.97"/>
    <x v="174"/>
    <x v="172"/>
    <x v="35"/>
    <n v="2.78"/>
    <n v="0.2374"/>
    <x v="0"/>
    <n v="7.3"/>
    <n v="1"/>
    <x v="1"/>
    <x v="8"/>
    <x v="8"/>
    <x v="0"/>
    <x v="0"/>
    <x v="0"/>
  </r>
  <r>
    <x v="253"/>
    <n v="35.22"/>
    <x v="175"/>
    <x v="173"/>
    <x v="38"/>
    <n v="2.61"/>
    <n v="9.1200000000000003E-2"/>
    <x v="3"/>
    <m/>
    <n v="1"/>
    <x v="1"/>
    <x v="8"/>
    <x v="8"/>
    <x v="0"/>
    <x v="1"/>
    <x v="1"/>
  </r>
  <r>
    <x v="254"/>
    <n v="35.44"/>
    <x v="176"/>
    <x v="174"/>
    <x v="16"/>
    <n v="2.76"/>
    <n v="0.2263"/>
    <x v="7"/>
    <n v="6.37"/>
    <n v="1"/>
    <x v="1"/>
    <x v="8"/>
    <x v="8"/>
    <x v="1"/>
    <x v="1"/>
    <x v="0"/>
  </r>
  <r>
    <x v="255"/>
    <n v="35.44"/>
    <x v="3"/>
    <x v="3"/>
    <x v="11"/>
    <n v="2.92"/>
    <n v="0.42730000000000001"/>
    <x v="0"/>
    <n v="6.6"/>
    <n v="0"/>
    <x v="1"/>
    <x v="8"/>
    <x v="8"/>
    <x v="1"/>
    <x v="2"/>
    <x v="0"/>
  </r>
  <r>
    <x v="256"/>
    <n v="35.44"/>
    <x v="3"/>
    <x v="3"/>
    <x v="8"/>
    <n v="3.33"/>
    <n v="0.37180000000000002"/>
    <x v="0"/>
    <n v="6.6"/>
    <n v="0"/>
    <x v="1"/>
    <x v="8"/>
    <x v="8"/>
    <x v="1"/>
    <x v="2"/>
    <x v="0"/>
  </r>
  <r>
    <x v="257"/>
    <n v="35.44"/>
    <x v="3"/>
    <x v="3"/>
    <x v="26"/>
    <n v="3.02"/>
    <n v="0.27450000000000002"/>
    <x v="0"/>
    <n v="5.6"/>
    <n v="0"/>
    <x v="1"/>
    <x v="8"/>
    <x v="8"/>
    <x v="0"/>
    <x v="2"/>
    <x v="0"/>
  </r>
  <r>
    <x v="258"/>
    <n v="35.51"/>
    <x v="177"/>
    <x v="175"/>
    <x v="26"/>
    <n v="2.71"/>
    <n v="8.7800000000000003E-2"/>
    <x v="0"/>
    <n v="5.5"/>
    <n v="1"/>
    <x v="1"/>
    <x v="8"/>
    <x v="8"/>
    <x v="0"/>
    <x v="0"/>
    <x v="1"/>
  </r>
  <r>
    <x v="259"/>
    <n v="34.92"/>
    <x v="178"/>
    <x v="176"/>
    <x v="13"/>
    <n v="3"/>
    <n v="0.27079999999999999"/>
    <x v="6"/>
    <m/>
    <n v="1"/>
    <x v="1"/>
    <x v="8"/>
    <x v="8"/>
    <x v="0"/>
    <x v="1"/>
    <x v="0"/>
  </r>
  <r>
    <x v="260"/>
    <n v="35.19"/>
    <x v="179"/>
    <x v="177"/>
    <x v="32"/>
    <n v="3.17"/>
    <n v="0.30470000000000003"/>
    <x v="4"/>
    <n v="6.73"/>
    <n v="1"/>
    <x v="1"/>
    <x v="8"/>
    <x v="8"/>
    <x v="0"/>
    <x v="0"/>
    <x v="0"/>
  </r>
  <r>
    <x v="261"/>
    <n v="34.33"/>
    <x v="180"/>
    <x v="178"/>
    <x v="33"/>
    <n v="3.1"/>
    <n v="0.34699999999999998"/>
    <x v="16"/>
    <n v="6.18"/>
    <n v="1"/>
    <x v="1"/>
    <x v="8"/>
    <x v="8"/>
    <x v="1"/>
    <x v="1"/>
    <x v="0"/>
  </r>
  <r>
    <x v="262"/>
    <n v="34.33"/>
    <x v="3"/>
    <x v="3"/>
    <x v="4"/>
    <n v="3.28"/>
    <n v="0.29499999999999998"/>
    <x v="23"/>
    <n v="6.44"/>
    <n v="0"/>
    <x v="1"/>
    <x v="9"/>
    <x v="9"/>
    <x v="1"/>
    <x v="2"/>
    <x v="0"/>
  </r>
  <r>
    <x v="263"/>
    <n v="34.33"/>
    <x v="3"/>
    <x v="3"/>
    <x v="35"/>
    <n v="3.32"/>
    <n v="0.32029999999999997"/>
    <x v="10"/>
    <n v="6.98"/>
    <n v="0"/>
    <x v="1"/>
    <x v="9"/>
    <x v="9"/>
    <x v="0"/>
    <x v="2"/>
    <x v="0"/>
  </r>
  <r>
    <x v="264"/>
    <n v="33.659999999999997"/>
    <x v="181"/>
    <x v="179"/>
    <x v="10"/>
    <n v="3.31"/>
    <n v="0.41449999999999998"/>
    <x v="0"/>
    <m/>
    <n v="1"/>
    <x v="1"/>
    <x v="9"/>
    <x v="9"/>
    <x v="0"/>
    <x v="1"/>
    <x v="0"/>
  </r>
  <r>
    <x v="265"/>
    <n v="35.340000000000003"/>
    <x v="182"/>
    <x v="180"/>
    <x v="17"/>
    <n v="3.24"/>
    <n v="0.21429999999999999"/>
    <x v="10"/>
    <n v="4.0999999999999996"/>
    <n v="1"/>
    <x v="1"/>
    <x v="9"/>
    <x v="9"/>
    <x v="0"/>
    <x v="0"/>
    <x v="0"/>
  </r>
  <r>
    <x v="266"/>
    <n v="35.57"/>
    <x v="183"/>
    <x v="181"/>
    <x v="19"/>
    <n v="2.91"/>
    <n v="0.30380000000000001"/>
    <x v="5"/>
    <n v="6.03"/>
    <n v="1"/>
    <x v="1"/>
    <x v="9"/>
    <x v="9"/>
    <x v="0"/>
    <x v="0"/>
    <x v="0"/>
  </r>
  <r>
    <x v="267"/>
    <n v="35.71"/>
    <x v="184"/>
    <x v="182"/>
    <x v="19"/>
    <n v="2.93"/>
    <n v="0.28349999999999997"/>
    <x v="2"/>
    <n v="4.99"/>
    <n v="1"/>
    <x v="1"/>
    <x v="9"/>
    <x v="9"/>
    <x v="0"/>
    <x v="0"/>
    <x v="0"/>
  </r>
  <r>
    <x v="268"/>
    <n v="36.090000000000003"/>
    <x v="185"/>
    <x v="183"/>
    <x v="17"/>
    <n v="2.96"/>
    <n v="0.2225"/>
    <x v="26"/>
    <n v="6.88"/>
    <n v="1"/>
    <x v="1"/>
    <x v="9"/>
    <x v="9"/>
    <x v="1"/>
    <x v="0"/>
    <x v="0"/>
  </r>
  <r>
    <x v="269"/>
    <n v="36.090000000000003"/>
    <x v="3"/>
    <x v="3"/>
    <x v="17"/>
    <n v="2.78"/>
    <n v="0.15490000000000001"/>
    <x v="4"/>
    <n v="5.5"/>
    <n v="0"/>
    <x v="1"/>
    <x v="9"/>
    <x v="9"/>
    <x v="1"/>
    <x v="2"/>
    <x v="0"/>
  </r>
  <r>
    <x v="270"/>
    <n v="36.090000000000003"/>
    <x v="3"/>
    <x v="3"/>
    <x v="10"/>
    <n v="3.31"/>
    <n v="0.252"/>
    <x v="6"/>
    <m/>
    <n v="0"/>
    <x v="1"/>
    <x v="9"/>
    <x v="9"/>
    <x v="0"/>
    <x v="2"/>
    <x v="0"/>
  </r>
  <r>
    <x v="271"/>
    <n v="35.200000000000003"/>
    <x v="186"/>
    <x v="184"/>
    <x v="3"/>
    <n v="2.98"/>
    <n v="0.2636"/>
    <x v="3"/>
    <m/>
    <n v="1"/>
    <x v="1"/>
    <x v="9"/>
    <x v="9"/>
    <x v="0"/>
    <x v="1"/>
    <x v="0"/>
  </r>
  <r>
    <x v="272"/>
    <n v="35.130000000000003"/>
    <x v="187"/>
    <x v="185"/>
    <x v="33"/>
    <n v="2.81"/>
    <n v="0.2034"/>
    <x v="3"/>
    <m/>
    <n v="1"/>
    <x v="1"/>
    <x v="9"/>
    <x v="9"/>
    <x v="0"/>
    <x v="1"/>
    <x v="0"/>
  </r>
  <r>
    <x v="273"/>
    <n v="34.56"/>
    <x v="188"/>
    <x v="186"/>
    <x v="14"/>
    <n v="3.23"/>
    <n v="0.3488"/>
    <x v="0"/>
    <n v="7.5"/>
    <n v="1"/>
    <x v="1"/>
    <x v="9"/>
    <x v="9"/>
    <x v="0"/>
    <x v="1"/>
    <x v="0"/>
  </r>
  <r>
    <x v="274"/>
    <n v="34.340000000000003"/>
    <x v="189"/>
    <x v="187"/>
    <x v="26"/>
    <n v="2.79"/>
    <n v="0.27860000000000001"/>
    <x v="11"/>
    <n v="5.59"/>
    <n v="1"/>
    <x v="1"/>
    <x v="9"/>
    <x v="9"/>
    <x v="0"/>
    <x v="1"/>
    <x v="0"/>
  </r>
  <r>
    <x v="275"/>
    <n v="33.97"/>
    <x v="190"/>
    <x v="188"/>
    <x v="17"/>
    <n v="3.49"/>
    <n v="0.3619"/>
    <x v="18"/>
    <n v="5.97"/>
    <n v="1"/>
    <x v="1"/>
    <x v="9"/>
    <x v="9"/>
    <x v="1"/>
    <x v="1"/>
    <x v="0"/>
  </r>
  <r>
    <x v="276"/>
    <n v="33.97"/>
    <x v="3"/>
    <x v="3"/>
    <x v="10"/>
    <n v="3.1"/>
    <n v="0.23680000000000001"/>
    <x v="26"/>
    <n v="7.04"/>
    <n v="0"/>
    <x v="1"/>
    <x v="9"/>
    <x v="9"/>
    <x v="1"/>
    <x v="2"/>
    <x v="0"/>
  </r>
  <r>
    <x v="277"/>
    <n v="33.97"/>
    <x v="3"/>
    <x v="3"/>
    <x v="40"/>
    <n v="2.75"/>
    <n v="9.9500000000000005E-2"/>
    <x v="0"/>
    <n v="5.85"/>
    <n v="0"/>
    <x v="1"/>
    <x v="9"/>
    <x v="9"/>
    <x v="0"/>
    <x v="2"/>
    <x v="1"/>
  </r>
  <r>
    <x v="278"/>
    <n v="35.06"/>
    <x v="191"/>
    <x v="189"/>
    <x v="36"/>
    <n v="2.67"/>
    <n v="0.32669999999999999"/>
    <x v="6"/>
    <m/>
    <n v="1"/>
    <x v="1"/>
    <x v="9"/>
    <x v="9"/>
    <x v="0"/>
    <x v="0"/>
    <x v="0"/>
  </r>
  <r>
    <x v="279"/>
    <n v="35.71"/>
    <x v="192"/>
    <x v="190"/>
    <x v="22"/>
    <n v="3.37"/>
    <n v="0.28949999999999998"/>
    <x v="14"/>
    <n v="5.55"/>
    <n v="1"/>
    <x v="1"/>
    <x v="9"/>
    <x v="9"/>
    <x v="0"/>
    <x v="0"/>
    <x v="0"/>
  </r>
  <r>
    <x v="280"/>
    <n v="36.35"/>
    <x v="193"/>
    <x v="191"/>
    <x v="33"/>
    <n v="3.71"/>
    <n v="0.3579"/>
    <x v="12"/>
    <n v="6.5"/>
    <n v="1"/>
    <x v="1"/>
    <x v="9"/>
    <x v="9"/>
    <x v="0"/>
    <x v="0"/>
    <x v="0"/>
  </r>
  <r>
    <x v="281"/>
    <n v="36.520000000000003"/>
    <x v="194"/>
    <x v="192"/>
    <x v="26"/>
    <n v="3.1"/>
    <n v="0.249"/>
    <x v="11"/>
    <n v="5.01"/>
    <n v="1"/>
    <x v="1"/>
    <x v="9"/>
    <x v="9"/>
    <x v="0"/>
    <x v="1"/>
    <x v="0"/>
  </r>
  <r>
    <x v="282"/>
    <n v="36.92"/>
    <x v="195"/>
    <x v="193"/>
    <x v="23"/>
    <n v="3.25"/>
    <n v="0.25169999999999998"/>
    <x v="27"/>
    <n v="6.94"/>
    <n v="1"/>
    <x v="1"/>
    <x v="9"/>
    <x v="9"/>
    <x v="1"/>
    <x v="0"/>
    <x v="0"/>
  </r>
  <r>
    <x v="283"/>
    <n v="36.92"/>
    <x v="3"/>
    <x v="3"/>
    <x v="46"/>
    <n v="2.38"/>
    <n v="9.6600000000000005E-2"/>
    <x v="0"/>
    <n v="4.3499999999999996"/>
    <n v="0"/>
    <x v="1"/>
    <x v="9"/>
    <x v="9"/>
    <x v="1"/>
    <x v="2"/>
    <x v="1"/>
  </r>
  <r>
    <x v="284"/>
    <n v="36.92"/>
    <x v="3"/>
    <x v="3"/>
    <x v="32"/>
    <n v="3.38"/>
    <n v="0.34100000000000003"/>
    <x v="3"/>
    <m/>
    <n v="0"/>
    <x v="1"/>
    <x v="9"/>
    <x v="9"/>
    <x v="0"/>
    <x v="2"/>
    <x v="0"/>
  </r>
  <r>
    <x v="285"/>
    <n v="37.1"/>
    <x v="196"/>
    <x v="194"/>
    <x v="34"/>
    <n v="3.29"/>
    <n v="0.35549999999999998"/>
    <x v="3"/>
    <n v="7.3"/>
    <n v="1"/>
    <x v="1"/>
    <x v="9"/>
    <x v="9"/>
    <x v="0"/>
    <x v="0"/>
    <x v="0"/>
  </r>
  <r>
    <x v="286"/>
    <n v="36.03"/>
    <x v="197"/>
    <x v="195"/>
    <x v="7"/>
    <n v="3.77"/>
    <n v="0.3523"/>
    <x v="4"/>
    <n v="6.4"/>
    <n v="1"/>
    <x v="1"/>
    <x v="9"/>
    <x v="9"/>
    <x v="0"/>
    <x v="1"/>
    <x v="0"/>
  </r>
  <r>
    <x v="287"/>
    <n v="36.22"/>
    <x v="198"/>
    <x v="196"/>
    <x v="32"/>
    <n v="3.56"/>
    <n v="0.33239999999999997"/>
    <x v="12"/>
    <n v="7.6"/>
    <n v="1"/>
    <x v="1"/>
    <x v="9"/>
    <x v="9"/>
    <x v="0"/>
    <x v="0"/>
    <x v="0"/>
  </r>
  <r>
    <x v="288"/>
    <n v="37"/>
    <x v="199"/>
    <x v="197"/>
    <x v="4"/>
    <n v="3.54"/>
    <n v="0.4451"/>
    <x v="4"/>
    <n v="6.35"/>
    <n v="1"/>
    <x v="1"/>
    <x v="9"/>
    <x v="9"/>
    <x v="0"/>
    <x v="0"/>
    <x v="0"/>
  </r>
  <r>
    <x v="289"/>
    <n v="36.729999999999997"/>
    <x v="200"/>
    <x v="198"/>
    <x v="19"/>
    <n v="2.72"/>
    <n v="0.17560000000000001"/>
    <x v="1"/>
    <n v="5.68"/>
    <n v="1"/>
    <x v="1"/>
    <x v="9"/>
    <x v="9"/>
    <x v="1"/>
    <x v="1"/>
    <x v="0"/>
  </r>
  <r>
    <x v="290"/>
    <n v="36.729999999999997"/>
    <x v="3"/>
    <x v="3"/>
    <x v="26"/>
    <n v="3.24"/>
    <n v="0.35560000000000003"/>
    <x v="0"/>
    <n v="7.5"/>
    <n v="0"/>
    <x v="1"/>
    <x v="9"/>
    <x v="9"/>
    <x v="1"/>
    <x v="2"/>
    <x v="0"/>
  </r>
  <r>
    <x v="291"/>
    <n v="36.729999999999997"/>
    <x v="3"/>
    <x v="3"/>
    <x v="10"/>
    <n v="3.1"/>
    <n v="0.26750000000000002"/>
    <x v="10"/>
    <n v="6.4"/>
    <n v="0"/>
    <x v="1"/>
    <x v="9"/>
    <x v="9"/>
    <x v="0"/>
    <x v="2"/>
    <x v="0"/>
  </r>
  <r>
    <x v="292"/>
    <n v="37.46"/>
    <x v="201"/>
    <x v="199"/>
    <x v="8"/>
    <n v="3.5"/>
    <n v="0.21790000000000001"/>
    <x v="28"/>
    <n v="6.37"/>
    <n v="1"/>
    <x v="1"/>
    <x v="10"/>
    <x v="10"/>
    <x v="0"/>
    <x v="0"/>
    <x v="0"/>
  </r>
  <r>
    <x v="293"/>
    <n v="37.54"/>
    <x v="202"/>
    <x v="200"/>
    <x v="44"/>
    <n v="3.59"/>
    <n v="0.38340000000000002"/>
    <x v="4"/>
    <n v="7.53"/>
    <n v="1"/>
    <x v="1"/>
    <x v="10"/>
    <x v="10"/>
    <x v="0"/>
    <x v="0"/>
    <x v="0"/>
  </r>
  <r>
    <x v="294"/>
    <n v="38.17"/>
    <x v="203"/>
    <x v="201"/>
    <x v="11"/>
    <n v="3.22"/>
    <n v="0.33460000000000001"/>
    <x v="0"/>
    <n v="7.3"/>
    <n v="1"/>
    <x v="1"/>
    <x v="10"/>
    <x v="10"/>
    <x v="1"/>
    <x v="0"/>
    <x v="0"/>
  </r>
  <r>
    <x v="295"/>
    <n v="38.17"/>
    <x v="3"/>
    <x v="3"/>
    <x v="17"/>
    <n v="3.16"/>
    <n v="0.2041"/>
    <x v="10"/>
    <n v="6.2"/>
    <n v="0"/>
    <x v="1"/>
    <x v="10"/>
    <x v="10"/>
    <x v="0"/>
    <x v="2"/>
    <x v="0"/>
  </r>
  <r>
    <x v="296"/>
    <n v="38.06"/>
    <x v="204"/>
    <x v="202"/>
    <x v="42"/>
    <n v="3.48"/>
    <n v="0.32279999999999998"/>
    <x v="0"/>
    <n v="7.25"/>
    <n v="1"/>
    <x v="1"/>
    <x v="10"/>
    <x v="10"/>
    <x v="1"/>
    <x v="0"/>
    <x v="0"/>
  </r>
  <r>
    <x v="297"/>
    <n v="38.06"/>
    <x v="3"/>
    <x v="3"/>
    <x v="12"/>
    <n v="3.57"/>
    <n v="0.36209999999999998"/>
    <x v="0"/>
    <n v="6.5"/>
    <n v="0"/>
    <x v="1"/>
    <x v="10"/>
    <x v="10"/>
    <x v="1"/>
    <x v="2"/>
    <x v="0"/>
  </r>
  <r>
    <x v="298"/>
    <n v="38.06"/>
    <x v="3"/>
    <x v="3"/>
    <x v="40"/>
    <n v="3.06"/>
    <n v="0.32990000000000003"/>
    <x v="3"/>
    <n v="6.4"/>
    <n v="0"/>
    <x v="1"/>
    <x v="10"/>
    <x v="10"/>
    <x v="0"/>
    <x v="2"/>
    <x v="0"/>
  </r>
  <r>
    <x v="299"/>
    <n v="37.619999999999997"/>
    <x v="205"/>
    <x v="203"/>
    <x v="4"/>
    <n v="3.2"/>
    <n v="0.24590000000000001"/>
    <x v="3"/>
    <m/>
    <n v="1"/>
    <x v="1"/>
    <x v="10"/>
    <x v="10"/>
    <x v="0"/>
    <x v="1"/>
    <x v="0"/>
  </r>
  <r>
    <x v="300"/>
    <n v="37.99"/>
    <x v="206"/>
    <x v="204"/>
    <x v="2"/>
    <n v="3.29"/>
    <n v="0.26800000000000002"/>
    <x v="0"/>
    <n v="6.6"/>
    <n v="1"/>
    <x v="1"/>
    <x v="10"/>
    <x v="10"/>
    <x v="0"/>
    <x v="0"/>
    <x v="0"/>
  </r>
  <r>
    <x v="301"/>
    <n v="38.1"/>
    <x v="207"/>
    <x v="205"/>
    <x v="10"/>
    <n v="3.1"/>
    <n v="0.32779999999999998"/>
    <x v="6"/>
    <m/>
    <n v="1"/>
    <x v="1"/>
    <x v="10"/>
    <x v="10"/>
    <x v="0"/>
    <x v="1"/>
    <x v="0"/>
  </r>
  <r>
    <x v="302"/>
    <n v="37.950000000000003"/>
    <x v="208"/>
    <x v="206"/>
    <x v="12"/>
    <n v="2.85"/>
    <n v="0.24260000000000001"/>
    <x v="4"/>
    <n v="6.8"/>
    <n v="1"/>
    <x v="1"/>
    <x v="10"/>
    <x v="10"/>
    <x v="0"/>
    <x v="1"/>
    <x v="0"/>
  </r>
  <r>
    <x v="303"/>
    <n v="37.33"/>
    <x v="209"/>
    <x v="207"/>
    <x v="36"/>
    <n v="3.25"/>
    <n v="0.29859999999999998"/>
    <x v="29"/>
    <n v="6.61"/>
    <n v="1"/>
    <x v="1"/>
    <x v="10"/>
    <x v="10"/>
    <x v="1"/>
    <x v="1"/>
    <x v="0"/>
  </r>
  <r>
    <x v="304"/>
    <n v="37.33"/>
    <x v="3"/>
    <x v="3"/>
    <x v="19"/>
    <n v="2.86"/>
    <n v="0.33729999999999999"/>
    <x v="3"/>
    <m/>
    <n v="0"/>
    <x v="1"/>
    <x v="10"/>
    <x v="10"/>
    <x v="1"/>
    <x v="2"/>
    <x v="0"/>
  </r>
  <r>
    <x v="305"/>
    <n v="37.33"/>
    <x v="3"/>
    <x v="3"/>
    <x v="35"/>
    <n v="3.28"/>
    <n v="0.33600000000000002"/>
    <x v="6"/>
    <m/>
    <n v="0"/>
    <x v="1"/>
    <x v="10"/>
    <x v="10"/>
    <x v="0"/>
    <x v="2"/>
    <x v="0"/>
  </r>
  <r>
    <x v="306"/>
    <n v="36.659999999999997"/>
    <x v="210"/>
    <x v="208"/>
    <x v="8"/>
    <n v="3.19"/>
    <n v="0.2797"/>
    <x v="12"/>
    <n v="6.8"/>
    <n v="1"/>
    <x v="1"/>
    <x v="10"/>
    <x v="10"/>
    <x v="0"/>
    <x v="1"/>
    <x v="0"/>
  </r>
  <r>
    <x v="307"/>
    <n v="36.6"/>
    <x v="211"/>
    <x v="209"/>
    <x v="33"/>
    <n v="3.53"/>
    <n v="0.36980000000000002"/>
    <x v="7"/>
    <n v="6.22"/>
    <n v="1"/>
    <x v="1"/>
    <x v="10"/>
    <x v="10"/>
    <x v="0"/>
    <x v="1"/>
    <x v="0"/>
  </r>
  <r>
    <x v="308"/>
    <n v="36.24"/>
    <x v="212"/>
    <x v="210"/>
    <x v="10"/>
    <n v="3.82"/>
    <n v="0.31030000000000002"/>
    <x v="4"/>
    <n v="6.17"/>
    <n v="1"/>
    <x v="1"/>
    <x v="10"/>
    <x v="10"/>
    <x v="0"/>
    <x v="1"/>
    <x v="0"/>
  </r>
  <r>
    <x v="309"/>
    <n v="32.520000000000003"/>
    <x v="213"/>
    <x v="211"/>
    <x v="3"/>
    <n v="3.3"/>
    <n v="0.2417"/>
    <x v="4"/>
    <n v="6.83"/>
    <n v="1"/>
    <x v="1"/>
    <x v="10"/>
    <x v="10"/>
    <x v="0"/>
    <x v="0"/>
    <x v="0"/>
  </r>
  <r>
    <x v="310"/>
    <n v="31.51"/>
    <x v="214"/>
    <x v="212"/>
    <x v="11"/>
    <n v="3.35"/>
    <n v="0.19359999999999999"/>
    <x v="12"/>
    <n v="5.73"/>
    <n v="1"/>
    <x v="1"/>
    <x v="10"/>
    <x v="10"/>
    <x v="1"/>
    <x v="1"/>
    <x v="0"/>
  </r>
  <r>
    <x v="311"/>
    <n v="31.51"/>
    <x v="3"/>
    <x v="3"/>
    <x v="11"/>
    <n v="2.9"/>
    <n v="0.20480000000000001"/>
    <x v="0"/>
    <n v="4.3"/>
    <n v="0"/>
    <x v="1"/>
    <x v="10"/>
    <x v="10"/>
    <x v="1"/>
    <x v="2"/>
    <x v="0"/>
  </r>
  <r>
    <x v="312"/>
    <n v="31.51"/>
    <x v="3"/>
    <x v="3"/>
    <x v="40"/>
    <n v="2.87"/>
    <n v="0.1774"/>
    <x v="14"/>
    <n v="5.18"/>
    <n v="0"/>
    <x v="1"/>
    <x v="10"/>
    <x v="10"/>
    <x v="0"/>
    <x v="2"/>
    <x v="0"/>
  </r>
  <r>
    <x v="313"/>
    <n v="31.06"/>
    <x v="215"/>
    <x v="213"/>
    <x v="32"/>
    <n v="3.58"/>
    <n v="0.38540000000000002"/>
    <x v="10"/>
    <n v="6.5"/>
    <n v="1"/>
    <x v="1"/>
    <x v="10"/>
    <x v="10"/>
    <x v="0"/>
    <x v="1"/>
    <x v="0"/>
  </r>
  <r>
    <x v="314"/>
    <n v="30.73"/>
    <x v="216"/>
    <x v="214"/>
    <x v="13"/>
    <n v="2.8"/>
    <n v="0.28520000000000001"/>
    <x v="0"/>
    <n v="4.5"/>
    <n v="1"/>
    <x v="1"/>
    <x v="10"/>
    <x v="10"/>
    <x v="0"/>
    <x v="1"/>
    <x v="0"/>
  </r>
  <r>
    <x v="315"/>
    <n v="31.79"/>
    <x v="217"/>
    <x v="215"/>
    <x v="35"/>
    <n v="3.28"/>
    <n v="0.27060000000000001"/>
    <x v="3"/>
    <n v="7"/>
    <n v="1"/>
    <x v="1"/>
    <x v="10"/>
    <x v="10"/>
    <x v="0"/>
    <x v="0"/>
    <x v="0"/>
  </r>
  <r>
    <x v="316"/>
    <n v="32.65"/>
    <x v="218"/>
    <x v="216"/>
    <x v="8"/>
    <n v="3.62"/>
    <n v="0.4103"/>
    <x v="3"/>
    <n v="5.3"/>
    <n v="1"/>
    <x v="1"/>
    <x v="10"/>
    <x v="10"/>
    <x v="0"/>
    <x v="0"/>
    <x v="0"/>
  </r>
  <r>
    <x v="317"/>
    <n v="33.58"/>
    <x v="219"/>
    <x v="217"/>
    <x v="10"/>
    <n v="3.23"/>
    <n v="0.36799999999999999"/>
    <x v="27"/>
    <n v="6.11"/>
    <n v="1"/>
    <x v="1"/>
    <x v="10"/>
    <x v="10"/>
    <x v="1"/>
    <x v="0"/>
    <x v="0"/>
  </r>
  <r>
    <x v="318"/>
    <n v="33.58"/>
    <x v="3"/>
    <x v="3"/>
    <x v="42"/>
    <n v="3"/>
    <n v="0.16309999999999999"/>
    <x v="6"/>
    <m/>
    <n v="0"/>
    <x v="1"/>
    <x v="10"/>
    <x v="10"/>
    <x v="1"/>
    <x v="2"/>
    <x v="0"/>
  </r>
  <r>
    <x v="319"/>
    <n v="33.58"/>
    <x v="3"/>
    <x v="3"/>
    <x v="17"/>
    <n v="3.51"/>
    <n v="0.37909999999999999"/>
    <x v="6"/>
    <m/>
    <n v="0"/>
    <x v="1"/>
    <x v="10"/>
    <x v="10"/>
    <x v="0"/>
    <x v="2"/>
    <x v="0"/>
  </r>
  <r>
    <x v="320"/>
    <n v="33.270000000000003"/>
    <x v="220"/>
    <x v="218"/>
    <x v="47"/>
    <n v="3.13"/>
    <n v="0.31469999999999998"/>
    <x v="4"/>
    <n v="6.63"/>
    <n v="1"/>
    <x v="1"/>
    <x v="10"/>
    <x v="10"/>
    <x v="0"/>
    <x v="1"/>
    <x v="0"/>
  </r>
  <r>
    <x v="321"/>
    <n v="32.590000000000003"/>
    <x v="221"/>
    <x v="219"/>
    <x v="23"/>
    <n v="3.84"/>
    <n v="0.34649999999999997"/>
    <x v="10"/>
    <n v="5.9"/>
    <n v="1"/>
    <x v="1"/>
    <x v="10"/>
    <x v="10"/>
    <x v="0"/>
    <x v="1"/>
    <x v="0"/>
  </r>
  <r>
    <x v="322"/>
    <n v="32.299999999999997"/>
    <x v="222"/>
    <x v="220"/>
    <x v="32"/>
    <n v="3.83"/>
    <n v="0.3634"/>
    <x v="10"/>
    <n v="6.7"/>
    <n v="1"/>
    <x v="1"/>
    <x v="10"/>
    <x v="10"/>
    <x v="0"/>
    <x v="1"/>
    <x v="0"/>
  </r>
  <r>
    <x v="323"/>
    <n v="31.95"/>
    <x v="223"/>
    <x v="221"/>
    <x v="20"/>
    <n v="2.89"/>
    <n v="0.23930000000000001"/>
    <x v="30"/>
    <n v="6.63"/>
    <n v="1"/>
    <x v="1"/>
    <x v="11"/>
    <x v="11"/>
    <x v="0"/>
    <x v="1"/>
    <x v="0"/>
  </r>
  <r>
    <x v="324"/>
    <n v="31.88"/>
    <x v="224"/>
    <x v="222"/>
    <x v="17"/>
    <n v="3.2"/>
    <n v="0.17530000000000001"/>
    <x v="18"/>
    <n v="6.8"/>
    <n v="1"/>
    <x v="1"/>
    <x v="11"/>
    <x v="11"/>
    <x v="1"/>
    <x v="0"/>
    <x v="0"/>
  </r>
  <r>
    <x v="325"/>
    <n v="31.88"/>
    <x v="3"/>
    <x v="3"/>
    <x v="14"/>
    <n v="3.1"/>
    <n v="0.31169999999999998"/>
    <x v="3"/>
    <n v="4.4000000000000004"/>
    <n v="0"/>
    <x v="1"/>
    <x v="11"/>
    <x v="11"/>
    <x v="1"/>
    <x v="2"/>
    <x v="0"/>
  </r>
  <r>
    <x v="326"/>
    <n v="31.88"/>
    <x v="3"/>
    <x v="3"/>
    <x v="32"/>
    <n v="3.1"/>
    <n v="0.31169999999999998"/>
    <x v="6"/>
    <m/>
    <n v="0"/>
    <x v="1"/>
    <x v="11"/>
    <x v="11"/>
    <x v="0"/>
    <x v="2"/>
    <x v="0"/>
  </r>
  <r>
    <x v="327"/>
    <n v="30.76"/>
    <x v="225"/>
    <x v="223"/>
    <x v="48"/>
    <n v="3.29"/>
    <n v="0.3246"/>
    <x v="12"/>
    <n v="4.74"/>
    <n v="1"/>
    <x v="1"/>
    <x v="11"/>
    <x v="11"/>
    <x v="0"/>
    <x v="1"/>
    <x v="0"/>
  </r>
  <r>
    <x v="328"/>
    <n v="31.01"/>
    <x v="226"/>
    <x v="224"/>
    <x v="47"/>
    <n v="3.63"/>
    <n v="0.37619999999999998"/>
    <x v="5"/>
    <n v="5.93"/>
    <n v="1"/>
    <x v="1"/>
    <x v="11"/>
    <x v="11"/>
    <x v="0"/>
    <x v="1"/>
    <x v="0"/>
  </r>
  <r>
    <x v="329"/>
    <n v="30.43"/>
    <x v="227"/>
    <x v="225"/>
    <x v="23"/>
    <n v="3.55"/>
    <n v="0.3795"/>
    <x v="4"/>
    <n v="7"/>
    <n v="1"/>
    <x v="1"/>
    <x v="11"/>
    <x v="11"/>
    <x v="0"/>
    <x v="0"/>
    <x v="0"/>
  </r>
  <r>
    <x v="330"/>
    <n v="31.59"/>
    <x v="228"/>
    <x v="226"/>
    <x v="28"/>
    <n v="3.12"/>
    <n v="0.36580000000000001"/>
    <x v="27"/>
    <n v="7.02"/>
    <n v="1"/>
    <x v="1"/>
    <x v="11"/>
    <x v="11"/>
    <x v="0"/>
    <x v="0"/>
    <x v="0"/>
  </r>
  <r>
    <x v="331"/>
    <n v="30.89"/>
    <x v="229"/>
    <x v="227"/>
    <x v="28"/>
    <n v="3.27"/>
    <n v="0.40079999999999999"/>
    <x v="7"/>
    <n v="6.95"/>
    <n v="1"/>
    <x v="1"/>
    <x v="11"/>
    <x v="11"/>
    <x v="1"/>
    <x v="1"/>
    <x v="0"/>
  </r>
  <r>
    <x v="332"/>
    <n v="30.89"/>
    <x v="3"/>
    <x v="3"/>
    <x v="40"/>
    <n v="3.43"/>
    <n v="0.22900000000000001"/>
    <x v="6"/>
    <m/>
    <n v="0"/>
    <x v="1"/>
    <x v="11"/>
    <x v="11"/>
    <x v="1"/>
    <x v="2"/>
    <x v="0"/>
  </r>
  <r>
    <x v="333"/>
    <n v="30.89"/>
    <x v="3"/>
    <x v="3"/>
    <x v="28"/>
    <n v="2.98"/>
    <n v="0.1981"/>
    <x v="6"/>
    <m/>
    <n v="0"/>
    <x v="1"/>
    <x v="11"/>
    <x v="11"/>
    <x v="0"/>
    <x v="2"/>
    <x v="0"/>
  </r>
  <r>
    <x v="334"/>
    <n v="31.08"/>
    <x v="230"/>
    <x v="228"/>
    <x v="34"/>
    <n v="2.64"/>
    <n v="0.21099999999999999"/>
    <x v="3"/>
    <n v="7.3"/>
    <n v="1"/>
    <x v="1"/>
    <x v="11"/>
    <x v="11"/>
    <x v="0"/>
    <x v="0"/>
    <x v="0"/>
  </r>
  <r>
    <x v="335"/>
    <n v="31.23"/>
    <x v="231"/>
    <x v="229"/>
    <x v="21"/>
    <n v="2.8"/>
    <n v="0.2339"/>
    <x v="5"/>
    <n v="5.4"/>
    <n v="1"/>
    <x v="1"/>
    <x v="11"/>
    <x v="11"/>
    <x v="0"/>
    <x v="0"/>
    <x v="0"/>
  </r>
  <r>
    <x v="336"/>
    <n v="29.91"/>
    <x v="232"/>
    <x v="230"/>
    <x v="44"/>
    <n v="2.87"/>
    <n v="7.1199999999999999E-2"/>
    <x v="0"/>
    <n v="7.45"/>
    <n v="1"/>
    <x v="1"/>
    <x v="11"/>
    <x v="11"/>
    <x v="0"/>
    <x v="1"/>
    <x v="1"/>
  </r>
  <r>
    <x v="337"/>
    <n v="29.58"/>
    <x v="233"/>
    <x v="231"/>
    <x v="49"/>
    <n v="3.11"/>
    <n v="0.30449999999999999"/>
    <x v="12"/>
    <n v="7.1"/>
    <n v="1"/>
    <x v="1"/>
    <x v="11"/>
    <x v="11"/>
    <x v="0"/>
    <x v="1"/>
    <x v="0"/>
  </r>
  <r>
    <x v="338"/>
    <n v="30.28"/>
    <x v="234"/>
    <x v="232"/>
    <x v="35"/>
    <n v="3.1"/>
    <n v="0.25729999999999997"/>
    <x v="27"/>
    <n v="6.6"/>
    <n v="1"/>
    <x v="1"/>
    <x v="11"/>
    <x v="11"/>
    <x v="1"/>
    <x v="0"/>
    <x v="0"/>
  </r>
  <r>
    <x v="339"/>
    <n v="30.28"/>
    <x v="3"/>
    <x v="3"/>
    <x v="48"/>
    <n v="2.9"/>
    <n v="0.1026"/>
    <x v="6"/>
    <m/>
    <n v="0"/>
    <x v="1"/>
    <x v="11"/>
    <x v="11"/>
    <x v="1"/>
    <x v="2"/>
    <x v="0"/>
  </r>
  <r>
    <x v="340"/>
    <n v="30.28"/>
    <x v="3"/>
    <x v="3"/>
    <x v="28"/>
    <n v="2.9"/>
    <n v="0.22900000000000001"/>
    <x v="6"/>
    <m/>
    <n v="0"/>
    <x v="1"/>
    <x v="11"/>
    <x v="11"/>
    <x v="0"/>
    <x v="2"/>
    <x v="0"/>
  </r>
  <r>
    <x v="341"/>
    <n v="30.94"/>
    <x v="235"/>
    <x v="233"/>
    <x v="35"/>
    <n v="3.18"/>
    <n v="0.36280000000000001"/>
    <x v="6"/>
    <m/>
    <n v="1"/>
    <x v="1"/>
    <x v="11"/>
    <x v="11"/>
    <x v="0"/>
    <x v="0"/>
    <x v="0"/>
  </r>
  <r>
    <x v="342"/>
    <n v="29.9"/>
    <x v="236"/>
    <x v="234"/>
    <x v="11"/>
    <n v="2.86"/>
    <n v="0.29949999999999999"/>
    <x v="4"/>
    <n v="7.5"/>
    <n v="1"/>
    <x v="1"/>
    <x v="11"/>
    <x v="11"/>
    <x v="0"/>
    <x v="1"/>
    <x v="0"/>
  </r>
  <r>
    <x v="343"/>
    <n v="29.78"/>
    <x v="237"/>
    <x v="235"/>
    <x v="48"/>
    <n v="2.73"/>
    <n v="0.1532"/>
    <x v="5"/>
    <n v="7.1"/>
    <n v="1"/>
    <x v="1"/>
    <x v="11"/>
    <x v="11"/>
    <x v="0"/>
    <x v="1"/>
    <x v="0"/>
  </r>
  <r>
    <x v="344"/>
    <n v="29.69"/>
    <x v="238"/>
    <x v="236"/>
    <x v="19"/>
    <n v="3.28"/>
    <n v="0.2387"/>
    <x v="3"/>
    <n v="6.5"/>
    <n v="1"/>
    <x v="1"/>
    <x v="11"/>
    <x v="11"/>
    <x v="0"/>
    <x v="1"/>
    <x v="0"/>
  </r>
  <r>
    <x v="345"/>
    <n v="29.14"/>
    <x v="239"/>
    <x v="237"/>
    <x v="32"/>
    <n v="3.15"/>
    <n v="0.31009999999999999"/>
    <x v="7"/>
    <n v="6.27"/>
    <n v="1"/>
    <x v="1"/>
    <x v="11"/>
    <x v="11"/>
    <x v="1"/>
    <x v="1"/>
    <x v="0"/>
  </r>
  <r>
    <x v="346"/>
    <n v="29.14"/>
    <x v="3"/>
    <x v="3"/>
    <x v="50"/>
    <n v="3.31"/>
    <n v="0.30669999999999997"/>
    <x v="0"/>
    <n v="4.2"/>
    <n v="0"/>
    <x v="1"/>
    <x v="11"/>
    <x v="11"/>
    <x v="1"/>
    <x v="2"/>
    <x v="0"/>
  </r>
  <r>
    <x v="347"/>
    <n v="29.14"/>
    <x v="3"/>
    <x v="3"/>
    <x v="11"/>
    <n v="2.76"/>
    <n v="0.28789999999999999"/>
    <x v="3"/>
    <n v="6.4"/>
    <n v="0"/>
    <x v="1"/>
    <x v="11"/>
    <x v="11"/>
    <x v="0"/>
    <x v="2"/>
    <x v="0"/>
  </r>
  <r>
    <x v="348"/>
    <n v="29.5"/>
    <x v="240"/>
    <x v="238"/>
    <x v="25"/>
    <n v="2.84"/>
    <n v="0.28070000000000001"/>
    <x v="3"/>
    <m/>
    <n v="1"/>
    <x v="1"/>
    <x v="11"/>
    <x v="11"/>
    <x v="0"/>
    <x v="1"/>
    <x v="0"/>
  </r>
  <r>
    <x v="349"/>
    <n v="29.1"/>
    <x v="241"/>
    <x v="239"/>
    <x v="50"/>
    <n v="3.56"/>
    <n v="0.31019999999999998"/>
    <x v="3"/>
    <n v="6.7"/>
    <n v="1"/>
    <x v="1"/>
    <x v="11"/>
    <x v="11"/>
    <x v="0"/>
    <x v="1"/>
    <x v="0"/>
  </r>
  <r>
    <x v="350"/>
    <n v="29.18"/>
    <x v="242"/>
    <x v="240"/>
    <x v="51"/>
    <n v="2.91"/>
    <n v="0.2198"/>
    <x v="0"/>
    <n v="4.8"/>
    <n v="1"/>
    <x v="1"/>
    <x v="11"/>
    <x v="11"/>
    <x v="0"/>
    <x v="0"/>
    <x v="0"/>
  </r>
  <r>
    <x v="351"/>
    <n v="29.68"/>
    <x v="243"/>
    <x v="241"/>
    <x v="32"/>
    <n v="3.04"/>
    <n v="0.43390000000000001"/>
    <x v="10"/>
    <n v="5.42"/>
    <n v="1"/>
    <x v="1"/>
    <x v="11"/>
    <x v="11"/>
    <x v="0"/>
    <x v="0"/>
    <x v="0"/>
  </r>
  <r>
    <x v="352"/>
    <n v="29.38"/>
    <x v="244"/>
    <x v="242"/>
    <x v="41"/>
    <n v="2.9"/>
    <n v="0.29509999999999997"/>
    <x v="11"/>
    <n v="5.85"/>
    <n v="1"/>
    <x v="1"/>
    <x v="11"/>
    <x v="11"/>
    <x v="1"/>
    <x v="1"/>
    <x v="0"/>
  </r>
  <r>
    <x v="353"/>
    <n v="29.38"/>
    <x v="3"/>
    <x v="3"/>
    <x v="40"/>
    <n v="2.72"/>
    <n v="0.26269999999999999"/>
    <x v="3"/>
    <n v="7.9"/>
    <n v="0"/>
    <x v="1"/>
    <x v="11"/>
    <x v="11"/>
    <x v="1"/>
    <x v="2"/>
    <x v="0"/>
  </r>
  <r>
    <x v="354"/>
    <n v="29.38"/>
    <x v="3"/>
    <x v="3"/>
    <x v="17"/>
    <n v="2.78"/>
    <n v="0.2014"/>
    <x v="31"/>
    <n v="6.21"/>
    <n v="0"/>
    <x v="1"/>
    <x v="0"/>
    <x v="12"/>
    <x v="1"/>
    <x v="2"/>
    <x v="0"/>
  </r>
  <r>
    <x v="355"/>
    <n v="29.38"/>
    <x v="3"/>
    <x v="3"/>
    <x v="12"/>
    <n v="3.38"/>
    <n v="0.30819999999999997"/>
    <x v="6"/>
    <m/>
    <n v="0"/>
    <x v="1"/>
    <x v="0"/>
    <x v="12"/>
    <x v="0"/>
    <x v="2"/>
    <x v="0"/>
  </r>
  <r>
    <x v="356"/>
    <n v="28.93"/>
    <x v="245"/>
    <x v="243"/>
    <x v="4"/>
    <n v="2.91"/>
    <n v="0.28260000000000002"/>
    <x v="6"/>
    <m/>
    <n v="1"/>
    <x v="1"/>
    <x v="0"/>
    <x v="12"/>
    <x v="0"/>
    <x v="1"/>
    <x v="0"/>
  </r>
  <r>
    <x v="357"/>
    <n v="29.15"/>
    <x v="246"/>
    <x v="244"/>
    <x v="7"/>
    <n v="2.4300000000000002"/>
    <n v="0.2301"/>
    <x v="10"/>
    <n v="5.78"/>
    <n v="1"/>
    <x v="1"/>
    <x v="0"/>
    <x v="12"/>
    <x v="0"/>
    <x v="0"/>
    <x v="0"/>
  </r>
  <r>
    <x v="358"/>
    <n v="29.33"/>
    <x v="247"/>
    <x v="245"/>
    <x v="12"/>
    <n v="2.4900000000000002"/>
    <n v="0.1835"/>
    <x v="3"/>
    <m/>
    <n v="1"/>
    <x v="1"/>
    <x v="0"/>
    <x v="12"/>
    <x v="0"/>
    <x v="0"/>
    <x v="0"/>
  </r>
  <r>
    <x v="359"/>
    <n v="29.02"/>
    <x v="248"/>
    <x v="246"/>
    <x v="8"/>
    <n v="2.9"/>
    <n v="0.34720000000000001"/>
    <x v="12"/>
    <n v="7.1"/>
    <n v="1"/>
    <x v="1"/>
    <x v="0"/>
    <x v="12"/>
    <x v="1"/>
    <x v="1"/>
    <x v="0"/>
  </r>
  <r>
    <x v="360"/>
    <n v="29.02"/>
    <x v="3"/>
    <x v="3"/>
    <x v="26"/>
    <n v="3.14"/>
    <n v="0.1729"/>
    <x v="6"/>
    <m/>
    <n v="0"/>
    <x v="1"/>
    <x v="0"/>
    <x v="12"/>
    <x v="1"/>
    <x v="2"/>
    <x v="0"/>
  </r>
  <r>
    <x v="361"/>
    <n v="29.02"/>
    <x v="3"/>
    <x v="3"/>
    <x v="8"/>
    <n v="3.04"/>
    <n v="0.26019999999999999"/>
    <x v="6"/>
    <m/>
    <n v="0"/>
    <x v="1"/>
    <x v="0"/>
    <x v="12"/>
    <x v="0"/>
    <x v="2"/>
    <x v="0"/>
  </r>
  <r>
    <x v="362"/>
    <n v="29.43"/>
    <x v="249"/>
    <x v="247"/>
    <x v="13"/>
    <n v="2.4"/>
    <n v="7.3300000000000004E-2"/>
    <x v="3"/>
    <n v="3.4"/>
    <n v="1"/>
    <x v="1"/>
    <x v="0"/>
    <x v="12"/>
    <x v="0"/>
    <x v="1"/>
    <x v="1"/>
  </r>
  <r>
    <x v="363"/>
    <n v="28.8"/>
    <x v="250"/>
    <x v="248"/>
    <x v="11"/>
    <n v="2.57"/>
    <n v="0.15659999999999999"/>
    <x v="10"/>
    <n v="6.63"/>
    <n v="1"/>
    <x v="1"/>
    <x v="0"/>
    <x v="12"/>
    <x v="0"/>
    <x v="1"/>
    <x v="0"/>
  </r>
  <r>
    <x v="364"/>
    <n v="28.83"/>
    <x v="251"/>
    <x v="249"/>
    <x v="35"/>
    <n v="3.28"/>
    <n v="0.32179999999999997"/>
    <x v="3"/>
    <n v="6.3"/>
    <n v="1"/>
    <x v="1"/>
    <x v="0"/>
    <x v="12"/>
    <x v="0"/>
    <x v="0"/>
    <x v="0"/>
  </r>
  <r>
    <x v="365"/>
    <n v="28.89"/>
    <x v="252"/>
    <x v="250"/>
    <x v="35"/>
    <n v="2.84"/>
    <n v="0.24199999999999999"/>
    <x v="4"/>
    <n v="6.33"/>
    <n v="1"/>
    <x v="1"/>
    <x v="0"/>
    <x v="12"/>
    <x v="0"/>
    <x v="0"/>
    <x v="0"/>
  </r>
  <r>
    <x v="366"/>
    <n v="29.42"/>
    <x v="253"/>
    <x v="251"/>
    <x v="11"/>
    <n v="3.57"/>
    <n v="0.3382"/>
    <x v="16"/>
    <n v="5.73"/>
    <n v="1"/>
    <x v="1"/>
    <x v="0"/>
    <x v="12"/>
    <x v="1"/>
    <x v="0"/>
    <x v="0"/>
  </r>
  <r>
    <x v="367"/>
    <n v="29.42"/>
    <x v="3"/>
    <x v="3"/>
    <x v="47"/>
    <n v="2.68"/>
    <n v="0.25259999999999999"/>
    <x v="0"/>
    <n v="7.4"/>
    <n v="0"/>
    <x v="1"/>
    <x v="0"/>
    <x v="12"/>
    <x v="1"/>
    <x v="2"/>
    <x v="0"/>
  </r>
  <r>
    <x v="368"/>
    <n v="29.42"/>
    <x v="3"/>
    <x v="3"/>
    <x v="20"/>
    <n v="2.7"/>
    <n v="0.151"/>
    <x v="18"/>
    <n v="6.8"/>
    <n v="0"/>
    <x v="1"/>
    <x v="0"/>
    <x v="12"/>
    <x v="0"/>
    <x v="2"/>
    <x v="0"/>
  </r>
  <r>
    <x v="369"/>
    <n v="29.43"/>
    <x v="254"/>
    <x v="252"/>
    <x v="13"/>
    <n v="3.28"/>
    <n v="0.33350000000000002"/>
    <x v="3"/>
    <n v="5.4"/>
    <n v="1"/>
    <x v="1"/>
    <x v="0"/>
    <x v="12"/>
    <x v="0"/>
    <x v="0"/>
    <x v="0"/>
  </r>
  <r>
    <x v="370"/>
    <n v="29.86"/>
    <x v="255"/>
    <x v="253"/>
    <x v="24"/>
    <n v="3.19"/>
    <n v="0.30559999999999998"/>
    <x v="5"/>
    <n v="6.12"/>
    <n v="1"/>
    <x v="1"/>
    <x v="0"/>
    <x v="12"/>
    <x v="0"/>
    <x v="0"/>
    <x v="0"/>
  </r>
  <r>
    <x v="371"/>
    <n v="29.16"/>
    <x v="256"/>
    <x v="254"/>
    <x v="42"/>
    <n v="3.3"/>
    <n v="0.21210000000000001"/>
    <x v="0"/>
    <n v="6.75"/>
    <n v="1"/>
    <x v="1"/>
    <x v="0"/>
    <x v="12"/>
    <x v="0"/>
    <x v="1"/>
    <x v="0"/>
  </r>
  <r>
    <x v="372"/>
    <n v="28.66"/>
    <x v="257"/>
    <x v="255"/>
    <x v="35"/>
    <n v="2.96"/>
    <n v="0.23280000000000001"/>
    <x v="0"/>
    <n v="7"/>
    <n v="1"/>
    <x v="1"/>
    <x v="0"/>
    <x v="12"/>
    <x v="0"/>
    <x v="1"/>
    <x v="0"/>
  </r>
  <r>
    <x v="373"/>
    <n v="27.08"/>
    <x v="258"/>
    <x v="256"/>
    <x v="3"/>
    <n v="2.86"/>
    <n v="9.2700000000000005E-2"/>
    <x v="1"/>
    <n v="6.61"/>
    <n v="1"/>
    <x v="1"/>
    <x v="0"/>
    <x v="12"/>
    <x v="1"/>
    <x v="1"/>
    <x v="1"/>
  </r>
  <r>
    <x v="374"/>
    <n v="27.08"/>
    <x v="3"/>
    <x v="3"/>
    <x v="11"/>
    <n v="3.16"/>
    <n v="0.24709999999999999"/>
    <x v="12"/>
    <n v="6.36"/>
    <n v="0"/>
    <x v="1"/>
    <x v="0"/>
    <x v="12"/>
    <x v="1"/>
    <x v="2"/>
    <x v="0"/>
  </r>
  <r>
    <x v="375"/>
    <n v="27.08"/>
    <x v="3"/>
    <x v="3"/>
    <x v="33"/>
    <n v="2.88"/>
    <n v="0.26350000000000001"/>
    <x v="0"/>
    <n v="6.95"/>
    <n v="0"/>
    <x v="1"/>
    <x v="0"/>
    <x v="12"/>
    <x v="0"/>
    <x v="2"/>
    <x v="0"/>
  </r>
  <r>
    <x v="376"/>
    <n v="26.59"/>
    <x v="259"/>
    <x v="257"/>
    <x v="23"/>
    <n v="2.93"/>
    <n v="0.21429999999999999"/>
    <x v="0"/>
    <n v="5.0999999999999996"/>
    <n v="1"/>
    <x v="1"/>
    <x v="0"/>
    <x v="12"/>
    <x v="0"/>
    <x v="1"/>
    <x v="0"/>
  </r>
  <r>
    <x v="377"/>
    <n v="25.46"/>
    <x v="260"/>
    <x v="258"/>
    <x v="40"/>
    <n v="3.3"/>
    <n v="0.29270000000000002"/>
    <x v="4"/>
    <n v="5.6"/>
    <n v="1"/>
    <x v="1"/>
    <x v="0"/>
    <x v="12"/>
    <x v="0"/>
    <x v="1"/>
    <x v="0"/>
  </r>
  <r>
    <x v="378"/>
    <n v="26.48"/>
    <x v="261"/>
    <x v="259"/>
    <x v="5"/>
    <n v="2.73"/>
    <n v="0.18870000000000001"/>
    <x v="14"/>
    <n v="5.63"/>
    <n v="1"/>
    <x v="1"/>
    <x v="0"/>
    <x v="12"/>
    <x v="0"/>
    <x v="0"/>
    <x v="0"/>
  </r>
  <r>
    <x v="379"/>
    <n v="26.33"/>
    <x v="262"/>
    <x v="260"/>
    <x v="41"/>
    <n v="3.12"/>
    <n v="0.31730000000000003"/>
    <x v="10"/>
    <n v="6.82"/>
    <n v="1"/>
    <x v="1"/>
    <x v="0"/>
    <x v="12"/>
    <x v="0"/>
    <x v="1"/>
    <x v="0"/>
  </r>
  <r>
    <x v="380"/>
    <n v="26.31"/>
    <x v="263"/>
    <x v="261"/>
    <x v="4"/>
    <n v="2.89"/>
    <n v="0.1812"/>
    <x v="5"/>
    <n v="5.87"/>
    <n v="1"/>
    <x v="1"/>
    <x v="0"/>
    <x v="12"/>
    <x v="1"/>
    <x v="1"/>
    <x v="0"/>
  </r>
  <r>
    <x v="381"/>
    <n v="26.31"/>
    <x v="3"/>
    <x v="3"/>
    <x v="4"/>
    <n v="2.78"/>
    <n v="0.29820000000000002"/>
    <x v="4"/>
    <n v="5.35"/>
    <n v="0"/>
    <x v="1"/>
    <x v="0"/>
    <x v="12"/>
    <x v="1"/>
    <x v="2"/>
    <x v="0"/>
  </r>
  <r>
    <x v="382"/>
    <n v="26.31"/>
    <x v="3"/>
    <x v="3"/>
    <x v="4"/>
    <n v="2.72"/>
    <n v="0.25130000000000002"/>
    <x v="6"/>
    <m/>
    <n v="0"/>
    <x v="1"/>
    <x v="0"/>
    <x v="12"/>
    <x v="0"/>
    <x v="2"/>
    <x v="0"/>
  </r>
  <r>
    <x v="383"/>
    <n v="26.76"/>
    <x v="264"/>
    <x v="262"/>
    <x v="2"/>
    <n v="3.24"/>
    <n v="0.36919999999999997"/>
    <x v="0"/>
    <m/>
    <n v="1"/>
    <x v="1"/>
    <x v="0"/>
    <x v="12"/>
    <x v="0"/>
    <x v="0"/>
    <x v="0"/>
  </r>
  <r>
    <x v="384"/>
    <n v="26.96"/>
    <x v="265"/>
    <x v="263"/>
    <x v="48"/>
    <n v="3.15"/>
    <n v="0.15429999999999999"/>
    <x v="32"/>
    <n v="6.58"/>
    <n v="1"/>
    <x v="1"/>
    <x v="1"/>
    <x v="13"/>
    <x v="0"/>
    <x v="0"/>
    <x v="0"/>
  </r>
  <r>
    <x v="385"/>
    <n v="26.8"/>
    <x v="266"/>
    <x v="264"/>
    <x v="33"/>
    <n v="2.97"/>
    <n v="0.1867"/>
    <x v="26"/>
    <n v="6.96"/>
    <n v="1"/>
    <x v="1"/>
    <x v="1"/>
    <x v="13"/>
    <x v="0"/>
    <x v="0"/>
    <x v="0"/>
  </r>
  <r>
    <x v="386"/>
    <n v="26.82"/>
    <x v="267"/>
    <x v="265"/>
    <x v="8"/>
    <n v="2.81"/>
    <n v="0.20349999999999999"/>
    <x v="0"/>
    <n v="7.4"/>
    <n v="1"/>
    <x v="1"/>
    <x v="1"/>
    <x v="13"/>
    <x v="0"/>
    <x v="0"/>
    <x v="0"/>
  </r>
  <r>
    <x v="387"/>
    <n v="27.28"/>
    <x v="268"/>
    <x v="266"/>
    <x v="8"/>
    <n v="2.83"/>
    <n v="0.1754"/>
    <x v="18"/>
    <n v="6.73"/>
    <n v="1"/>
    <x v="1"/>
    <x v="1"/>
    <x v="13"/>
    <x v="1"/>
    <x v="0"/>
    <x v="0"/>
  </r>
  <r>
    <x v="388"/>
    <n v="27.28"/>
    <x v="3"/>
    <x v="3"/>
    <x v="4"/>
    <n v="2.85"/>
    <n v="0.22470000000000001"/>
    <x v="4"/>
    <n v="6.93"/>
    <n v="0"/>
    <x v="1"/>
    <x v="1"/>
    <x v="13"/>
    <x v="1"/>
    <x v="2"/>
    <x v="0"/>
  </r>
  <r>
    <x v="389"/>
    <n v="27.28"/>
    <x v="3"/>
    <x v="3"/>
    <x v="12"/>
    <n v="2.72"/>
    <n v="0.37859999999999999"/>
    <x v="3"/>
    <n v="7.4"/>
    <n v="0"/>
    <x v="1"/>
    <x v="1"/>
    <x v="13"/>
    <x v="0"/>
    <x v="2"/>
    <x v="0"/>
  </r>
  <r>
    <x v="390"/>
    <n v="27.45"/>
    <x v="269"/>
    <x v="267"/>
    <x v="34"/>
    <n v="2.95"/>
    <n v="0.2286"/>
    <x v="3"/>
    <n v="7"/>
    <n v="1"/>
    <x v="1"/>
    <x v="1"/>
    <x v="13"/>
    <x v="0"/>
    <x v="0"/>
    <x v="0"/>
  </r>
  <r>
    <x v="391"/>
    <n v="27.07"/>
    <x v="270"/>
    <x v="268"/>
    <x v="42"/>
    <n v="2.7"/>
    <n v="0.23769999999999999"/>
    <x v="0"/>
    <m/>
    <n v="1"/>
    <x v="1"/>
    <x v="1"/>
    <x v="13"/>
    <x v="0"/>
    <x v="1"/>
    <x v="0"/>
  </r>
  <r>
    <x v="392"/>
    <n v="26.75"/>
    <x v="271"/>
    <x v="269"/>
    <x v="19"/>
    <n v="3.07"/>
    <n v="0.3599"/>
    <x v="4"/>
    <n v="5.77"/>
    <n v="1"/>
    <x v="1"/>
    <x v="1"/>
    <x v="13"/>
    <x v="0"/>
    <x v="1"/>
    <x v="0"/>
  </r>
  <r>
    <x v="393"/>
    <n v="28.05"/>
    <x v="272"/>
    <x v="270"/>
    <x v="1"/>
    <n v="3.11"/>
    <n v="0.30659999999999998"/>
    <x v="4"/>
    <n v="6"/>
    <n v="1"/>
    <x v="1"/>
    <x v="1"/>
    <x v="13"/>
    <x v="0"/>
    <x v="0"/>
    <x v="0"/>
  </r>
  <r>
    <x v="394"/>
    <n v="28.29"/>
    <x v="273"/>
    <x v="271"/>
    <x v="4"/>
    <n v="3.13"/>
    <n v="0.24759999999999999"/>
    <x v="11"/>
    <n v="5.8"/>
    <n v="1"/>
    <x v="1"/>
    <x v="1"/>
    <x v="13"/>
    <x v="1"/>
    <x v="1"/>
    <x v="0"/>
  </r>
  <r>
    <x v="395"/>
    <n v="28.29"/>
    <x v="3"/>
    <x v="3"/>
    <x v="8"/>
    <n v="3.15"/>
    <n v="0.24260000000000001"/>
    <x v="6"/>
    <m/>
    <n v="0"/>
    <x v="1"/>
    <x v="1"/>
    <x v="13"/>
    <x v="1"/>
    <x v="2"/>
    <x v="0"/>
  </r>
  <r>
    <x v="396"/>
    <n v="28.29"/>
    <x v="3"/>
    <x v="3"/>
    <x v="41"/>
    <n v="2.44"/>
    <n v="0.23980000000000001"/>
    <x v="0"/>
    <n v="6.75"/>
    <n v="0"/>
    <x v="1"/>
    <x v="1"/>
    <x v="13"/>
    <x v="0"/>
    <x v="2"/>
    <x v="0"/>
  </r>
  <r>
    <x v="397"/>
    <n v="28.55"/>
    <x v="274"/>
    <x v="272"/>
    <x v="10"/>
    <n v="2.74"/>
    <n v="0.29330000000000001"/>
    <x v="3"/>
    <m/>
    <n v="1"/>
    <x v="1"/>
    <x v="1"/>
    <x v="13"/>
    <x v="0"/>
    <x v="0"/>
    <x v="0"/>
  </r>
  <r>
    <x v="398"/>
    <n v="28.42"/>
    <x v="275"/>
    <x v="273"/>
    <x v="4"/>
    <n v="3.07"/>
    <n v="0.1527"/>
    <x v="10"/>
    <n v="6.63"/>
    <n v="1"/>
    <x v="1"/>
    <x v="1"/>
    <x v="13"/>
    <x v="0"/>
    <x v="0"/>
    <x v="0"/>
  </r>
  <r>
    <x v="399"/>
    <n v="28.63"/>
    <x v="276"/>
    <x v="274"/>
    <x v="23"/>
    <n v="2.87"/>
    <n v="0.19450000000000001"/>
    <x v="7"/>
    <n v="6.78"/>
    <n v="1"/>
    <x v="1"/>
    <x v="1"/>
    <x v="13"/>
    <x v="0"/>
    <x v="0"/>
    <x v="0"/>
  </r>
  <r>
    <x v="400"/>
    <n v="29.33"/>
    <x v="277"/>
    <x v="275"/>
    <x v="28"/>
    <n v="3.43"/>
    <n v="0.34110000000000001"/>
    <x v="4"/>
    <n v="6.3"/>
    <n v="1"/>
    <x v="1"/>
    <x v="1"/>
    <x v="13"/>
    <x v="0"/>
    <x v="1"/>
    <x v="0"/>
  </r>
  <r>
    <x v="401"/>
    <n v="27.53"/>
    <x v="278"/>
    <x v="276"/>
    <x v="3"/>
    <n v="3.3"/>
    <n v="0.36049999999999999"/>
    <x v="33"/>
    <n v="6.54"/>
    <n v="1"/>
    <x v="1"/>
    <x v="1"/>
    <x v="13"/>
    <x v="1"/>
    <x v="1"/>
    <x v="0"/>
  </r>
  <r>
    <x v="402"/>
    <n v="27.53"/>
    <x v="3"/>
    <x v="3"/>
    <x v="28"/>
    <n v="3.14"/>
    <n v="0.38890000000000002"/>
    <x v="4"/>
    <n v="6.95"/>
    <n v="0"/>
    <x v="1"/>
    <x v="1"/>
    <x v="13"/>
    <x v="1"/>
    <x v="2"/>
    <x v="0"/>
  </r>
  <r>
    <x v="403"/>
    <n v="27.53"/>
    <x v="3"/>
    <x v="3"/>
    <x v="32"/>
    <n v="3.27"/>
    <n v="0.20499999999999999"/>
    <x v="6"/>
    <m/>
    <n v="0"/>
    <x v="1"/>
    <x v="1"/>
    <x v="13"/>
    <x v="0"/>
    <x v="2"/>
    <x v="0"/>
  </r>
  <r>
    <x v="404"/>
    <n v="27.81"/>
    <x v="279"/>
    <x v="277"/>
    <x v="41"/>
    <n v="3.17"/>
    <n v="0.3417"/>
    <x v="3"/>
    <n v="6.3"/>
    <n v="1"/>
    <x v="1"/>
    <x v="1"/>
    <x v="13"/>
    <x v="0"/>
    <x v="0"/>
    <x v="0"/>
  </r>
  <r>
    <x v="405"/>
    <n v="26.67"/>
    <x v="280"/>
    <x v="278"/>
    <x v="12"/>
    <n v="3.62"/>
    <n v="0.45169999999999999"/>
    <x v="5"/>
    <n v="6.15"/>
    <n v="1"/>
    <x v="1"/>
    <x v="1"/>
    <x v="13"/>
    <x v="0"/>
    <x v="1"/>
    <x v="0"/>
  </r>
  <r>
    <x v="406"/>
    <n v="27.13"/>
    <x v="281"/>
    <x v="279"/>
    <x v="16"/>
    <n v="2.5299999999999998"/>
    <n v="0.31069999999999998"/>
    <x v="10"/>
    <n v="6.6"/>
    <n v="1"/>
    <x v="1"/>
    <x v="1"/>
    <x v="13"/>
    <x v="0"/>
    <x v="0"/>
    <x v="0"/>
  </r>
  <r>
    <x v="407"/>
    <n v="27.15"/>
    <x v="282"/>
    <x v="280"/>
    <x v="7"/>
    <n v="2.94"/>
    <n v="0.248"/>
    <x v="4"/>
    <n v="7"/>
    <n v="1"/>
    <x v="1"/>
    <x v="1"/>
    <x v="13"/>
    <x v="0"/>
    <x v="1"/>
    <x v="0"/>
  </r>
  <r>
    <x v="408"/>
    <n v="27.68"/>
    <x v="283"/>
    <x v="281"/>
    <x v="16"/>
    <n v="3.37"/>
    <n v="0.36759999999999998"/>
    <x v="9"/>
    <n v="6.61"/>
    <n v="1"/>
    <x v="1"/>
    <x v="1"/>
    <x v="13"/>
    <x v="1"/>
    <x v="0"/>
    <x v="0"/>
  </r>
  <r>
    <x v="409"/>
    <n v="27.68"/>
    <x v="3"/>
    <x v="3"/>
    <x v="11"/>
    <n v="3.16"/>
    <n v="0.19839999999999999"/>
    <x v="0"/>
    <n v="6.35"/>
    <n v="0"/>
    <x v="1"/>
    <x v="1"/>
    <x v="13"/>
    <x v="1"/>
    <x v="2"/>
    <x v="0"/>
  </r>
  <r>
    <x v="410"/>
    <n v="27.68"/>
    <x v="3"/>
    <x v="3"/>
    <x v="32"/>
    <n v="3.12"/>
    <n v="0.29909999999999998"/>
    <x v="3"/>
    <n v="7.7"/>
    <n v="0"/>
    <x v="1"/>
    <x v="1"/>
    <x v="13"/>
    <x v="0"/>
    <x v="2"/>
    <x v="0"/>
  </r>
  <r>
    <x v="411"/>
    <n v="28.19"/>
    <x v="284"/>
    <x v="282"/>
    <x v="11"/>
    <n v="3.24"/>
    <n v="0.27210000000000001"/>
    <x v="0"/>
    <m/>
    <n v="1"/>
    <x v="1"/>
    <x v="1"/>
    <x v="13"/>
    <x v="0"/>
    <x v="0"/>
    <x v="0"/>
  </r>
  <r>
    <x v="412"/>
    <n v="28.12"/>
    <x v="285"/>
    <x v="283"/>
    <x v="33"/>
    <n v="3.62"/>
    <n v="0.36330000000000001"/>
    <x v="4"/>
    <n v="7.4"/>
    <n v="1"/>
    <x v="1"/>
    <x v="1"/>
    <x v="13"/>
    <x v="0"/>
    <x v="1"/>
    <x v="0"/>
  </r>
  <r>
    <x v="413"/>
    <n v="29.15"/>
    <x v="286"/>
    <x v="284"/>
    <x v="35"/>
    <n v="2.88"/>
    <n v="0.33489999999999998"/>
    <x v="10"/>
    <n v="7.05"/>
    <n v="1"/>
    <x v="1"/>
    <x v="1"/>
    <x v="13"/>
    <x v="0"/>
    <x v="0"/>
    <x v="0"/>
  </r>
  <r>
    <x v="414"/>
    <n v="28.74"/>
    <x v="287"/>
    <x v="285"/>
    <x v="11"/>
    <n v="3.31"/>
    <n v="0.34"/>
    <x v="12"/>
    <n v="6.87"/>
    <n v="1"/>
    <x v="1"/>
    <x v="1"/>
    <x v="13"/>
    <x v="0"/>
    <x v="1"/>
    <x v="0"/>
  </r>
  <r>
    <x v="415"/>
    <n v="28.68"/>
    <x v="288"/>
    <x v="286"/>
    <x v="10"/>
    <n v="3.15"/>
    <n v="0.2235"/>
    <x v="34"/>
    <n v="6.66"/>
    <n v="1"/>
    <x v="1"/>
    <x v="2"/>
    <x v="14"/>
    <x v="1"/>
    <x v="1"/>
    <x v="0"/>
  </r>
  <r>
    <x v="416"/>
    <n v="28.68"/>
    <x v="3"/>
    <x v="3"/>
    <x v="21"/>
    <n v="3.05"/>
    <n v="0.24360000000000001"/>
    <x v="27"/>
    <n v="5.32"/>
    <n v="0"/>
    <x v="1"/>
    <x v="2"/>
    <x v="14"/>
    <x v="1"/>
    <x v="2"/>
    <x v="0"/>
  </r>
  <r>
    <x v="417"/>
    <n v="28.68"/>
    <x v="3"/>
    <x v="3"/>
    <x v="25"/>
    <n v="3.56"/>
    <n v="0.40810000000000002"/>
    <x v="3"/>
    <n v="6.2"/>
    <n v="0"/>
    <x v="1"/>
    <x v="2"/>
    <x v="14"/>
    <x v="0"/>
    <x v="2"/>
    <x v="0"/>
  </r>
  <r>
    <x v="418"/>
    <n v="29.29"/>
    <x v="289"/>
    <x v="287"/>
    <x v="28"/>
    <n v="2.5299999999999998"/>
    <n v="0.33929999999999999"/>
    <x v="11"/>
    <n v="7.15"/>
    <n v="1"/>
    <x v="1"/>
    <x v="2"/>
    <x v="14"/>
    <x v="0"/>
    <x v="0"/>
    <x v="0"/>
  </r>
  <r>
    <x v="419"/>
    <n v="28.8"/>
    <x v="290"/>
    <x v="288"/>
    <x v="35"/>
    <n v="3.04"/>
    <n v="0.1484"/>
    <x v="14"/>
    <n v="5.34"/>
    <n v="1"/>
    <x v="1"/>
    <x v="2"/>
    <x v="14"/>
    <x v="0"/>
    <x v="1"/>
    <x v="0"/>
  </r>
  <r>
    <x v="420"/>
    <n v="28.86"/>
    <x v="291"/>
    <x v="289"/>
    <x v="20"/>
    <n v="3.25"/>
    <n v="0.2838"/>
    <x v="4"/>
    <n v="6.27"/>
    <n v="1"/>
    <x v="1"/>
    <x v="2"/>
    <x v="14"/>
    <x v="0"/>
    <x v="0"/>
    <x v="0"/>
  </r>
  <r>
    <x v="421"/>
    <n v="28.96"/>
    <x v="292"/>
    <x v="84"/>
    <x v="36"/>
    <n v="3.31"/>
    <n v="0.40839999999999999"/>
    <x v="3"/>
    <n v="7.4"/>
    <n v="1"/>
    <x v="1"/>
    <x v="2"/>
    <x v="14"/>
    <x v="0"/>
    <x v="1"/>
    <x v="0"/>
  </r>
  <r>
    <x v="422"/>
    <n v="29.16"/>
    <x v="293"/>
    <x v="290"/>
    <x v="8"/>
    <n v="3.12"/>
    <n v="0.31480000000000002"/>
    <x v="7"/>
    <n v="7.18"/>
    <n v="1"/>
    <x v="1"/>
    <x v="2"/>
    <x v="14"/>
    <x v="1"/>
    <x v="0"/>
    <x v="0"/>
  </r>
  <r>
    <x v="423"/>
    <n v="29.16"/>
    <x v="3"/>
    <x v="3"/>
    <x v="31"/>
    <n v="2.82"/>
    <n v="0.2853"/>
    <x v="3"/>
    <m/>
    <n v="0"/>
    <x v="1"/>
    <x v="2"/>
    <x v="14"/>
    <x v="1"/>
    <x v="2"/>
    <x v="0"/>
  </r>
  <r>
    <x v="424"/>
    <n v="29.16"/>
    <x v="3"/>
    <x v="3"/>
    <x v="42"/>
    <n v="3.3"/>
    <n v="0.21959999999999999"/>
    <x v="6"/>
    <m/>
    <n v="0"/>
    <x v="1"/>
    <x v="2"/>
    <x v="14"/>
    <x v="0"/>
    <x v="2"/>
    <x v="0"/>
  </r>
  <r>
    <x v="425"/>
    <n v="29.42"/>
    <x v="294"/>
    <x v="291"/>
    <x v="12"/>
    <n v="3.28"/>
    <n v="0.31419999999999998"/>
    <x v="10"/>
    <n v="7.3"/>
    <n v="1"/>
    <x v="1"/>
    <x v="2"/>
    <x v="14"/>
    <x v="0"/>
    <x v="0"/>
    <x v="0"/>
  </r>
  <r>
    <x v="426"/>
    <n v="29.2"/>
    <x v="295"/>
    <x v="292"/>
    <x v="12"/>
    <n v="3.06"/>
    <n v="0.31309999999999999"/>
    <x v="0"/>
    <n v="7.7"/>
    <n v="1"/>
    <x v="1"/>
    <x v="2"/>
    <x v="14"/>
    <x v="0"/>
    <x v="1"/>
    <x v="0"/>
  </r>
  <r>
    <x v="427"/>
    <n v="28.31"/>
    <x v="296"/>
    <x v="293"/>
    <x v="28"/>
    <n v="3.49"/>
    <n v="0.34229999999999999"/>
    <x v="3"/>
    <n v="7.2"/>
    <n v="1"/>
    <x v="1"/>
    <x v="2"/>
    <x v="14"/>
    <x v="0"/>
    <x v="1"/>
    <x v="0"/>
  </r>
  <r>
    <x v="428"/>
    <n v="28.96"/>
    <x v="297"/>
    <x v="294"/>
    <x v="12"/>
    <n v="3.64"/>
    <n v="0.35630000000000001"/>
    <x v="4"/>
    <n v="5.4"/>
    <n v="1"/>
    <x v="1"/>
    <x v="2"/>
    <x v="14"/>
    <x v="0"/>
    <x v="0"/>
    <x v="0"/>
  </r>
  <r>
    <x v="429"/>
    <n v="29.5"/>
    <x v="298"/>
    <x v="295"/>
    <x v="1"/>
    <n v="3.81"/>
    <n v="0.47539999999999999"/>
    <x v="33"/>
    <n v="6.78"/>
    <n v="1"/>
    <x v="1"/>
    <x v="2"/>
    <x v="14"/>
    <x v="1"/>
    <x v="0"/>
    <x v="0"/>
  </r>
  <r>
    <x v="430"/>
    <n v="29.5"/>
    <x v="3"/>
    <x v="3"/>
    <x v="34"/>
    <n v="3.21"/>
    <n v="0.31530000000000002"/>
    <x v="10"/>
    <n v="5.77"/>
    <n v="0"/>
    <x v="1"/>
    <x v="2"/>
    <x v="14"/>
    <x v="1"/>
    <x v="2"/>
    <x v="0"/>
  </r>
  <r>
    <x v="431"/>
    <n v="29.5"/>
    <x v="3"/>
    <x v="3"/>
    <x v="41"/>
    <n v="3.59"/>
    <n v="0.23219999999999999"/>
    <x v="3"/>
    <n v="5.5"/>
    <n v="0"/>
    <x v="1"/>
    <x v="2"/>
    <x v="14"/>
    <x v="0"/>
    <x v="2"/>
    <x v="0"/>
  </r>
  <r>
    <x v="432"/>
    <n v="30.26"/>
    <x v="299"/>
    <x v="296"/>
    <x v="26"/>
    <n v="3.33"/>
    <n v="0.32379999999999998"/>
    <x v="6"/>
    <m/>
    <n v="1"/>
    <x v="1"/>
    <x v="2"/>
    <x v="14"/>
    <x v="0"/>
    <x v="0"/>
    <x v="0"/>
  </r>
  <r>
    <x v="433"/>
    <n v="30.26"/>
    <x v="300"/>
    <x v="297"/>
    <x v="13"/>
    <n v="3.45"/>
    <n v="0.41670000000000001"/>
    <x v="4"/>
    <n v="6.35"/>
    <n v="1"/>
    <x v="1"/>
    <x v="2"/>
    <x v="14"/>
    <x v="0"/>
    <x v="1"/>
    <x v="0"/>
  </r>
  <r>
    <x v="434"/>
    <n v="30.52"/>
    <x v="301"/>
    <x v="298"/>
    <x v="41"/>
    <n v="3.54"/>
    <n v="0.41739999999999999"/>
    <x v="22"/>
    <n v="6.48"/>
    <n v="1"/>
    <x v="1"/>
    <x v="2"/>
    <x v="14"/>
    <x v="0"/>
    <x v="0"/>
    <x v="0"/>
  </r>
  <r>
    <x v="435"/>
    <n v="31.17"/>
    <x v="302"/>
    <x v="299"/>
    <x v="52"/>
    <n v="2.56"/>
    <n v="0.1221"/>
    <x v="4"/>
    <n v="6.27"/>
    <n v="1"/>
    <x v="1"/>
    <x v="2"/>
    <x v="14"/>
    <x v="0"/>
    <x v="0"/>
    <x v="0"/>
  </r>
  <r>
    <x v="436"/>
    <n v="31.05"/>
    <x v="303"/>
    <x v="300"/>
    <x v="28"/>
    <n v="3.33"/>
    <n v="0.2389"/>
    <x v="1"/>
    <n v="6.93"/>
    <n v="1"/>
    <x v="1"/>
    <x v="2"/>
    <x v="14"/>
    <x v="1"/>
    <x v="0"/>
    <x v="0"/>
  </r>
  <r>
    <x v="437"/>
    <n v="31.05"/>
    <x v="3"/>
    <x v="3"/>
    <x v="12"/>
    <n v="3.34"/>
    <n v="0.26579999999999998"/>
    <x v="12"/>
    <n v="6.86"/>
    <n v="0"/>
    <x v="1"/>
    <x v="2"/>
    <x v="14"/>
    <x v="1"/>
    <x v="2"/>
    <x v="0"/>
  </r>
  <r>
    <x v="438"/>
    <n v="31.05"/>
    <x v="3"/>
    <x v="3"/>
    <x v="20"/>
    <n v="3.96"/>
    <n v="0.44779999999999998"/>
    <x v="10"/>
    <n v="6.45"/>
    <n v="0"/>
    <x v="1"/>
    <x v="2"/>
    <x v="14"/>
    <x v="0"/>
    <x v="2"/>
    <x v="0"/>
  </r>
  <r>
    <x v="439"/>
    <n v="31.56"/>
    <x v="304"/>
    <x v="301"/>
    <x v="8"/>
    <n v="2.96"/>
    <n v="0.28649999999999998"/>
    <x v="4"/>
    <n v="5.8"/>
    <n v="1"/>
    <x v="1"/>
    <x v="2"/>
    <x v="14"/>
    <x v="0"/>
    <x v="0"/>
    <x v="0"/>
  </r>
  <r>
    <x v="440"/>
    <n v="31.25"/>
    <x v="305"/>
    <x v="302"/>
    <x v="20"/>
    <n v="3.25"/>
    <n v="0.28760000000000002"/>
    <x v="12"/>
    <n v="5.5"/>
    <n v="1"/>
    <x v="1"/>
    <x v="2"/>
    <x v="14"/>
    <x v="0"/>
    <x v="1"/>
    <x v="0"/>
  </r>
  <r>
    <x v="441"/>
    <n v="31.59"/>
    <x v="306"/>
    <x v="303"/>
    <x v="42"/>
    <n v="3.17"/>
    <n v="0.28160000000000002"/>
    <x v="5"/>
    <n v="7.16"/>
    <n v="1"/>
    <x v="1"/>
    <x v="2"/>
    <x v="14"/>
    <x v="1"/>
    <x v="0"/>
    <x v="0"/>
  </r>
  <r>
    <x v="442"/>
    <n v="31.59"/>
    <x v="3"/>
    <x v="3"/>
    <x v="26"/>
    <n v="3.02"/>
    <n v="0.27589999999999998"/>
    <x v="5"/>
    <n v="6.08"/>
    <n v="0"/>
    <x v="1"/>
    <x v="2"/>
    <x v="14"/>
    <x v="0"/>
    <x v="2"/>
    <x v="0"/>
  </r>
  <r>
    <x v="443"/>
    <n v="31.47"/>
    <x v="307"/>
    <x v="304"/>
    <x v="3"/>
    <n v="3.16"/>
    <n v="0.28789999999999999"/>
    <x v="26"/>
    <n v="6.16"/>
    <n v="1"/>
    <x v="1"/>
    <x v="2"/>
    <x v="14"/>
    <x v="1"/>
    <x v="1"/>
    <x v="0"/>
  </r>
  <r>
    <x v="444"/>
    <n v="31.47"/>
    <x v="3"/>
    <x v="3"/>
    <x v="40"/>
    <n v="3.77"/>
    <n v="0.4859"/>
    <x v="4"/>
    <n v="6.17"/>
    <n v="0"/>
    <x v="1"/>
    <x v="2"/>
    <x v="14"/>
    <x v="1"/>
    <x v="2"/>
    <x v="0"/>
  </r>
  <r>
    <x v="445"/>
    <n v="31.47"/>
    <x v="3"/>
    <x v="3"/>
    <x v="23"/>
    <n v="3.31"/>
    <n v="0.35460000000000003"/>
    <x v="35"/>
    <n v="6.7"/>
    <n v="0"/>
    <x v="1"/>
    <x v="3"/>
    <x v="15"/>
    <x v="0"/>
    <x v="2"/>
    <x v="0"/>
  </r>
  <r>
    <x v="446"/>
    <n v="31"/>
    <x v="308"/>
    <x v="305"/>
    <x v="7"/>
    <n v="3.03"/>
    <n v="0.23980000000000001"/>
    <x v="3"/>
    <n v="5.8"/>
    <n v="1"/>
    <x v="1"/>
    <x v="3"/>
    <x v="15"/>
    <x v="0"/>
    <x v="1"/>
    <x v="0"/>
  </r>
  <r>
    <x v="447"/>
    <n v="30.62"/>
    <x v="309"/>
    <x v="306"/>
    <x v="41"/>
    <n v="3.27"/>
    <n v="0.3523"/>
    <x v="10"/>
    <n v="5.93"/>
    <n v="1"/>
    <x v="1"/>
    <x v="3"/>
    <x v="15"/>
    <x v="0"/>
    <x v="0"/>
    <x v="0"/>
  </r>
  <r>
    <x v="448"/>
    <n v="30.43"/>
    <x v="310"/>
    <x v="24"/>
    <x v="19"/>
    <n v="3.23"/>
    <n v="0.24"/>
    <x v="4"/>
    <n v="7"/>
    <n v="1"/>
    <x v="1"/>
    <x v="3"/>
    <x v="15"/>
    <x v="0"/>
    <x v="1"/>
    <x v="0"/>
  </r>
  <r>
    <x v="449"/>
    <n v="30.29"/>
    <x v="311"/>
    <x v="307"/>
    <x v="21"/>
    <n v="3.27"/>
    <n v="0.3634"/>
    <x v="4"/>
    <n v="5.4"/>
    <n v="1"/>
    <x v="1"/>
    <x v="3"/>
    <x v="15"/>
    <x v="0"/>
    <x v="1"/>
    <x v="0"/>
  </r>
  <r>
    <x v="450"/>
    <n v="30.74"/>
    <x v="312"/>
    <x v="308"/>
    <x v="14"/>
    <n v="3.32"/>
    <n v="0.26600000000000001"/>
    <x v="2"/>
    <n v="6.76"/>
    <n v="1"/>
    <x v="1"/>
    <x v="3"/>
    <x v="15"/>
    <x v="1"/>
    <x v="0"/>
    <x v="0"/>
  </r>
  <r>
    <x v="451"/>
    <n v="30.74"/>
    <x v="3"/>
    <x v="3"/>
    <x v="45"/>
    <n v="3.07"/>
    <n v="0.27150000000000002"/>
    <x v="0"/>
    <n v="4.4000000000000004"/>
    <n v="0"/>
    <x v="1"/>
    <x v="3"/>
    <x v="15"/>
    <x v="1"/>
    <x v="2"/>
    <x v="0"/>
  </r>
  <r>
    <x v="452"/>
    <n v="30.74"/>
    <x v="3"/>
    <x v="3"/>
    <x v="34"/>
    <n v="3.3"/>
    <n v="0.41639999999999999"/>
    <x v="3"/>
    <n v="5.0999999999999996"/>
    <n v="0"/>
    <x v="1"/>
    <x v="3"/>
    <x v="15"/>
    <x v="0"/>
    <x v="2"/>
    <x v="0"/>
  </r>
  <r>
    <x v="453"/>
    <n v="30.25"/>
    <x v="313"/>
    <x v="309"/>
    <x v="3"/>
    <n v="3.43"/>
    <n v="0.32329999999999998"/>
    <x v="0"/>
    <n v="6.1"/>
    <n v="1"/>
    <x v="1"/>
    <x v="3"/>
    <x v="15"/>
    <x v="0"/>
    <x v="1"/>
    <x v="0"/>
  </r>
  <r>
    <x v="454"/>
    <n v="29.31"/>
    <x v="314"/>
    <x v="141"/>
    <x v="28"/>
    <n v="2.98"/>
    <n v="0.245"/>
    <x v="4"/>
    <n v="4"/>
    <n v="1"/>
    <x v="1"/>
    <x v="3"/>
    <x v="15"/>
    <x v="0"/>
    <x v="1"/>
    <x v="0"/>
  </r>
  <r>
    <x v="455"/>
    <n v="29.89"/>
    <x v="315"/>
    <x v="310"/>
    <x v="4"/>
    <n v="3.09"/>
    <n v="0.36849999999999999"/>
    <x v="3"/>
    <n v="7.6"/>
    <n v="1"/>
    <x v="1"/>
    <x v="3"/>
    <x v="15"/>
    <x v="0"/>
    <x v="0"/>
    <x v="0"/>
  </r>
  <r>
    <x v="456"/>
    <n v="29.84"/>
    <x v="316"/>
    <x v="311"/>
    <x v="17"/>
    <n v="3.73"/>
    <n v="0.42430000000000001"/>
    <x v="3"/>
    <m/>
    <n v="1"/>
    <x v="1"/>
    <x v="3"/>
    <x v="15"/>
    <x v="0"/>
    <x v="0"/>
    <x v="0"/>
  </r>
  <r>
    <x v="457"/>
    <n v="29.85"/>
    <x v="317"/>
    <x v="3"/>
    <x v="28"/>
    <n v="3.39"/>
    <n v="0.33929999999999999"/>
    <x v="14"/>
    <n v="4.97"/>
    <n v="1"/>
    <x v="1"/>
    <x v="3"/>
    <x v="15"/>
    <x v="1"/>
    <x v="2"/>
    <x v="0"/>
  </r>
  <r>
    <x v="458"/>
    <n v="29.85"/>
    <x v="3"/>
    <x v="3"/>
    <x v="10"/>
    <n v="3.23"/>
    <n v="0.39369999999999999"/>
    <x v="6"/>
    <m/>
    <n v="0"/>
    <x v="1"/>
    <x v="3"/>
    <x v="15"/>
    <x v="1"/>
    <x v="2"/>
    <x v="0"/>
  </r>
  <r>
    <x v="459"/>
    <n v="29.85"/>
    <x v="3"/>
    <x v="3"/>
    <x v="8"/>
    <n v="3.31"/>
    <n v="0.19159999999999999"/>
    <x v="17"/>
    <n v="6.81"/>
    <n v="0"/>
    <x v="1"/>
    <x v="3"/>
    <x v="15"/>
    <x v="0"/>
    <x v="2"/>
    <x v="0"/>
  </r>
  <r>
    <x v="460"/>
    <n v="30.42"/>
    <x v="318"/>
    <x v="312"/>
    <x v="8"/>
    <n v="3.58"/>
    <n v="0.36930000000000002"/>
    <x v="4"/>
    <n v="6.83"/>
    <n v="1"/>
    <x v="1"/>
    <x v="3"/>
    <x v="15"/>
    <x v="0"/>
    <x v="0"/>
    <x v="0"/>
  </r>
  <r>
    <x v="461"/>
    <n v="31.55"/>
    <x v="319"/>
    <x v="313"/>
    <x v="12"/>
    <n v="3.23"/>
    <n v="0.30869999999999997"/>
    <x v="3"/>
    <m/>
    <n v="1"/>
    <x v="1"/>
    <x v="3"/>
    <x v="15"/>
    <x v="0"/>
    <x v="0"/>
    <x v="0"/>
  </r>
  <r>
    <x v="462"/>
    <n v="32.08"/>
    <x v="320"/>
    <x v="314"/>
    <x v="27"/>
    <n v="3.47"/>
    <n v="0.36199999999999999"/>
    <x v="0"/>
    <n v="7.4"/>
    <n v="1"/>
    <x v="1"/>
    <x v="3"/>
    <x v="15"/>
    <x v="0"/>
    <x v="0"/>
    <x v="0"/>
  </r>
  <r>
    <x v="463"/>
    <n v="33.22"/>
    <x v="321"/>
    <x v="315"/>
    <x v="28"/>
    <n v="3.31"/>
    <n v="0.39069999999999999"/>
    <x v="4"/>
    <n v="6.2"/>
    <n v="1"/>
    <x v="1"/>
    <x v="3"/>
    <x v="15"/>
    <x v="0"/>
    <x v="0"/>
    <x v="0"/>
  </r>
  <r>
    <x v="464"/>
    <n v="33.69"/>
    <x v="322"/>
    <x v="316"/>
    <x v="12"/>
    <n v="3.09"/>
    <n v="8.3199999999999996E-2"/>
    <x v="7"/>
    <n v="7.56"/>
    <n v="1"/>
    <x v="1"/>
    <x v="3"/>
    <x v="15"/>
    <x v="1"/>
    <x v="0"/>
    <x v="1"/>
  </r>
  <r>
    <x v="465"/>
    <n v="33.69"/>
    <x v="3"/>
    <x v="3"/>
    <x v="20"/>
    <n v="3.14"/>
    <n v="0.22720000000000001"/>
    <x v="0"/>
    <n v="5.7"/>
    <n v="0"/>
    <x v="1"/>
    <x v="3"/>
    <x v="15"/>
    <x v="1"/>
    <x v="2"/>
    <x v="0"/>
  </r>
  <r>
    <x v="466"/>
    <n v="33.69"/>
    <x v="3"/>
    <x v="3"/>
    <x v="23"/>
    <n v="3.13"/>
    <n v="0.1394"/>
    <x v="0"/>
    <n v="3.6"/>
    <n v="0"/>
    <x v="1"/>
    <x v="3"/>
    <x v="15"/>
    <x v="0"/>
    <x v="2"/>
    <x v="0"/>
  </r>
  <r>
    <x v="467"/>
    <n v="33.31"/>
    <x v="323"/>
    <x v="317"/>
    <x v="45"/>
    <n v="3.17"/>
    <n v="0.32679999999999998"/>
    <x v="6"/>
    <m/>
    <n v="1"/>
    <x v="1"/>
    <x v="3"/>
    <x v="15"/>
    <x v="0"/>
    <x v="1"/>
    <x v="0"/>
  </r>
  <r>
    <x v="468"/>
    <n v="33.32"/>
    <x v="324"/>
    <x v="318"/>
    <x v="19"/>
    <n v="3.37"/>
    <n v="0.37569999999999998"/>
    <x v="10"/>
    <n v="7.33"/>
    <n v="1"/>
    <x v="1"/>
    <x v="3"/>
    <x v="15"/>
    <x v="1"/>
    <x v="1"/>
    <x v="0"/>
  </r>
  <r>
    <x v="469"/>
    <n v="33.32"/>
    <x v="3"/>
    <x v="3"/>
    <x v="22"/>
    <n v="3.31"/>
    <n v="0.31469999999999998"/>
    <x v="5"/>
    <n v="5.38"/>
    <n v="0"/>
    <x v="1"/>
    <x v="3"/>
    <x v="15"/>
    <x v="0"/>
    <x v="2"/>
    <x v="0"/>
  </r>
  <r>
    <x v="470"/>
    <n v="33.26"/>
    <x v="325"/>
    <x v="319"/>
    <x v="23"/>
    <n v="3.4"/>
    <n v="0.36720000000000003"/>
    <x v="4"/>
    <n v="6.2"/>
    <n v="1"/>
    <x v="1"/>
    <x v="3"/>
    <x v="15"/>
    <x v="0"/>
    <x v="1"/>
    <x v="0"/>
  </r>
  <r>
    <x v="471"/>
    <n v="32.909999999999997"/>
    <x v="326"/>
    <x v="320"/>
    <x v="25"/>
    <n v="3.27"/>
    <n v="0.31169999999999998"/>
    <x v="12"/>
    <n v="5.62"/>
    <n v="1"/>
    <x v="1"/>
    <x v="3"/>
    <x v="15"/>
    <x v="1"/>
    <x v="1"/>
    <x v="0"/>
  </r>
  <r>
    <x v="472"/>
    <n v="32.909999999999997"/>
    <x v="3"/>
    <x v="3"/>
    <x v="50"/>
    <n v="3.25"/>
    <n v="0.37190000000000001"/>
    <x v="3"/>
    <n v="4.4000000000000004"/>
    <n v="0"/>
    <x v="1"/>
    <x v="3"/>
    <x v="15"/>
    <x v="1"/>
    <x v="2"/>
    <x v="0"/>
  </r>
  <r>
    <x v="473"/>
    <n v="32.909999999999997"/>
    <x v="3"/>
    <x v="3"/>
    <x v="48"/>
    <n v="3.46"/>
    <n v="0.46739999999999998"/>
    <x v="3"/>
    <n v="7.2"/>
    <n v="0"/>
    <x v="1"/>
    <x v="3"/>
    <x v="15"/>
    <x v="0"/>
    <x v="2"/>
    <x v="0"/>
  </r>
  <r>
    <x v="474"/>
    <n v="32.33"/>
    <x v="327"/>
    <x v="321"/>
    <x v="48"/>
    <n v="3.46"/>
    <n v="0.4073"/>
    <x v="3"/>
    <n v="7.9"/>
    <n v="1"/>
    <x v="1"/>
    <x v="3"/>
    <x v="15"/>
    <x v="0"/>
    <x v="1"/>
    <x v="0"/>
  </r>
  <r>
    <x v="475"/>
    <n v="32.36"/>
    <x v="328"/>
    <x v="322"/>
    <x v="34"/>
    <n v="3.41"/>
    <n v="0.43459999999999999"/>
    <x v="36"/>
    <n v="6.57"/>
    <n v="1"/>
    <x v="1"/>
    <x v="3"/>
    <x v="15"/>
    <x v="1"/>
    <x v="0"/>
    <x v="0"/>
  </r>
  <r>
    <x v="476"/>
    <n v="32.36"/>
    <x v="3"/>
    <x v="3"/>
    <x v="42"/>
    <n v="3.5"/>
    <n v="0.38279999999999997"/>
    <x v="37"/>
    <n v="6.76"/>
    <n v="0"/>
    <x v="2"/>
    <x v="4"/>
    <x v="16"/>
    <x v="0"/>
    <x v="2"/>
    <x v="0"/>
  </r>
  <r>
    <x v="477"/>
    <n v="32.979999999999997"/>
    <x v="329"/>
    <x v="323"/>
    <x v="31"/>
    <n v="3.72"/>
    <n v="0.55200000000000005"/>
    <x v="4"/>
    <n v="6.13"/>
    <n v="1"/>
    <x v="2"/>
    <x v="4"/>
    <x v="16"/>
    <x v="0"/>
    <x v="0"/>
    <x v="0"/>
  </r>
  <r>
    <x v="478"/>
    <n v="32.590000000000003"/>
    <x v="330"/>
    <x v="324"/>
    <x v="53"/>
    <n v="3.56"/>
    <n v="0.4602"/>
    <x v="10"/>
    <n v="6.5"/>
    <n v="1"/>
    <x v="2"/>
    <x v="4"/>
    <x v="16"/>
    <x v="1"/>
    <x v="1"/>
    <x v="0"/>
  </r>
  <r>
    <x v="479"/>
    <n v="32.590000000000003"/>
    <x v="3"/>
    <x v="3"/>
    <x v="33"/>
    <n v="3.28"/>
    <n v="0.25369999999999998"/>
    <x v="3"/>
    <n v="6.8"/>
    <n v="0"/>
    <x v="2"/>
    <x v="4"/>
    <x v="16"/>
    <x v="1"/>
    <x v="2"/>
    <x v="0"/>
  </r>
  <r>
    <x v="480"/>
    <n v="32.590000000000003"/>
    <x v="3"/>
    <x v="3"/>
    <x v="33"/>
    <n v="3.22"/>
    <n v="0.31900000000000001"/>
    <x v="6"/>
    <m/>
    <n v="0"/>
    <x v="2"/>
    <x v="4"/>
    <x v="16"/>
    <x v="0"/>
    <x v="2"/>
    <x v="0"/>
  </r>
  <r>
    <x v="481"/>
    <n v="33.58"/>
    <x v="331"/>
    <x v="325"/>
    <x v="11"/>
    <n v="3.43"/>
    <n v="0.32740000000000002"/>
    <x v="6"/>
    <m/>
    <n v="1"/>
    <x v="2"/>
    <x v="4"/>
    <x v="16"/>
    <x v="0"/>
    <x v="0"/>
    <x v="0"/>
  </r>
  <r>
    <x v="482"/>
    <n v="33.08"/>
    <x v="332"/>
    <x v="208"/>
    <x v="1"/>
    <n v="2.78"/>
    <n v="0.248"/>
    <x v="4"/>
    <n v="6.67"/>
    <n v="1"/>
    <x v="2"/>
    <x v="4"/>
    <x v="16"/>
    <x v="0"/>
    <x v="1"/>
    <x v="0"/>
  </r>
  <r>
    <x v="483"/>
    <n v="33.93"/>
    <x v="333"/>
    <x v="326"/>
    <x v="18"/>
    <n v="3.08"/>
    <n v="0.39510000000000001"/>
    <x v="3"/>
    <n v="8"/>
    <n v="1"/>
    <x v="2"/>
    <x v="4"/>
    <x v="16"/>
    <x v="0"/>
    <x v="0"/>
    <x v="0"/>
  </r>
  <r>
    <x v="484"/>
    <n v="33.57"/>
    <x v="334"/>
    <x v="327"/>
    <x v="35"/>
    <n v="3.1"/>
    <n v="0.1767"/>
    <x v="0"/>
    <n v="4.8499999999999996"/>
    <n v="1"/>
    <x v="2"/>
    <x v="4"/>
    <x v="16"/>
    <x v="0"/>
    <x v="1"/>
    <x v="0"/>
  </r>
  <r>
    <x v="485"/>
    <n v="32.9"/>
    <x v="335"/>
    <x v="328"/>
    <x v="19"/>
    <n v="3.44"/>
    <n v="0.32879999999999998"/>
    <x v="1"/>
    <n v="5.64"/>
    <n v="1"/>
    <x v="2"/>
    <x v="4"/>
    <x v="16"/>
    <x v="1"/>
    <x v="1"/>
    <x v="0"/>
  </r>
  <r>
    <x v="486"/>
    <n v="32.9"/>
    <x v="3"/>
    <x v="3"/>
    <x v="25"/>
    <n v="3.1"/>
    <n v="0.3881"/>
    <x v="3"/>
    <n v="4.4000000000000004"/>
    <n v="0"/>
    <x v="2"/>
    <x v="4"/>
    <x v="16"/>
    <x v="1"/>
    <x v="2"/>
    <x v="0"/>
  </r>
  <r>
    <x v="487"/>
    <n v="32.9"/>
    <x v="3"/>
    <x v="3"/>
    <x v="35"/>
    <n v="3.16"/>
    <n v="0.2427"/>
    <x v="0"/>
    <n v="6.3"/>
    <n v="0"/>
    <x v="2"/>
    <x v="4"/>
    <x v="16"/>
    <x v="0"/>
    <x v="2"/>
    <x v="0"/>
  </r>
  <r>
    <x v="488"/>
    <n v="33.89"/>
    <x v="336"/>
    <x v="329"/>
    <x v="28"/>
    <n v="3.14"/>
    <n v="0.29299999999999998"/>
    <x v="0"/>
    <n v="5.9"/>
    <n v="1"/>
    <x v="2"/>
    <x v="4"/>
    <x v="16"/>
    <x v="0"/>
    <x v="0"/>
    <x v="0"/>
  </r>
  <r>
    <x v="489"/>
    <n v="33.869999999999997"/>
    <x v="337"/>
    <x v="330"/>
    <x v="20"/>
    <n v="3.4"/>
    <n v="0.34649999999999997"/>
    <x v="10"/>
    <n v="6.47"/>
    <n v="1"/>
    <x v="2"/>
    <x v="4"/>
    <x v="16"/>
    <x v="0"/>
    <x v="1"/>
    <x v="0"/>
  </r>
  <r>
    <x v="490"/>
    <n v="33.909999999999997"/>
    <x v="338"/>
    <x v="331"/>
    <x v="54"/>
    <n v="3.71"/>
    <n v="0.34989999999999999"/>
    <x v="18"/>
    <n v="6.19"/>
    <n v="1"/>
    <x v="2"/>
    <x v="4"/>
    <x v="16"/>
    <x v="0"/>
    <x v="0"/>
    <x v="0"/>
  </r>
  <r>
    <x v="491"/>
    <n v="33.86"/>
    <x v="339"/>
    <x v="332"/>
    <x v="28"/>
    <n v="2.96"/>
    <n v="0.2379"/>
    <x v="18"/>
    <n v="6.22"/>
    <n v="1"/>
    <x v="2"/>
    <x v="4"/>
    <x v="16"/>
    <x v="0"/>
    <x v="1"/>
    <x v="0"/>
  </r>
  <r>
    <x v="492"/>
    <n v="33.97"/>
    <x v="340"/>
    <x v="333"/>
    <x v="40"/>
    <n v="2.92"/>
    <n v="0.34300000000000003"/>
    <x v="5"/>
    <n v="6.38"/>
    <n v="1"/>
    <x v="2"/>
    <x v="4"/>
    <x v="16"/>
    <x v="1"/>
    <x v="1"/>
    <x v="0"/>
  </r>
  <r>
    <x v="493"/>
    <n v="33.97"/>
    <x v="3"/>
    <x v="3"/>
    <x v="28"/>
    <n v="3.08"/>
    <n v="0.26600000000000001"/>
    <x v="3"/>
    <n v="5.6"/>
    <n v="0"/>
    <x v="2"/>
    <x v="4"/>
    <x v="16"/>
    <x v="1"/>
    <x v="2"/>
    <x v="0"/>
  </r>
  <r>
    <x v="494"/>
    <n v="33.97"/>
    <x v="3"/>
    <x v="3"/>
    <x v="21"/>
    <n v="2.89"/>
    <n v="0.3236"/>
    <x v="6"/>
    <m/>
    <n v="0"/>
    <x v="2"/>
    <x v="4"/>
    <x v="16"/>
    <x v="1"/>
    <x v="2"/>
    <x v="0"/>
  </r>
  <r>
    <x v="495"/>
    <n v="33.97"/>
    <x v="3"/>
    <x v="3"/>
    <x v="33"/>
    <n v="3.28"/>
    <n v="0.35730000000000001"/>
    <x v="10"/>
    <n v="6.6"/>
    <n v="0"/>
    <x v="2"/>
    <x v="4"/>
    <x v="16"/>
    <x v="0"/>
    <x v="2"/>
    <x v="0"/>
  </r>
  <r>
    <x v="496"/>
    <n v="33.81"/>
    <x v="341"/>
    <x v="188"/>
    <x v="51"/>
    <n v="3.09"/>
    <n v="0.24640000000000001"/>
    <x v="4"/>
    <n v="8.4"/>
    <n v="1"/>
    <x v="2"/>
    <x v="4"/>
    <x v="16"/>
    <x v="0"/>
    <x v="1"/>
    <x v="0"/>
  </r>
  <r>
    <x v="497"/>
    <n v="32.6"/>
    <x v="342"/>
    <x v="334"/>
    <x v="14"/>
    <n v="3.45"/>
    <n v="0.33910000000000001"/>
    <x v="4"/>
    <n v="6.23"/>
    <n v="1"/>
    <x v="2"/>
    <x v="4"/>
    <x v="16"/>
    <x v="0"/>
    <x v="1"/>
    <x v="0"/>
  </r>
  <r>
    <x v="498"/>
    <n v="34.96"/>
    <x v="343"/>
    <x v="335"/>
    <x v="48"/>
    <n v="3"/>
    <n v="0.26889999999999997"/>
    <x v="7"/>
    <n v="5.84"/>
    <n v="1"/>
    <x v="2"/>
    <x v="4"/>
    <x v="16"/>
    <x v="0"/>
    <x v="0"/>
    <x v="0"/>
  </r>
  <r>
    <x v="499"/>
    <n v="35.32"/>
    <x v="344"/>
    <x v="336"/>
    <x v="8"/>
    <n v="3.15"/>
    <n v="0.24"/>
    <x v="5"/>
    <n v="7"/>
    <n v="1"/>
    <x v="2"/>
    <x v="4"/>
    <x v="16"/>
    <x v="1"/>
    <x v="0"/>
    <x v="0"/>
  </r>
  <r>
    <x v="500"/>
    <n v="35.32"/>
    <x v="3"/>
    <x v="3"/>
    <x v="20"/>
    <n v="3.11"/>
    <n v="0.26819999999999999"/>
    <x v="3"/>
    <n v="6.6"/>
    <n v="0"/>
    <x v="2"/>
    <x v="4"/>
    <x v="16"/>
    <x v="1"/>
    <x v="2"/>
    <x v="0"/>
  </r>
  <r>
    <x v="501"/>
    <n v="35.32"/>
    <x v="3"/>
    <x v="3"/>
    <x v="17"/>
    <n v="2.96"/>
    <n v="0.29049999999999998"/>
    <x v="0"/>
    <n v="7.9"/>
    <n v="0"/>
    <x v="2"/>
    <x v="4"/>
    <x v="16"/>
    <x v="0"/>
    <x v="2"/>
    <x v="0"/>
  </r>
  <r>
    <x v="502"/>
    <n v="34.29"/>
    <x v="345"/>
    <x v="337"/>
    <x v="42"/>
    <n v="3.2"/>
    <n v="0.36499999999999999"/>
    <x v="0"/>
    <n v="5.45"/>
    <n v="1"/>
    <x v="2"/>
    <x v="4"/>
    <x v="16"/>
    <x v="0"/>
    <x v="1"/>
    <x v="0"/>
  </r>
  <r>
    <x v="503"/>
    <n v="34.85"/>
    <x v="346"/>
    <x v="338"/>
    <x v="12"/>
    <n v="2.36"/>
    <n v="0.13800000000000001"/>
    <x v="6"/>
    <m/>
    <n v="1"/>
    <x v="2"/>
    <x v="4"/>
    <x v="16"/>
    <x v="0"/>
    <x v="0"/>
    <x v="0"/>
  </r>
  <r>
    <x v="504"/>
    <n v="34.32"/>
    <x v="347"/>
    <x v="339"/>
    <x v="11"/>
    <n v="3"/>
    <n v="0.3286"/>
    <x v="5"/>
    <n v="7.02"/>
    <n v="1"/>
    <x v="2"/>
    <x v="4"/>
    <x v="16"/>
    <x v="0"/>
    <x v="1"/>
    <x v="0"/>
  </r>
  <r>
    <x v="505"/>
    <n v="34.770000000000003"/>
    <x v="348"/>
    <x v="340"/>
    <x v="48"/>
    <n v="3.07"/>
    <n v="0.31879999999999997"/>
    <x v="10"/>
    <n v="6.13"/>
    <n v="1"/>
    <x v="2"/>
    <x v="4"/>
    <x v="16"/>
    <x v="0"/>
    <x v="0"/>
    <x v="0"/>
  </r>
  <r>
    <x v="506"/>
    <n v="34.51"/>
    <x v="349"/>
    <x v="341"/>
    <x v="16"/>
    <n v="3.32"/>
    <n v="0.44600000000000001"/>
    <x v="18"/>
    <n v="6.39"/>
    <n v="1"/>
    <x v="2"/>
    <x v="4"/>
    <x v="16"/>
    <x v="1"/>
    <x v="1"/>
    <x v="0"/>
  </r>
  <r>
    <x v="507"/>
    <n v="34.51"/>
    <x v="3"/>
    <x v="3"/>
    <x v="40"/>
    <n v="3"/>
    <n v="0.27339999999999998"/>
    <x v="25"/>
    <n v="6.47"/>
    <n v="0"/>
    <x v="2"/>
    <x v="5"/>
    <x v="17"/>
    <x v="1"/>
    <x v="2"/>
    <x v="0"/>
  </r>
  <r>
    <x v="508"/>
    <n v="34.51"/>
    <x v="3"/>
    <x v="3"/>
    <x v="42"/>
    <n v="3.19"/>
    <n v="0.30859999999999999"/>
    <x v="6"/>
    <m/>
    <n v="0"/>
    <x v="2"/>
    <x v="5"/>
    <x v="17"/>
    <x v="0"/>
    <x v="2"/>
    <x v="0"/>
  </r>
  <r>
    <x v="509"/>
    <n v="35.799999999999997"/>
    <x v="350"/>
    <x v="342"/>
    <x v="32"/>
    <n v="3.33"/>
    <n v="0.32050000000000001"/>
    <x v="4"/>
    <n v="5.7"/>
    <n v="1"/>
    <x v="2"/>
    <x v="5"/>
    <x v="17"/>
    <x v="0"/>
    <x v="0"/>
    <x v="0"/>
  </r>
  <r>
    <x v="510"/>
    <n v="36.9"/>
    <x v="351"/>
    <x v="343"/>
    <x v="32"/>
    <n v="3.65"/>
    <n v="0.4723"/>
    <x v="10"/>
    <n v="6.4"/>
    <n v="1"/>
    <x v="2"/>
    <x v="5"/>
    <x v="17"/>
    <x v="0"/>
    <x v="0"/>
    <x v="0"/>
  </r>
  <r>
    <x v="511"/>
    <n v="36.97"/>
    <x v="352"/>
    <x v="344"/>
    <x v="8"/>
    <n v="2.83"/>
    <n v="0.24759999999999999"/>
    <x v="12"/>
    <n v="7.18"/>
    <n v="1"/>
    <x v="2"/>
    <x v="5"/>
    <x v="17"/>
    <x v="0"/>
    <x v="1"/>
    <x v="0"/>
  </r>
  <r>
    <x v="512"/>
    <n v="36.69"/>
    <x v="353"/>
    <x v="345"/>
    <x v="37"/>
    <n v="3.22"/>
    <n v="0.20449999999999999"/>
    <x v="4"/>
    <n v="6.37"/>
    <n v="1"/>
    <x v="2"/>
    <x v="5"/>
    <x v="17"/>
    <x v="0"/>
    <x v="1"/>
    <x v="0"/>
  </r>
  <r>
    <x v="513"/>
    <n v="36.68"/>
    <x v="354"/>
    <x v="346"/>
    <x v="35"/>
    <n v="3.08"/>
    <n v="0.29089999999999999"/>
    <x v="11"/>
    <n v="6.46"/>
    <n v="1"/>
    <x v="2"/>
    <x v="5"/>
    <x v="17"/>
    <x v="1"/>
    <x v="0"/>
    <x v="0"/>
  </r>
  <r>
    <x v="514"/>
    <n v="36.68"/>
    <x v="3"/>
    <x v="3"/>
    <x v="42"/>
    <n v="3.46"/>
    <n v="0.29630000000000001"/>
    <x v="0"/>
    <n v="6.5"/>
    <n v="0"/>
    <x v="2"/>
    <x v="5"/>
    <x v="17"/>
    <x v="1"/>
    <x v="2"/>
    <x v="0"/>
  </r>
  <r>
    <x v="515"/>
    <n v="36.68"/>
    <x v="3"/>
    <x v="3"/>
    <x v="3"/>
    <n v="2.89"/>
    <n v="0.3261"/>
    <x v="4"/>
    <n v="4.5999999999999996"/>
    <n v="0"/>
    <x v="2"/>
    <x v="5"/>
    <x v="17"/>
    <x v="0"/>
    <x v="2"/>
    <x v="0"/>
  </r>
  <r>
    <x v="516"/>
    <n v="37.11"/>
    <x v="355"/>
    <x v="347"/>
    <x v="11"/>
    <n v="3.04"/>
    <n v="0.22270000000000001"/>
    <x v="3"/>
    <n v="6.9"/>
    <n v="1"/>
    <x v="2"/>
    <x v="5"/>
    <x v="17"/>
    <x v="0"/>
    <x v="0"/>
    <x v="0"/>
  </r>
  <r>
    <x v="517"/>
    <n v="37.369999999999997"/>
    <x v="356"/>
    <x v="348"/>
    <x v="32"/>
    <n v="3.44"/>
    <n v="0.39710000000000001"/>
    <x v="4"/>
    <n v="7.5"/>
    <n v="1"/>
    <x v="2"/>
    <x v="5"/>
    <x v="17"/>
    <x v="0"/>
    <x v="1"/>
    <x v="0"/>
  </r>
  <r>
    <x v="518"/>
    <n v="38"/>
    <x v="357"/>
    <x v="349"/>
    <x v="47"/>
    <n v="3.37"/>
    <n v="0.29820000000000002"/>
    <x v="4"/>
    <n v="5.9"/>
    <n v="1"/>
    <x v="2"/>
    <x v="5"/>
    <x v="17"/>
    <x v="0"/>
    <x v="0"/>
    <x v="0"/>
  </r>
  <r>
    <x v="519"/>
    <n v="38.14"/>
    <x v="358"/>
    <x v="350"/>
    <x v="55"/>
    <n v="2.75"/>
    <n v="0.15790000000000001"/>
    <x v="10"/>
    <n v="6.9"/>
    <n v="1"/>
    <x v="2"/>
    <x v="5"/>
    <x v="17"/>
    <x v="0"/>
    <x v="0"/>
    <x v="0"/>
  </r>
  <r>
    <x v="520"/>
    <n v="38.04"/>
    <x v="359"/>
    <x v="351"/>
    <x v="26"/>
    <n v="3.64"/>
    <n v="0.37509999999999999"/>
    <x v="1"/>
    <n v="5.92"/>
    <n v="1"/>
    <x v="2"/>
    <x v="5"/>
    <x v="17"/>
    <x v="1"/>
    <x v="1"/>
    <x v="0"/>
  </r>
  <r>
    <x v="521"/>
    <n v="38.04"/>
    <x v="3"/>
    <x v="3"/>
    <x v="12"/>
    <n v="3.3"/>
    <n v="0.33900000000000002"/>
    <x v="4"/>
    <m/>
    <n v="0"/>
    <x v="2"/>
    <x v="5"/>
    <x v="17"/>
    <x v="1"/>
    <x v="2"/>
    <x v="0"/>
  </r>
  <r>
    <x v="522"/>
    <n v="38.04"/>
    <x v="3"/>
    <x v="3"/>
    <x v="22"/>
    <n v="3.08"/>
    <n v="0.3579"/>
    <x v="5"/>
    <n v="6.38"/>
    <n v="0"/>
    <x v="2"/>
    <x v="5"/>
    <x v="17"/>
    <x v="1"/>
    <x v="2"/>
    <x v="0"/>
  </r>
  <r>
    <x v="523"/>
    <n v="38.04"/>
    <x v="3"/>
    <x v="3"/>
    <x v="25"/>
    <n v="3.3"/>
    <n v="0.247"/>
    <x v="0"/>
    <n v="4.3"/>
    <n v="0"/>
    <x v="2"/>
    <x v="5"/>
    <x v="17"/>
    <x v="0"/>
    <x v="2"/>
    <x v="0"/>
  </r>
  <r>
    <x v="524"/>
    <n v="38.78"/>
    <x v="360"/>
    <x v="352"/>
    <x v="11"/>
    <n v="3.37"/>
    <n v="0.3866"/>
    <x v="6"/>
    <m/>
    <n v="1"/>
    <x v="2"/>
    <x v="5"/>
    <x v="17"/>
    <x v="0"/>
    <x v="0"/>
    <x v="0"/>
  </r>
  <r>
    <x v="525"/>
    <n v="38.619999999999997"/>
    <x v="361"/>
    <x v="353"/>
    <x v="35"/>
    <n v="3.46"/>
    <n v="0.3448"/>
    <x v="6"/>
    <m/>
    <n v="1"/>
    <x v="2"/>
    <x v="5"/>
    <x v="17"/>
    <x v="0"/>
    <x v="1"/>
    <x v="0"/>
  </r>
  <r>
    <x v="526"/>
    <n v="38.6"/>
    <x v="362"/>
    <x v="354"/>
    <x v="13"/>
    <n v="3"/>
    <n v="0.27860000000000001"/>
    <x v="4"/>
    <n v="6.03"/>
    <n v="1"/>
    <x v="2"/>
    <x v="5"/>
    <x v="17"/>
    <x v="0"/>
    <x v="1"/>
    <x v="0"/>
  </r>
  <r>
    <x v="527"/>
    <n v="38.01"/>
    <x v="363"/>
    <x v="355"/>
    <x v="19"/>
    <n v="3.42"/>
    <n v="0.28360000000000002"/>
    <x v="11"/>
    <n v="6.36"/>
    <n v="1"/>
    <x v="2"/>
    <x v="5"/>
    <x v="17"/>
    <x v="1"/>
    <x v="1"/>
    <x v="0"/>
  </r>
  <r>
    <x v="528"/>
    <n v="38.01"/>
    <x v="3"/>
    <x v="3"/>
    <x v="33"/>
    <n v="3.62"/>
    <n v="0.39450000000000002"/>
    <x v="0"/>
    <n v="4.7"/>
    <n v="0"/>
    <x v="2"/>
    <x v="5"/>
    <x v="17"/>
    <x v="1"/>
    <x v="2"/>
    <x v="0"/>
  </r>
  <r>
    <x v="529"/>
    <n v="38.01"/>
    <x v="3"/>
    <x v="3"/>
    <x v="40"/>
    <n v="3.15"/>
    <n v="0.31440000000000001"/>
    <x v="0"/>
    <n v="6.8"/>
    <n v="0"/>
    <x v="2"/>
    <x v="5"/>
    <x v="17"/>
    <x v="0"/>
    <x v="2"/>
    <x v="0"/>
  </r>
  <r>
    <x v="530"/>
    <n v="36.869999999999997"/>
    <x v="364"/>
    <x v="356"/>
    <x v="12"/>
    <n v="3"/>
    <n v="0.26100000000000001"/>
    <x v="6"/>
    <m/>
    <n v="1"/>
    <x v="2"/>
    <x v="5"/>
    <x v="17"/>
    <x v="0"/>
    <x v="0"/>
    <x v="0"/>
  </r>
  <r>
    <x v="531"/>
    <n v="36.01"/>
    <x v="365"/>
    <x v="357"/>
    <x v="34"/>
    <n v="3.52"/>
    <n v="0.30470000000000003"/>
    <x v="0"/>
    <n v="5.2"/>
    <n v="1"/>
    <x v="2"/>
    <x v="5"/>
    <x v="17"/>
    <x v="0"/>
    <x v="1"/>
    <x v="0"/>
  </r>
  <r>
    <x v="532"/>
    <n v="37.92"/>
    <x v="366"/>
    <x v="358"/>
    <x v="17"/>
    <n v="3.47"/>
    <n v="0.35980000000000001"/>
    <x v="7"/>
    <n v="6.36"/>
    <n v="1"/>
    <x v="2"/>
    <x v="5"/>
    <x v="17"/>
    <x v="0"/>
    <x v="0"/>
    <x v="0"/>
  </r>
  <r>
    <x v="533"/>
    <n v="37.17"/>
    <x v="367"/>
    <x v="359"/>
    <x v="41"/>
    <n v="2.83"/>
    <n v="0.11269999999999999"/>
    <x v="5"/>
    <n v="6.04"/>
    <n v="1"/>
    <x v="2"/>
    <x v="5"/>
    <x v="17"/>
    <x v="0"/>
    <x v="0"/>
    <x v="0"/>
  </r>
  <r>
    <x v="534"/>
    <n v="36.9"/>
    <x v="368"/>
    <x v="360"/>
    <x v="19"/>
    <n v="3.3"/>
    <n v="0.3266"/>
    <x v="11"/>
    <n v="6.85"/>
    <n v="1"/>
    <x v="2"/>
    <x v="5"/>
    <x v="17"/>
    <x v="1"/>
    <x v="0"/>
    <x v="0"/>
  </r>
  <r>
    <x v="535"/>
    <n v="36.9"/>
    <x v="3"/>
    <x v="3"/>
    <x v="28"/>
    <n v="3.02"/>
    <n v="0.13850000000000001"/>
    <x v="6"/>
    <m/>
    <n v="0"/>
    <x v="2"/>
    <x v="5"/>
    <x v="17"/>
    <x v="1"/>
    <x v="2"/>
    <x v="0"/>
  </r>
  <r>
    <x v="536"/>
    <n v="36.9"/>
    <x v="3"/>
    <x v="3"/>
    <x v="12"/>
    <n v="3.06"/>
    <n v="0.26819999999999999"/>
    <x v="9"/>
    <n v="6.55"/>
    <n v="0"/>
    <x v="2"/>
    <x v="6"/>
    <x v="18"/>
    <x v="0"/>
    <x v="2"/>
    <x v="0"/>
  </r>
  <r>
    <x v="537"/>
    <n v="38.1"/>
    <x v="369"/>
    <x v="361"/>
    <x v="44"/>
    <n v="3.25"/>
    <n v="0.27239999999999998"/>
    <x v="3"/>
    <m/>
    <n v="1"/>
    <x v="2"/>
    <x v="6"/>
    <x v="18"/>
    <x v="0"/>
    <x v="0"/>
    <x v="0"/>
  </r>
  <r>
    <x v="538"/>
    <n v="36.880000000000003"/>
    <x v="370"/>
    <x v="362"/>
    <x v="34"/>
    <n v="3.12"/>
    <n v="0.25"/>
    <x v="14"/>
    <n v="5.98"/>
    <n v="1"/>
    <x v="2"/>
    <x v="6"/>
    <x v="18"/>
    <x v="0"/>
    <x v="1"/>
    <x v="0"/>
  </r>
  <r>
    <x v="539"/>
    <n v="38.380000000000003"/>
    <x v="371"/>
    <x v="47"/>
    <x v="44"/>
    <n v="3.31"/>
    <n v="0.24379999999999999"/>
    <x v="10"/>
    <n v="7.15"/>
    <n v="1"/>
    <x v="2"/>
    <x v="6"/>
    <x v="18"/>
    <x v="0"/>
    <x v="0"/>
    <x v="0"/>
  </r>
  <r>
    <x v="540"/>
    <n v="37.28"/>
    <x v="372"/>
    <x v="363"/>
    <x v="56"/>
    <n v="3.94"/>
    <n v="0.3982"/>
    <x v="5"/>
    <n v="6.37"/>
    <n v="1"/>
    <x v="2"/>
    <x v="6"/>
    <x v="18"/>
    <x v="0"/>
    <x v="1"/>
    <x v="0"/>
  </r>
  <r>
    <x v="541"/>
    <n v="36.9"/>
    <x v="373"/>
    <x v="364"/>
    <x v="57"/>
    <n v="3.87"/>
    <n v="0.46229999999999999"/>
    <x v="11"/>
    <n v="5.17"/>
    <n v="1"/>
    <x v="2"/>
    <x v="6"/>
    <x v="18"/>
    <x v="1"/>
    <x v="0"/>
    <x v="0"/>
  </r>
  <r>
    <x v="542"/>
    <n v="36.9"/>
    <x v="3"/>
    <x v="3"/>
    <x v="58"/>
    <n v="3.43"/>
    <n v="0.32190000000000002"/>
    <x v="6"/>
    <m/>
    <n v="0"/>
    <x v="2"/>
    <x v="6"/>
    <x v="18"/>
    <x v="1"/>
    <x v="2"/>
    <x v="0"/>
  </r>
  <r>
    <x v="543"/>
    <n v="36.9"/>
    <x v="3"/>
    <x v="3"/>
    <x v="59"/>
    <n v="3.4"/>
    <n v="0.31519999999999998"/>
    <x v="3"/>
    <m/>
    <n v="0"/>
    <x v="2"/>
    <x v="6"/>
    <x v="18"/>
    <x v="0"/>
    <x v="2"/>
    <x v="0"/>
  </r>
  <r>
    <x v="544"/>
    <n v="34.65"/>
    <x v="374"/>
    <x v="365"/>
    <x v="49"/>
    <n v="3.37"/>
    <n v="0.35680000000000001"/>
    <x v="6"/>
    <m/>
    <n v="1"/>
    <x v="2"/>
    <x v="6"/>
    <x v="18"/>
    <x v="0"/>
    <x v="0"/>
    <x v="0"/>
  </r>
  <r>
    <x v="545"/>
    <n v="36.409999999999997"/>
    <x v="375"/>
    <x v="366"/>
    <x v="24"/>
    <n v="3.01"/>
    <n v="0.27189999999999998"/>
    <x v="0"/>
    <m/>
    <n v="1"/>
    <x v="2"/>
    <x v="6"/>
    <x v="18"/>
    <x v="0"/>
    <x v="0"/>
    <x v="0"/>
  </r>
  <r>
    <x v="546"/>
    <n v="34.99"/>
    <x v="376"/>
    <x v="367"/>
    <x v="14"/>
    <n v="3.45"/>
    <n v="0.29070000000000001"/>
    <x v="5"/>
    <n v="6.55"/>
    <n v="1"/>
    <x v="2"/>
    <x v="6"/>
    <x v="18"/>
    <x v="0"/>
    <x v="1"/>
    <x v="0"/>
  </r>
  <r>
    <x v="547"/>
    <n v="31.52"/>
    <x v="377"/>
    <x v="368"/>
    <x v="28"/>
    <n v="3.33"/>
    <n v="0.30630000000000002"/>
    <x v="3"/>
    <n v="8.6999999999999993"/>
    <n v="1"/>
    <x v="2"/>
    <x v="6"/>
    <x v="18"/>
    <x v="0"/>
    <x v="1"/>
    <x v="0"/>
  </r>
  <r>
    <x v="548"/>
    <n v="33.630000000000003"/>
    <x v="378"/>
    <x v="369"/>
    <x v="20"/>
    <n v="3.68"/>
    <n v="0.36670000000000003"/>
    <x v="18"/>
    <n v="6.78"/>
    <n v="1"/>
    <x v="2"/>
    <x v="6"/>
    <x v="18"/>
    <x v="1"/>
    <x v="0"/>
    <x v="0"/>
  </r>
  <r>
    <x v="549"/>
    <n v="33.630000000000003"/>
    <x v="3"/>
    <x v="3"/>
    <x v="31"/>
    <n v="3.41"/>
    <n v="0.33729999999999999"/>
    <x v="3"/>
    <n v="3.8"/>
    <n v="0"/>
    <x v="2"/>
    <x v="6"/>
    <x v="18"/>
    <x v="1"/>
    <x v="2"/>
    <x v="0"/>
  </r>
  <r>
    <x v="550"/>
    <n v="33.630000000000003"/>
    <x v="3"/>
    <x v="3"/>
    <x v="49"/>
    <n v="3.56"/>
    <n v="0.35770000000000002"/>
    <x v="11"/>
    <n v="5.95"/>
    <n v="0"/>
    <x v="2"/>
    <x v="6"/>
    <x v="18"/>
    <x v="0"/>
    <x v="2"/>
    <x v="0"/>
  </r>
  <r>
    <x v="551"/>
    <n v="29.88"/>
    <x v="379"/>
    <x v="370"/>
    <x v="60"/>
    <n v="3.18"/>
    <n v="0.27529999999999999"/>
    <x v="0"/>
    <n v="6.65"/>
    <n v="1"/>
    <x v="2"/>
    <x v="6"/>
    <x v="18"/>
    <x v="0"/>
    <x v="1"/>
    <x v="0"/>
  </r>
  <r>
    <x v="552"/>
    <n v="31.98"/>
    <x v="380"/>
    <x v="371"/>
    <x v="61"/>
    <n v="2.63"/>
    <n v="0.18110000000000001"/>
    <x v="12"/>
    <n v="7.22"/>
    <n v="1"/>
    <x v="2"/>
    <x v="6"/>
    <x v="18"/>
    <x v="0"/>
    <x v="0"/>
    <x v="0"/>
  </r>
  <r>
    <x v="553"/>
    <n v="31.55"/>
    <x v="381"/>
    <x v="372"/>
    <x v="62"/>
    <n v="3.34"/>
    <n v="0.39889999999999998"/>
    <x v="12"/>
    <n v="7.1"/>
    <n v="1"/>
    <x v="2"/>
    <x v="6"/>
    <x v="18"/>
    <x v="0"/>
    <x v="0"/>
    <x v="0"/>
  </r>
  <r>
    <x v="554"/>
    <n v="33.200000000000003"/>
    <x v="382"/>
    <x v="373"/>
    <x v="63"/>
    <n v="2.97"/>
    <n v="0.27329999999999999"/>
    <x v="10"/>
    <n v="5.4"/>
    <n v="1"/>
    <x v="2"/>
    <x v="6"/>
    <x v="18"/>
    <x v="0"/>
    <x v="0"/>
    <x v="0"/>
  </r>
  <r>
    <x v="555"/>
    <n v="33.28"/>
    <x v="383"/>
    <x v="374"/>
    <x v="55"/>
    <n v="2.95"/>
    <n v="0.2271"/>
    <x v="16"/>
    <n v="6.63"/>
    <n v="1"/>
    <x v="2"/>
    <x v="6"/>
    <x v="18"/>
    <x v="1"/>
    <x v="1"/>
    <x v="0"/>
  </r>
  <r>
    <x v="556"/>
    <n v="33.28"/>
    <x v="3"/>
    <x v="3"/>
    <x v="64"/>
    <n v="2.4900000000000002"/>
    <n v="3.32E-2"/>
    <x v="3"/>
    <n v="7.4"/>
    <n v="0"/>
    <x v="2"/>
    <x v="6"/>
    <x v="18"/>
    <x v="1"/>
    <x v="2"/>
    <x v="1"/>
  </r>
  <r>
    <x v="557"/>
    <n v="33.28"/>
    <x v="3"/>
    <x v="3"/>
    <x v="65"/>
    <n v="3.22"/>
    <n v="0.31019999999999998"/>
    <x v="3"/>
    <n v="5"/>
    <n v="0"/>
    <x v="2"/>
    <x v="6"/>
    <x v="18"/>
    <x v="0"/>
    <x v="2"/>
    <x v="0"/>
  </r>
  <r>
    <x v="558"/>
    <n v="36.03"/>
    <x v="384"/>
    <x v="375"/>
    <x v="66"/>
    <n v="3.2"/>
    <n v="0.33050000000000002"/>
    <x v="0"/>
    <n v="6.05"/>
    <n v="1"/>
    <x v="2"/>
    <x v="6"/>
    <x v="18"/>
    <x v="0"/>
    <x v="0"/>
    <x v="0"/>
  </r>
  <r>
    <x v="559"/>
    <n v="35.729999999999997"/>
    <x v="385"/>
    <x v="376"/>
    <x v="67"/>
    <n v="3.29"/>
    <n v="0.2477"/>
    <x v="3"/>
    <m/>
    <n v="1"/>
    <x v="2"/>
    <x v="6"/>
    <x v="18"/>
    <x v="0"/>
    <x v="1"/>
    <x v="0"/>
  </r>
  <r>
    <x v="560"/>
    <n v="34.24"/>
    <x v="386"/>
    <x v="377"/>
    <x v="68"/>
    <n v="3.21"/>
    <n v="0.30309999999999998"/>
    <x v="5"/>
    <n v="6.7"/>
    <n v="1"/>
    <x v="2"/>
    <x v="6"/>
    <x v="18"/>
    <x v="0"/>
    <x v="1"/>
    <x v="0"/>
  </r>
  <r>
    <x v="561"/>
    <n v="36.299999999999997"/>
    <x v="387"/>
    <x v="378"/>
    <x v="56"/>
    <n v="2.99"/>
    <n v="0.19239999999999999"/>
    <x v="5"/>
    <n v="6.7"/>
    <n v="1"/>
    <x v="2"/>
    <x v="6"/>
    <x v="18"/>
    <x v="0"/>
    <x v="0"/>
    <x v="0"/>
  </r>
  <r>
    <x v="562"/>
    <n v="35.71"/>
    <x v="388"/>
    <x v="379"/>
    <x v="69"/>
    <n v="2.95"/>
    <n v="0.23089999999999999"/>
    <x v="27"/>
    <n v="6.12"/>
    <n v="1"/>
    <x v="2"/>
    <x v="6"/>
    <x v="18"/>
    <x v="1"/>
    <x v="1"/>
    <x v="0"/>
  </r>
  <r>
    <x v="563"/>
    <n v="35.71"/>
    <x v="3"/>
    <x v="3"/>
    <x v="59"/>
    <n v="2.92"/>
    <n v="0.25779999999999997"/>
    <x v="3"/>
    <n v="3"/>
    <n v="0"/>
    <x v="2"/>
    <x v="6"/>
    <x v="18"/>
    <x v="1"/>
    <x v="2"/>
    <x v="0"/>
  </r>
  <r>
    <x v="564"/>
    <n v="35.71"/>
    <x v="3"/>
    <x v="3"/>
    <x v="65"/>
    <n v="3.16"/>
    <n v="0.2732"/>
    <x v="0"/>
    <n v="6.95"/>
    <n v="0"/>
    <x v="2"/>
    <x v="6"/>
    <x v="18"/>
    <x v="0"/>
    <x v="2"/>
    <x v="0"/>
  </r>
  <r>
    <x v="565"/>
    <n v="37.1"/>
    <x v="389"/>
    <x v="380"/>
    <x v="70"/>
    <n v="3.29"/>
    <n v="0.32619999999999999"/>
    <x v="3"/>
    <n v="6.2"/>
    <n v="1"/>
    <x v="2"/>
    <x v="6"/>
    <x v="18"/>
    <x v="0"/>
    <x v="0"/>
    <x v="0"/>
  </r>
  <r>
    <x v="566"/>
    <n v="37.549999999999997"/>
    <x v="390"/>
    <x v="381"/>
    <x v="53"/>
    <n v="3.44"/>
    <n v="0.39389999999999997"/>
    <x v="16"/>
    <n v="6.5"/>
    <n v="1"/>
    <x v="2"/>
    <x v="6"/>
    <x v="18"/>
    <x v="0"/>
    <x v="0"/>
    <x v="0"/>
  </r>
  <r>
    <x v="567"/>
    <n v="36.409999999999997"/>
    <x v="391"/>
    <x v="382"/>
    <x v="55"/>
    <n v="3.46"/>
    <n v="0.32890000000000003"/>
    <x v="38"/>
    <n v="6.59"/>
    <n v="1"/>
    <x v="2"/>
    <x v="7"/>
    <x v="19"/>
    <x v="0"/>
    <x v="1"/>
    <x v="0"/>
  </r>
  <r>
    <x v="568"/>
    <n v="37.01"/>
    <x v="392"/>
    <x v="383"/>
    <x v="71"/>
    <n v="3.15"/>
    <n v="0.27150000000000002"/>
    <x v="0"/>
    <n v="7.5"/>
    <n v="1"/>
    <x v="2"/>
    <x v="7"/>
    <x v="19"/>
    <x v="0"/>
    <x v="0"/>
    <x v="0"/>
  </r>
  <r>
    <x v="569"/>
    <n v="36.18"/>
    <x v="393"/>
    <x v="384"/>
    <x v="72"/>
    <n v="2.97"/>
    <n v="0.23769999999999999"/>
    <x v="12"/>
    <n v="6.57"/>
    <n v="1"/>
    <x v="2"/>
    <x v="7"/>
    <x v="19"/>
    <x v="1"/>
    <x v="1"/>
    <x v="0"/>
  </r>
  <r>
    <x v="570"/>
    <n v="36.18"/>
    <x v="3"/>
    <x v="3"/>
    <x v="70"/>
    <n v="3"/>
    <n v="0.1724"/>
    <x v="0"/>
    <n v="7.5"/>
    <n v="0"/>
    <x v="2"/>
    <x v="7"/>
    <x v="19"/>
    <x v="1"/>
    <x v="2"/>
    <x v="0"/>
  </r>
  <r>
    <x v="571"/>
    <n v="36.18"/>
    <x v="3"/>
    <x v="3"/>
    <x v="73"/>
    <n v="2.91"/>
    <n v="0.24560000000000001"/>
    <x v="0"/>
    <n v="5.75"/>
    <n v="0"/>
    <x v="2"/>
    <x v="7"/>
    <x v="19"/>
    <x v="0"/>
    <x v="2"/>
    <x v="0"/>
  </r>
  <r>
    <x v="572"/>
    <n v="38"/>
    <x v="394"/>
    <x v="385"/>
    <x v="74"/>
    <n v="3.06"/>
    <n v="0.2278"/>
    <x v="0"/>
    <n v="6.8"/>
    <n v="1"/>
    <x v="2"/>
    <x v="7"/>
    <x v="19"/>
    <x v="0"/>
    <x v="0"/>
    <x v="0"/>
  </r>
  <r>
    <x v="573"/>
    <n v="37.229999999999997"/>
    <x v="395"/>
    <x v="386"/>
    <x v="75"/>
    <n v="3.24"/>
    <n v="0.31180000000000002"/>
    <x v="0"/>
    <n v="5.3"/>
    <n v="1"/>
    <x v="2"/>
    <x v="7"/>
    <x v="19"/>
    <x v="0"/>
    <x v="1"/>
    <x v="0"/>
  </r>
  <r>
    <x v="574"/>
    <n v="37.11"/>
    <x v="396"/>
    <x v="387"/>
    <x v="76"/>
    <n v="3.38"/>
    <n v="0.33900000000000002"/>
    <x v="0"/>
    <n v="3.9"/>
    <n v="1"/>
    <x v="2"/>
    <x v="7"/>
    <x v="19"/>
    <x v="0"/>
    <x v="1"/>
    <x v="0"/>
  </r>
  <r>
    <x v="575"/>
    <n v="37.07"/>
    <x v="397"/>
    <x v="388"/>
    <x v="77"/>
    <n v="3.41"/>
    <n v="0.3982"/>
    <x v="0"/>
    <n v="7.65"/>
    <n v="1"/>
    <x v="2"/>
    <x v="7"/>
    <x v="19"/>
    <x v="1"/>
    <x v="1"/>
    <x v="0"/>
  </r>
  <r>
    <x v="576"/>
    <n v="37.07"/>
    <x v="3"/>
    <x v="3"/>
    <x v="78"/>
    <n v="3.07"/>
    <n v="0.28370000000000001"/>
    <x v="14"/>
    <n v="6.36"/>
    <n v="0"/>
    <x v="2"/>
    <x v="7"/>
    <x v="19"/>
    <x v="1"/>
    <x v="2"/>
    <x v="0"/>
  </r>
  <r>
    <x v="577"/>
    <n v="37.07"/>
    <x v="3"/>
    <x v="3"/>
    <x v="46"/>
    <n v="3.17"/>
    <n v="0.2515"/>
    <x v="0"/>
    <n v="6.45"/>
    <n v="0"/>
    <x v="2"/>
    <x v="7"/>
    <x v="19"/>
    <x v="1"/>
    <x v="2"/>
    <x v="0"/>
  </r>
  <r>
    <x v="578"/>
    <n v="37.07"/>
    <x v="3"/>
    <x v="3"/>
    <x v="79"/>
    <n v="2.95"/>
    <n v="0.28770000000000001"/>
    <x v="6"/>
    <m/>
    <n v="0"/>
    <x v="2"/>
    <x v="7"/>
    <x v="19"/>
    <x v="0"/>
    <x v="2"/>
    <x v="0"/>
  </r>
  <r>
    <x v="579"/>
    <n v="39.67"/>
    <x v="398"/>
    <x v="389"/>
    <x v="63"/>
    <n v="3.63"/>
    <n v="0.31180000000000002"/>
    <x v="10"/>
    <n v="6.4"/>
    <n v="1"/>
    <x v="2"/>
    <x v="7"/>
    <x v="19"/>
    <x v="0"/>
    <x v="0"/>
    <x v="0"/>
  </r>
  <r>
    <x v="580"/>
    <n v="41.35"/>
    <x v="399"/>
    <x v="390"/>
    <x v="80"/>
    <n v="3.32"/>
    <n v="0.3145"/>
    <x v="4"/>
    <n v="5.7"/>
    <n v="1"/>
    <x v="2"/>
    <x v="7"/>
    <x v="19"/>
    <x v="0"/>
    <x v="0"/>
    <x v="0"/>
  </r>
  <r>
    <x v="581"/>
    <n v="42.67"/>
    <x v="400"/>
    <x v="391"/>
    <x v="68"/>
    <n v="3.36"/>
    <n v="0.3211"/>
    <x v="27"/>
    <n v="6.27"/>
    <n v="1"/>
    <x v="2"/>
    <x v="7"/>
    <x v="19"/>
    <x v="0"/>
    <x v="0"/>
    <x v="0"/>
  </r>
  <r>
    <x v="582"/>
    <n v="43.92"/>
    <x v="401"/>
    <x v="392"/>
    <x v="66"/>
    <n v="3.19"/>
    <n v="0.38159999999999999"/>
    <x v="14"/>
    <n v="5.5"/>
    <n v="1"/>
    <x v="2"/>
    <x v="7"/>
    <x v="19"/>
    <x v="0"/>
    <x v="0"/>
    <x v="0"/>
  </r>
  <r>
    <x v="583"/>
    <n v="42.3"/>
    <x v="402"/>
    <x v="393"/>
    <x v="79"/>
    <n v="3"/>
    <n v="0.30470000000000003"/>
    <x v="11"/>
    <n v="5.95"/>
    <n v="1"/>
    <x v="2"/>
    <x v="7"/>
    <x v="19"/>
    <x v="1"/>
    <x v="1"/>
    <x v="0"/>
  </r>
  <r>
    <x v="584"/>
    <n v="42.3"/>
    <x v="3"/>
    <x v="3"/>
    <x v="62"/>
    <n v="3.06"/>
    <n v="0.17100000000000001"/>
    <x v="4"/>
    <n v="6.95"/>
    <n v="0"/>
    <x v="2"/>
    <x v="7"/>
    <x v="19"/>
    <x v="1"/>
    <x v="2"/>
    <x v="0"/>
  </r>
  <r>
    <x v="585"/>
    <n v="42.3"/>
    <x v="3"/>
    <x v="3"/>
    <x v="59"/>
    <n v="2.96"/>
    <n v="0.19789999999999999"/>
    <x v="6"/>
    <m/>
    <n v="0"/>
    <x v="2"/>
    <x v="7"/>
    <x v="19"/>
    <x v="0"/>
    <x v="2"/>
    <x v="0"/>
  </r>
  <r>
    <x v="586"/>
    <n v="43.75"/>
    <x v="403"/>
    <x v="394"/>
    <x v="56"/>
    <n v="3.16"/>
    <n v="0.28389999999999999"/>
    <x v="10"/>
    <n v="6.6"/>
    <n v="1"/>
    <x v="2"/>
    <x v="7"/>
    <x v="19"/>
    <x v="0"/>
    <x v="0"/>
    <x v="0"/>
  </r>
  <r>
    <x v="587"/>
    <n v="43.38"/>
    <x v="404"/>
    <x v="395"/>
    <x v="71"/>
    <n v="3.31"/>
    <n v="0.30869999999999997"/>
    <x v="4"/>
    <n v="8.15"/>
    <n v="1"/>
    <x v="2"/>
    <x v="7"/>
    <x v="19"/>
    <x v="0"/>
    <x v="1"/>
    <x v="0"/>
  </r>
  <r>
    <x v="588"/>
    <n v="42.14"/>
    <x v="405"/>
    <x v="396"/>
    <x v="53"/>
    <n v="3.47"/>
    <n v="0.3261"/>
    <x v="7"/>
    <n v="5.45"/>
    <n v="1"/>
    <x v="2"/>
    <x v="7"/>
    <x v="19"/>
    <x v="0"/>
    <x v="1"/>
    <x v="0"/>
  </r>
  <r>
    <x v="589"/>
    <n v="42.67"/>
    <x v="406"/>
    <x v="397"/>
    <x v="76"/>
    <n v="3.2"/>
    <n v="0.21340000000000001"/>
    <x v="5"/>
    <n v="6.64"/>
    <n v="1"/>
    <x v="2"/>
    <x v="7"/>
    <x v="19"/>
    <x v="0"/>
    <x v="0"/>
    <x v="0"/>
  </r>
  <r>
    <x v="590"/>
    <n v="42.5"/>
    <x v="407"/>
    <x v="398"/>
    <x v="81"/>
    <n v="3.24"/>
    <n v="0.31009999999999999"/>
    <x v="7"/>
    <n v="6.18"/>
    <n v="1"/>
    <x v="2"/>
    <x v="7"/>
    <x v="19"/>
    <x v="1"/>
    <x v="1"/>
    <x v="0"/>
  </r>
  <r>
    <x v="591"/>
    <n v="42.5"/>
    <x v="3"/>
    <x v="3"/>
    <x v="70"/>
    <n v="3.19"/>
    <n v="0.30080000000000001"/>
    <x v="1"/>
    <n v="7.02"/>
    <n v="0"/>
    <x v="2"/>
    <x v="7"/>
    <x v="19"/>
    <x v="1"/>
    <x v="2"/>
    <x v="0"/>
  </r>
  <r>
    <x v="592"/>
    <n v="42.5"/>
    <x v="3"/>
    <x v="3"/>
    <x v="60"/>
    <n v="3.17"/>
    <n v="0.2429"/>
    <x v="0"/>
    <n v="7.5"/>
    <n v="0"/>
    <x v="2"/>
    <x v="7"/>
    <x v="19"/>
    <x v="0"/>
    <x v="2"/>
    <x v="0"/>
  </r>
  <r>
    <x v="593"/>
    <n v="42.14"/>
    <x v="408"/>
    <x v="399"/>
    <x v="63"/>
    <n v="3.02"/>
    <n v="0.24329999999999999"/>
    <x v="10"/>
    <n v="5.42"/>
    <n v="1"/>
    <x v="2"/>
    <x v="7"/>
    <x v="19"/>
    <x v="0"/>
    <x v="1"/>
    <x v="0"/>
  </r>
  <r>
    <x v="594"/>
    <n v="40.380000000000003"/>
    <x v="409"/>
    <x v="400"/>
    <x v="82"/>
    <n v="3.49"/>
    <n v="0.38469999999999999"/>
    <x v="26"/>
    <n v="4.53"/>
    <n v="1"/>
    <x v="2"/>
    <x v="7"/>
    <x v="19"/>
    <x v="0"/>
    <x v="1"/>
    <x v="0"/>
  </r>
  <r>
    <x v="595"/>
    <n v="41.19"/>
    <x v="410"/>
    <x v="401"/>
    <x v="82"/>
    <n v="3.14"/>
    <n v="0.27750000000000002"/>
    <x v="11"/>
    <n v="6.95"/>
    <n v="1"/>
    <x v="2"/>
    <x v="7"/>
    <x v="19"/>
    <x v="0"/>
    <x v="0"/>
    <x v="0"/>
  </r>
  <r>
    <x v="596"/>
    <n v="41.99"/>
    <x v="411"/>
    <x v="402"/>
    <x v="71"/>
    <n v="3.13"/>
    <n v="0.32019999999999998"/>
    <x v="7"/>
    <n v="6.48"/>
    <n v="1"/>
    <x v="2"/>
    <x v="7"/>
    <x v="19"/>
    <x v="0"/>
    <x v="0"/>
    <x v="0"/>
  </r>
  <r>
    <x v="597"/>
    <n v="41.53"/>
    <x v="412"/>
    <x v="403"/>
    <x v="83"/>
    <n v="3.09"/>
    <n v="0.2097"/>
    <x v="39"/>
    <n v="6.51"/>
    <n v="1"/>
    <x v="2"/>
    <x v="8"/>
    <x v="20"/>
    <x v="1"/>
    <x v="0"/>
    <x v="0"/>
  </r>
  <r>
    <x v="598"/>
    <n v="41.53"/>
    <x v="3"/>
    <x v="3"/>
    <x v="65"/>
    <n v="2.94"/>
    <n v="0.23400000000000001"/>
    <x v="26"/>
    <n v="6.66"/>
    <n v="0"/>
    <x v="2"/>
    <x v="8"/>
    <x v="20"/>
    <x v="1"/>
    <x v="2"/>
    <x v="0"/>
  </r>
  <r>
    <x v="599"/>
    <n v="41.53"/>
    <x v="3"/>
    <x v="3"/>
    <x v="66"/>
    <n v="3.08"/>
    <n v="0.23169999999999999"/>
    <x v="3"/>
    <n v="5.0999999999999996"/>
    <n v="0"/>
    <x v="2"/>
    <x v="8"/>
    <x v="20"/>
    <x v="0"/>
    <x v="2"/>
    <x v="0"/>
  </r>
  <r>
    <x v="600"/>
    <n v="42.81"/>
    <x v="413"/>
    <x v="404"/>
    <x v="31"/>
    <n v="3.06"/>
    <n v="0.2465"/>
    <x v="0"/>
    <n v="4.9000000000000004"/>
    <n v="1"/>
    <x v="2"/>
    <x v="8"/>
    <x v="20"/>
    <x v="0"/>
    <x v="0"/>
    <x v="0"/>
  </r>
  <r>
    <x v="601"/>
    <n v="42.47"/>
    <x v="414"/>
    <x v="405"/>
    <x v="71"/>
    <n v="3.89"/>
    <n v="0.43430000000000002"/>
    <x v="3"/>
    <m/>
    <n v="1"/>
    <x v="2"/>
    <x v="8"/>
    <x v="20"/>
    <x v="0"/>
    <x v="1"/>
    <x v="0"/>
  </r>
  <r>
    <x v="602"/>
    <n v="43.43"/>
    <x v="415"/>
    <x v="406"/>
    <x v="84"/>
    <n v="3.35"/>
    <n v="0.28689999999999999"/>
    <x v="10"/>
    <n v="5.43"/>
    <n v="1"/>
    <x v="2"/>
    <x v="8"/>
    <x v="20"/>
    <x v="0"/>
    <x v="0"/>
    <x v="0"/>
  </r>
  <r>
    <x v="603"/>
    <n v="43.65"/>
    <x v="416"/>
    <x v="407"/>
    <x v="29"/>
    <n v="3.29"/>
    <n v="0.25430000000000003"/>
    <x v="5"/>
    <n v="5.18"/>
    <n v="1"/>
    <x v="2"/>
    <x v="8"/>
    <x v="20"/>
    <x v="0"/>
    <x v="1"/>
    <x v="0"/>
  </r>
  <r>
    <x v="604"/>
    <n v="43.56"/>
    <x v="417"/>
    <x v="408"/>
    <x v="30"/>
    <n v="3.45"/>
    <n v="0.34329999999999999"/>
    <x v="7"/>
    <n v="6.82"/>
    <n v="1"/>
    <x v="2"/>
    <x v="8"/>
    <x v="20"/>
    <x v="1"/>
    <x v="0"/>
    <x v="0"/>
  </r>
  <r>
    <x v="605"/>
    <n v="43.56"/>
    <x v="3"/>
    <x v="3"/>
    <x v="85"/>
    <n v="3.11"/>
    <n v="0.25580000000000003"/>
    <x v="4"/>
    <n v="4.25"/>
    <n v="0"/>
    <x v="2"/>
    <x v="8"/>
    <x v="20"/>
    <x v="1"/>
    <x v="2"/>
    <x v="0"/>
  </r>
  <r>
    <x v="606"/>
    <n v="43.56"/>
    <x v="3"/>
    <x v="3"/>
    <x v="25"/>
    <n v="2.94"/>
    <n v="0.30680000000000002"/>
    <x v="6"/>
    <m/>
    <n v="0"/>
    <x v="2"/>
    <x v="8"/>
    <x v="20"/>
    <x v="0"/>
    <x v="2"/>
    <x v="0"/>
  </r>
  <r>
    <x v="607"/>
    <n v="44.05"/>
    <x v="418"/>
    <x v="409"/>
    <x v="86"/>
    <n v="3.36"/>
    <n v="0.32919999999999999"/>
    <x v="5"/>
    <n v="6.58"/>
    <n v="1"/>
    <x v="2"/>
    <x v="8"/>
    <x v="20"/>
    <x v="0"/>
    <x v="0"/>
    <x v="0"/>
  </r>
  <r>
    <x v="608"/>
    <n v="43.18"/>
    <x v="419"/>
    <x v="410"/>
    <x v="71"/>
    <n v="3.24"/>
    <n v="0.22559999999999999"/>
    <x v="10"/>
    <n v="5.6"/>
    <n v="1"/>
    <x v="2"/>
    <x v="8"/>
    <x v="20"/>
    <x v="0"/>
    <x v="1"/>
    <x v="0"/>
  </r>
  <r>
    <x v="609"/>
    <n v="43.83"/>
    <x v="420"/>
    <x v="411"/>
    <x v="65"/>
    <n v="3.38"/>
    <n v="0.31590000000000001"/>
    <x v="0"/>
    <n v="6.75"/>
    <n v="1"/>
    <x v="2"/>
    <x v="8"/>
    <x v="20"/>
    <x v="0"/>
    <x v="0"/>
    <x v="0"/>
  </r>
  <r>
    <x v="610"/>
    <n v="44.19"/>
    <x v="421"/>
    <x v="412"/>
    <x v="87"/>
    <n v="3.53"/>
    <n v="0.43140000000000001"/>
    <x v="11"/>
    <n v="5.84"/>
    <n v="1"/>
    <x v="2"/>
    <x v="8"/>
    <x v="20"/>
    <x v="0"/>
    <x v="1"/>
    <x v="0"/>
  </r>
  <r>
    <x v="611"/>
    <n v="45.42"/>
    <x v="422"/>
    <x v="413"/>
    <x v="65"/>
    <n v="2.98"/>
    <n v="0.2432"/>
    <x v="2"/>
    <n v="6.6"/>
    <n v="1"/>
    <x v="2"/>
    <x v="8"/>
    <x v="20"/>
    <x v="1"/>
    <x v="0"/>
    <x v="0"/>
  </r>
  <r>
    <x v="612"/>
    <n v="45.42"/>
    <x v="3"/>
    <x v="3"/>
    <x v="52"/>
    <n v="3.18"/>
    <n v="0.24249999999999999"/>
    <x v="0"/>
    <n v="7.7"/>
    <n v="0"/>
    <x v="2"/>
    <x v="8"/>
    <x v="20"/>
    <x v="1"/>
    <x v="2"/>
    <x v="0"/>
  </r>
  <r>
    <x v="613"/>
    <n v="45.42"/>
    <x v="3"/>
    <x v="3"/>
    <x v="68"/>
    <n v="3.56"/>
    <n v="0.3352"/>
    <x v="4"/>
    <n v="6"/>
    <n v="0"/>
    <x v="2"/>
    <x v="8"/>
    <x v="20"/>
    <x v="0"/>
    <x v="2"/>
    <x v="0"/>
  </r>
  <r>
    <x v="614"/>
    <n v="45.26"/>
    <x v="423"/>
    <x v="414"/>
    <x v="86"/>
    <n v="2.98"/>
    <n v="0.23100000000000001"/>
    <x v="0"/>
    <n v="6.8"/>
    <n v="1"/>
    <x v="2"/>
    <x v="8"/>
    <x v="20"/>
    <x v="0"/>
    <x v="0"/>
    <x v="0"/>
  </r>
  <r>
    <x v="615"/>
    <n v="45.1"/>
    <x v="424"/>
    <x v="415"/>
    <x v="88"/>
    <n v="3.59"/>
    <n v="0.38240000000000002"/>
    <x v="16"/>
    <n v="6.07"/>
    <n v="1"/>
    <x v="2"/>
    <x v="8"/>
    <x v="20"/>
    <x v="0"/>
    <x v="1"/>
    <x v="0"/>
  </r>
  <r>
    <x v="616"/>
    <n v="44.77"/>
    <x v="425"/>
    <x v="416"/>
    <x v="89"/>
    <n v="3.46"/>
    <n v="0.27910000000000001"/>
    <x v="18"/>
    <n v="5.86"/>
    <n v="1"/>
    <x v="2"/>
    <x v="8"/>
    <x v="20"/>
    <x v="0"/>
    <x v="1"/>
    <x v="0"/>
  </r>
  <r>
    <x v="617"/>
    <n v="43.62"/>
    <x v="426"/>
    <x v="417"/>
    <x v="57"/>
    <n v="3.38"/>
    <n v="0.30220000000000002"/>
    <x v="26"/>
    <n v="5.9"/>
    <n v="1"/>
    <x v="2"/>
    <x v="8"/>
    <x v="20"/>
    <x v="0"/>
    <x v="1"/>
    <x v="0"/>
  </r>
  <r>
    <x v="618"/>
    <n v="42.93"/>
    <x v="427"/>
    <x v="418"/>
    <x v="74"/>
    <n v="2.83"/>
    <n v="0.27860000000000001"/>
    <x v="5"/>
    <n v="6.48"/>
    <n v="1"/>
    <x v="2"/>
    <x v="8"/>
    <x v="20"/>
    <x v="1"/>
    <x v="1"/>
    <x v="0"/>
  </r>
  <r>
    <x v="619"/>
    <n v="42.93"/>
    <x v="3"/>
    <x v="3"/>
    <x v="68"/>
    <n v="3.13"/>
    <n v="0.25569999999999998"/>
    <x v="4"/>
    <n v="6.9"/>
    <n v="0"/>
    <x v="2"/>
    <x v="8"/>
    <x v="20"/>
    <x v="1"/>
    <x v="2"/>
    <x v="0"/>
  </r>
  <r>
    <x v="620"/>
    <n v="42.93"/>
    <x v="3"/>
    <x v="3"/>
    <x v="86"/>
    <n v="3.4"/>
    <n v="0.33650000000000002"/>
    <x v="3"/>
    <n v="5.5"/>
    <n v="0"/>
    <x v="2"/>
    <x v="8"/>
    <x v="20"/>
    <x v="1"/>
    <x v="2"/>
    <x v="0"/>
  </r>
  <r>
    <x v="621"/>
    <n v="42.93"/>
    <x v="3"/>
    <x v="3"/>
    <x v="90"/>
    <n v="2.59"/>
    <n v="0.15840000000000001"/>
    <x v="5"/>
    <n v="6.35"/>
    <n v="0"/>
    <x v="2"/>
    <x v="8"/>
    <x v="20"/>
    <x v="0"/>
    <x v="2"/>
    <x v="0"/>
  </r>
  <r>
    <x v="622"/>
    <n v="41.48"/>
    <x v="428"/>
    <x v="419"/>
    <x v="31"/>
    <n v="3.3"/>
    <n v="0.35980000000000001"/>
    <x v="3"/>
    <m/>
    <n v="1"/>
    <x v="2"/>
    <x v="8"/>
    <x v="20"/>
    <x v="0"/>
    <x v="1"/>
    <x v="0"/>
  </r>
  <r>
    <x v="623"/>
    <n v="41.99"/>
    <x v="429"/>
    <x v="420"/>
    <x v="71"/>
    <n v="3.41"/>
    <n v="0.36559999999999998"/>
    <x v="0"/>
    <n v="7.2"/>
    <n v="1"/>
    <x v="2"/>
    <x v="8"/>
    <x v="20"/>
    <x v="0"/>
    <x v="0"/>
    <x v="0"/>
  </r>
  <r>
    <x v="624"/>
    <n v="41.34"/>
    <x v="430"/>
    <x v="421"/>
    <x v="91"/>
    <n v="3.37"/>
    <n v="0.36020000000000002"/>
    <x v="11"/>
    <n v="5.72"/>
    <n v="1"/>
    <x v="2"/>
    <x v="8"/>
    <x v="20"/>
    <x v="0"/>
    <x v="1"/>
    <x v="0"/>
  </r>
  <r>
    <x v="625"/>
    <n v="41.97"/>
    <x v="431"/>
    <x v="422"/>
    <x v="92"/>
    <n v="3.41"/>
    <n v="0.3523"/>
    <x v="10"/>
    <n v="5.93"/>
    <n v="1"/>
    <x v="2"/>
    <x v="8"/>
    <x v="20"/>
    <x v="1"/>
    <x v="0"/>
    <x v="0"/>
  </r>
  <r>
    <x v="626"/>
    <n v="41.97"/>
    <x v="3"/>
    <x v="3"/>
    <x v="93"/>
    <n v="2.96"/>
    <n v="0.2525"/>
    <x v="6"/>
    <m/>
    <n v="0"/>
    <x v="2"/>
    <x v="8"/>
    <x v="20"/>
    <x v="1"/>
    <x v="2"/>
    <x v="0"/>
  </r>
  <r>
    <x v="627"/>
    <n v="41.97"/>
    <x v="3"/>
    <x v="3"/>
    <x v="63"/>
    <n v="3.06"/>
    <n v="0.19040000000000001"/>
    <x v="3"/>
    <n v="6.8"/>
    <n v="0"/>
    <x v="2"/>
    <x v="8"/>
    <x v="20"/>
    <x v="0"/>
    <x v="2"/>
    <x v="0"/>
  </r>
  <r>
    <x v="628"/>
    <n v="42.59"/>
    <x v="432"/>
    <x v="423"/>
    <x v="21"/>
    <n v="3.06"/>
    <n v="0.1381"/>
    <x v="40"/>
    <n v="6.57"/>
    <n v="1"/>
    <x v="2"/>
    <x v="9"/>
    <x v="21"/>
    <x v="0"/>
    <x v="0"/>
    <x v="0"/>
  </r>
  <r>
    <x v="629"/>
    <n v="42.73"/>
    <x v="433"/>
    <x v="53"/>
    <x v="50"/>
    <n v="3.19"/>
    <n v="0.16550000000000001"/>
    <x v="26"/>
    <n v="5.77"/>
    <n v="1"/>
    <x v="2"/>
    <x v="9"/>
    <x v="21"/>
    <x v="0"/>
    <x v="0"/>
    <x v="0"/>
  </r>
  <r>
    <x v="630"/>
    <n v="42.2"/>
    <x v="434"/>
    <x v="424"/>
    <x v="57"/>
    <n v="3.41"/>
    <n v="0.3674"/>
    <x v="4"/>
    <n v="7.45"/>
    <n v="1"/>
    <x v="2"/>
    <x v="9"/>
    <x v="21"/>
    <x v="0"/>
    <x v="1"/>
    <x v="0"/>
  </r>
  <r>
    <x v="631"/>
    <n v="41.43"/>
    <x v="435"/>
    <x v="425"/>
    <x v="62"/>
    <n v="3.3"/>
    <n v="0.3649"/>
    <x v="4"/>
    <n v="5.9"/>
    <n v="1"/>
    <x v="2"/>
    <x v="9"/>
    <x v="21"/>
    <x v="0"/>
    <x v="1"/>
    <x v="0"/>
  </r>
  <r>
    <x v="632"/>
    <n v="41.96"/>
    <x v="436"/>
    <x v="426"/>
    <x v="56"/>
    <n v="3.19"/>
    <n v="0.2044"/>
    <x v="11"/>
    <n v="4.76"/>
    <n v="1"/>
    <x v="2"/>
    <x v="9"/>
    <x v="21"/>
    <x v="1"/>
    <x v="0"/>
    <x v="0"/>
  </r>
  <r>
    <x v="633"/>
    <n v="41.96"/>
    <x v="3"/>
    <x v="3"/>
    <x v="52"/>
    <n v="3.23"/>
    <n v="0.28389999999999999"/>
    <x v="4"/>
    <n v="5.6"/>
    <n v="0"/>
    <x v="2"/>
    <x v="9"/>
    <x v="21"/>
    <x v="1"/>
    <x v="2"/>
    <x v="0"/>
  </r>
  <r>
    <x v="634"/>
    <n v="41.96"/>
    <x v="3"/>
    <x v="3"/>
    <x v="94"/>
    <n v="3.22"/>
    <n v="0.23760000000000001"/>
    <x v="4"/>
    <n v="5.33"/>
    <n v="0"/>
    <x v="2"/>
    <x v="9"/>
    <x v="21"/>
    <x v="0"/>
    <x v="2"/>
    <x v="0"/>
  </r>
  <r>
    <x v="635"/>
    <n v="41.95"/>
    <x v="437"/>
    <x v="427"/>
    <x v="60"/>
    <n v="3.3"/>
    <n v="0.309"/>
    <x v="3"/>
    <n v="6.4"/>
    <n v="1"/>
    <x v="2"/>
    <x v="9"/>
    <x v="21"/>
    <x v="0"/>
    <x v="0"/>
    <x v="0"/>
  </r>
  <r>
    <x v="636"/>
    <n v="43.4"/>
    <x v="438"/>
    <x v="428"/>
    <x v="95"/>
    <n v="3.2"/>
    <n v="0.24279999999999999"/>
    <x v="6"/>
    <m/>
    <n v="1"/>
    <x v="2"/>
    <x v="9"/>
    <x v="21"/>
    <x v="0"/>
    <x v="0"/>
    <x v="0"/>
  </r>
  <r>
    <x v="637"/>
    <n v="43.45"/>
    <x v="439"/>
    <x v="429"/>
    <x v="88"/>
    <n v="3.18"/>
    <n v="0.34060000000000001"/>
    <x v="7"/>
    <n v="7.2"/>
    <n v="1"/>
    <x v="2"/>
    <x v="9"/>
    <x v="21"/>
    <x v="0"/>
    <x v="1"/>
    <x v="0"/>
  </r>
  <r>
    <x v="638"/>
    <n v="42.56"/>
    <x v="440"/>
    <x v="430"/>
    <x v="50"/>
    <n v="3.12"/>
    <n v="0.17319999999999999"/>
    <x v="4"/>
    <n v="7.2"/>
    <n v="1"/>
    <x v="2"/>
    <x v="9"/>
    <x v="21"/>
    <x v="0"/>
    <x v="1"/>
    <x v="0"/>
  </r>
  <r>
    <x v="639"/>
    <n v="41.81"/>
    <x v="441"/>
    <x v="431"/>
    <x v="46"/>
    <n v="3.34"/>
    <n v="0.2359"/>
    <x v="25"/>
    <n v="6.62"/>
    <n v="1"/>
    <x v="2"/>
    <x v="9"/>
    <x v="21"/>
    <x v="1"/>
    <x v="1"/>
    <x v="0"/>
  </r>
  <r>
    <x v="640"/>
    <n v="41.81"/>
    <x v="3"/>
    <x v="3"/>
    <x v="60"/>
    <n v="3.23"/>
    <n v="0.29949999999999999"/>
    <x v="12"/>
    <n v="5.27"/>
    <n v="0"/>
    <x v="2"/>
    <x v="9"/>
    <x v="21"/>
    <x v="1"/>
    <x v="2"/>
    <x v="0"/>
  </r>
  <r>
    <x v="641"/>
    <n v="41.81"/>
    <x v="3"/>
    <x v="3"/>
    <x v="58"/>
    <n v="3.03"/>
    <n v="0.2787"/>
    <x v="3"/>
    <m/>
    <n v="0"/>
    <x v="2"/>
    <x v="9"/>
    <x v="21"/>
    <x v="0"/>
    <x v="2"/>
    <x v="0"/>
  </r>
  <r>
    <x v="642"/>
    <n v="42.55"/>
    <x v="442"/>
    <x v="432"/>
    <x v="30"/>
    <n v="3.3"/>
    <n v="0.33910000000000001"/>
    <x v="12"/>
    <n v="6.38"/>
    <n v="1"/>
    <x v="2"/>
    <x v="9"/>
    <x v="21"/>
    <x v="0"/>
    <x v="0"/>
    <x v="0"/>
  </r>
  <r>
    <x v="643"/>
    <n v="43.61"/>
    <x v="443"/>
    <x v="433"/>
    <x v="46"/>
    <n v="3.05"/>
    <n v="0.2185"/>
    <x v="0"/>
    <n v="4.4000000000000004"/>
    <n v="1"/>
    <x v="2"/>
    <x v="9"/>
    <x v="21"/>
    <x v="0"/>
    <x v="0"/>
    <x v="0"/>
  </r>
  <r>
    <x v="644"/>
    <n v="44.78"/>
    <x v="444"/>
    <x v="36"/>
    <x v="92"/>
    <n v="2.94"/>
    <n v="0.1888"/>
    <x v="0"/>
    <n v="5.2"/>
    <n v="1"/>
    <x v="2"/>
    <x v="9"/>
    <x v="21"/>
    <x v="0"/>
    <x v="0"/>
    <x v="0"/>
  </r>
  <r>
    <x v="645"/>
    <n v="44.99"/>
    <x v="445"/>
    <x v="434"/>
    <x v="70"/>
    <n v="2.78"/>
    <n v="0.21640000000000001"/>
    <x v="25"/>
    <n v="6.9"/>
    <n v="1"/>
    <x v="2"/>
    <x v="9"/>
    <x v="21"/>
    <x v="0"/>
    <x v="0"/>
    <x v="0"/>
  </r>
  <r>
    <x v="646"/>
    <n v="45.37"/>
    <x v="446"/>
    <x v="435"/>
    <x v="73"/>
    <n v="2.94"/>
    <n v="0.16300000000000001"/>
    <x v="27"/>
    <n v="6.78"/>
    <n v="1"/>
    <x v="2"/>
    <x v="9"/>
    <x v="21"/>
    <x v="1"/>
    <x v="0"/>
    <x v="0"/>
  </r>
  <r>
    <x v="647"/>
    <n v="45.37"/>
    <x v="3"/>
    <x v="3"/>
    <x v="25"/>
    <n v="3.03"/>
    <n v="0.23480000000000001"/>
    <x v="3"/>
    <n v="5.5"/>
    <n v="0"/>
    <x v="2"/>
    <x v="9"/>
    <x v="21"/>
    <x v="1"/>
    <x v="2"/>
    <x v="0"/>
  </r>
  <r>
    <x v="648"/>
    <n v="45.37"/>
    <x v="3"/>
    <x v="3"/>
    <x v="44"/>
    <n v="2.84"/>
    <n v="0.19550000000000001"/>
    <x v="0"/>
    <n v="6.35"/>
    <n v="0"/>
    <x v="2"/>
    <x v="9"/>
    <x v="21"/>
    <x v="0"/>
    <x v="2"/>
    <x v="0"/>
  </r>
  <r>
    <x v="649"/>
    <n v="46.8"/>
    <x v="447"/>
    <x v="436"/>
    <x v="24"/>
    <n v="3.07"/>
    <n v="0.26200000000000001"/>
    <x v="10"/>
    <n v="6.2"/>
    <n v="1"/>
    <x v="2"/>
    <x v="9"/>
    <x v="21"/>
    <x v="0"/>
    <x v="0"/>
    <x v="0"/>
  </r>
  <r>
    <x v="650"/>
    <n v="46.63"/>
    <x v="448"/>
    <x v="437"/>
    <x v="49"/>
    <n v="3.21"/>
    <n v="0.1948"/>
    <x v="4"/>
    <n v="6.4"/>
    <n v="1"/>
    <x v="2"/>
    <x v="9"/>
    <x v="21"/>
    <x v="0"/>
    <x v="1"/>
    <x v="0"/>
  </r>
  <r>
    <x v="651"/>
    <n v="45.78"/>
    <x v="449"/>
    <x v="438"/>
    <x v="81"/>
    <n v="2.91"/>
    <n v="0.1875"/>
    <x v="10"/>
    <n v="6.88"/>
    <n v="1"/>
    <x v="2"/>
    <x v="9"/>
    <x v="21"/>
    <x v="0"/>
    <x v="1"/>
    <x v="0"/>
  </r>
  <r>
    <x v="652"/>
    <n v="46.59"/>
    <x v="450"/>
    <x v="439"/>
    <x v="62"/>
    <n v="2.84"/>
    <n v="0.14760000000000001"/>
    <x v="4"/>
    <n v="5.67"/>
    <n v="1"/>
    <x v="2"/>
    <x v="9"/>
    <x v="21"/>
    <x v="0"/>
    <x v="0"/>
    <x v="0"/>
  </r>
  <r>
    <x v="653"/>
    <n v="44.34"/>
    <x v="451"/>
    <x v="440"/>
    <x v="29"/>
    <n v="2.91"/>
    <n v="0.24229999999999999"/>
    <x v="18"/>
    <n v="7.06"/>
    <n v="1"/>
    <x v="2"/>
    <x v="9"/>
    <x v="21"/>
    <x v="1"/>
    <x v="1"/>
    <x v="0"/>
  </r>
  <r>
    <x v="654"/>
    <n v="44.34"/>
    <x v="3"/>
    <x v="3"/>
    <x v="72"/>
    <n v="2.97"/>
    <n v="0.13039999999999999"/>
    <x v="4"/>
    <n v="7.1"/>
    <n v="0"/>
    <x v="2"/>
    <x v="9"/>
    <x v="21"/>
    <x v="1"/>
    <x v="2"/>
    <x v="0"/>
  </r>
  <r>
    <x v="655"/>
    <n v="44.34"/>
    <x v="3"/>
    <x v="3"/>
    <x v="74"/>
    <n v="3.17"/>
    <n v="0.26989999999999997"/>
    <x v="4"/>
    <n v="6.9"/>
    <n v="0"/>
    <x v="2"/>
    <x v="9"/>
    <x v="21"/>
    <x v="0"/>
    <x v="2"/>
    <x v="0"/>
  </r>
  <r>
    <x v="656"/>
    <n v="44.72"/>
    <x v="452"/>
    <x v="441"/>
    <x v="57"/>
    <n v="2.9"/>
    <n v="0.2873"/>
    <x v="3"/>
    <m/>
    <n v="1"/>
    <x v="2"/>
    <x v="9"/>
    <x v="21"/>
    <x v="0"/>
    <x v="0"/>
    <x v="0"/>
  </r>
  <r>
    <x v="657"/>
    <n v="45.5"/>
    <x v="453"/>
    <x v="274"/>
    <x v="96"/>
    <n v="2.86"/>
    <n v="0.27489999999999998"/>
    <x v="10"/>
    <n v="5.97"/>
    <n v="1"/>
    <x v="2"/>
    <x v="9"/>
    <x v="21"/>
    <x v="0"/>
    <x v="0"/>
    <x v="0"/>
  </r>
  <r>
    <x v="658"/>
    <n v="48.56"/>
    <x v="454"/>
    <x v="442"/>
    <x v="81"/>
    <n v="2.87"/>
    <n v="0.16689999999999999"/>
    <x v="39"/>
    <n v="6.79"/>
    <n v="1"/>
    <x v="2"/>
    <x v="10"/>
    <x v="22"/>
    <x v="0"/>
    <x v="0"/>
    <x v="0"/>
  </r>
  <r>
    <x v="659"/>
    <n v="47.69"/>
    <x v="455"/>
    <x v="443"/>
    <x v="70"/>
    <n v="2.99"/>
    <n v="0.21410000000000001"/>
    <x v="4"/>
    <n v="6.55"/>
    <n v="1"/>
    <x v="2"/>
    <x v="10"/>
    <x v="22"/>
    <x v="1"/>
    <x v="1"/>
    <x v="0"/>
  </r>
  <r>
    <x v="660"/>
    <n v="47.69"/>
    <x v="3"/>
    <x v="3"/>
    <x v="87"/>
    <n v="3"/>
    <n v="0.18440000000000001"/>
    <x v="11"/>
    <n v="6.2"/>
    <n v="0"/>
    <x v="2"/>
    <x v="10"/>
    <x v="22"/>
    <x v="1"/>
    <x v="2"/>
    <x v="0"/>
  </r>
  <r>
    <x v="661"/>
    <n v="47.69"/>
    <x v="3"/>
    <x v="3"/>
    <x v="29"/>
    <n v="3.13"/>
    <n v="0.31759999999999999"/>
    <x v="3"/>
    <m/>
    <n v="0"/>
    <x v="2"/>
    <x v="10"/>
    <x v="22"/>
    <x v="1"/>
    <x v="2"/>
    <x v="0"/>
  </r>
  <r>
    <x v="662"/>
    <n v="47.69"/>
    <x v="3"/>
    <x v="3"/>
    <x v="63"/>
    <n v="2.74"/>
    <n v="0.11550000000000001"/>
    <x v="35"/>
    <n v="6.01"/>
    <n v="0"/>
    <x v="2"/>
    <x v="10"/>
    <x v="22"/>
    <x v="0"/>
    <x v="2"/>
    <x v="0"/>
  </r>
  <r>
    <x v="663"/>
    <n v="49.38"/>
    <x v="456"/>
    <x v="444"/>
    <x v="24"/>
    <n v="3.09"/>
    <n v="0.30659999999999998"/>
    <x v="4"/>
    <n v="6.4"/>
    <n v="1"/>
    <x v="2"/>
    <x v="10"/>
    <x v="22"/>
    <x v="0"/>
    <x v="0"/>
    <x v="0"/>
  </r>
  <r>
    <x v="664"/>
    <n v="49.32"/>
    <x v="457"/>
    <x v="445"/>
    <x v="97"/>
    <n v="3.29"/>
    <n v="0.28970000000000001"/>
    <x v="0"/>
    <m/>
    <n v="1"/>
    <x v="2"/>
    <x v="10"/>
    <x v="22"/>
    <x v="0"/>
    <x v="1"/>
    <x v="0"/>
  </r>
  <r>
    <x v="665"/>
    <n v="50.28"/>
    <x v="458"/>
    <x v="446"/>
    <x v="96"/>
    <n v="3.69"/>
    <n v="0.38740000000000002"/>
    <x v="12"/>
    <n v="6.78"/>
    <n v="1"/>
    <x v="2"/>
    <x v="10"/>
    <x v="22"/>
    <x v="0"/>
    <x v="0"/>
    <x v="0"/>
  </r>
  <r>
    <x v="666"/>
    <n v="50.78"/>
    <x v="459"/>
    <x v="447"/>
    <x v="77"/>
    <n v="2.86"/>
    <n v="0.23580000000000001"/>
    <x v="4"/>
    <n v="6.3"/>
    <n v="1"/>
    <x v="2"/>
    <x v="10"/>
    <x v="22"/>
    <x v="0"/>
    <x v="1"/>
    <x v="0"/>
  </r>
  <r>
    <x v="667"/>
    <n v="54.87"/>
    <x v="460"/>
    <x v="448"/>
    <x v="92"/>
    <n v="2.98"/>
    <n v="0.2006"/>
    <x v="11"/>
    <n v="6.52"/>
    <n v="1"/>
    <x v="2"/>
    <x v="10"/>
    <x v="22"/>
    <x v="1"/>
    <x v="0"/>
    <x v="0"/>
  </r>
  <r>
    <x v="668"/>
    <n v="54.87"/>
    <x v="3"/>
    <x v="3"/>
    <x v="66"/>
    <n v="3.33"/>
    <n v="0.28489999999999999"/>
    <x v="3"/>
    <n v="8.1999999999999993"/>
    <n v="0"/>
    <x v="2"/>
    <x v="10"/>
    <x v="22"/>
    <x v="1"/>
    <x v="2"/>
    <x v="0"/>
  </r>
  <r>
    <x v="669"/>
    <n v="54.87"/>
    <x v="3"/>
    <x v="3"/>
    <x v="52"/>
    <n v="3.14"/>
    <n v="0.2984"/>
    <x v="6"/>
    <m/>
    <n v="0"/>
    <x v="2"/>
    <x v="10"/>
    <x v="22"/>
    <x v="0"/>
    <x v="2"/>
    <x v="0"/>
  </r>
  <r>
    <x v="670"/>
    <n v="52.55"/>
    <x v="461"/>
    <x v="449"/>
    <x v="57"/>
    <n v="3.52"/>
    <n v="0.42020000000000002"/>
    <x v="6"/>
    <m/>
    <n v="1"/>
    <x v="2"/>
    <x v="10"/>
    <x v="22"/>
    <x v="0"/>
    <x v="1"/>
    <x v="0"/>
  </r>
  <r>
    <x v="671"/>
    <n v="52.49"/>
    <x v="462"/>
    <x v="310"/>
    <x v="59"/>
    <n v="3.18"/>
    <n v="0.2712"/>
    <x v="4"/>
    <n v="6.45"/>
    <n v="1"/>
    <x v="2"/>
    <x v="10"/>
    <x v="22"/>
    <x v="0"/>
    <x v="0"/>
    <x v="0"/>
  </r>
  <r>
    <x v="672"/>
    <n v="52.33"/>
    <x v="463"/>
    <x v="450"/>
    <x v="67"/>
    <n v="3.35"/>
    <n v="0.24990000000000001"/>
    <x v="7"/>
    <n v="5.45"/>
    <n v="1"/>
    <x v="2"/>
    <x v="10"/>
    <x v="22"/>
    <x v="0"/>
    <x v="0"/>
    <x v="0"/>
  </r>
  <r>
    <x v="673"/>
    <n v="52.74"/>
    <x v="464"/>
    <x v="451"/>
    <x v="86"/>
    <n v="3.25"/>
    <n v="0.25409999999999999"/>
    <x v="10"/>
    <n v="5.28"/>
    <n v="1"/>
    <x v="2"/>
    <x v="10"/>
    <x v="22"/>
    <x v="0"/>
    <x v="0"/>
    <x v="0"/>
  </r>
  <r>
    <x v="674"/>
    <n v="49.3"/>
    <x v="465"/>
    <x v="452"/>
    <x v="69"/>
    <n v="2.62"/>
    <n v="0.13550000000000001"/>
    <x v="12"/>
    <n v="6.44"/>
    <n v="1"/>
    <x v="2"/>
    <x v="10"/>
    <x v="22"/>
    <x v="1"/>
    <x v="1"/>
    <x v="0"/>
  </r>
  <r>
    <x v="675"/>
    <n v="49.3"/>
    <x v="3"/>
    <x v="3"/>
    <x v="68"/>
    <n v="2.74"/>
    <n v="0.19989999999999999"/>
    <x v="4"/>
    <n v="6.77"/>
    <n v="0"/>
    <x v="2"/>
    <x v="10"/>
    <x v="22"/>
    <x v="1"/>
    <x v="2"/>
    <x v="0"/>
  </r>
  <r>
    <x v="676"/>
    <n v="49.3"/>
    <x v="3"/>
    <x v="3"/>
    <x v="93"/>
    <n v="2.9"/>
    <n v="0.16839999999999999"/>
    <x v="0"/>
    <n v="7.8"/>
    <n v="0"/>
    <x v="2"/>
    <x v="10"/>
    <x v="22"/>
    <x v="0"/>
    <x v="2"/>
    <x v="0"/>
  </r>
  <r>
    <x v="677"/>
    <n v="50.24"/>
    <x v="466"/>
    <x v="453"/>
    <x v="52"/>
    <n v="3.2"/>
    <n v="0.32569999999999999"/>
    <x v="6"/>
    <m/>
    <n v="1"/>
    <x v="2"/>
    <x v="10"/>
    <x v="22"/>
    <x v="0"/>
    <x v="0"/>
    <x v="0"/>
  </r>
  <r>
    <x v="678"/>
    <n v="49.01"/>
    <x v="467"/>
    <x v="454"/>
    <x v="94"/>
    <n v="2.65"/>
    <n v="0.1193"/>
    <x v="10"/>
    <n v="7.47"/>
    <n v="1"/>
    <x v="2"/>
    <x v="10"/>
    <x v="22"/>
    <x v="0"/>
    <x v="1"/>
    <x v="0"/>
  </r>
  <r>
    <x v="679"/>
    <n v="48.98"/>
    <x v="468"/>
    <x v="455"/>
    <x v="81"/>
    <n v="3.1"/>
    <n v="0.2462"/>
    <x v="12"/>
    <n v="7.6"/>
    <n v="1"/>
    <x v="2"/>
    <x v="10"/>
    <x v="22"/>
    <x v="0"/>
    <x v="1"/>
    <x v="0"/>
  </r>
  <r>
    <x v="680"/>
    <n v="47.76"/>
    <x v="469"/>
    <x v="456"/>
    <x v="86"/>
    <n v="3.21"/>
    <n v="0.25619999999999998"/>
    <x v="4"/>
    <n v="6.6"/>
    <n v="1"/>
    <x v="2"/>
    <x v="10"/>
    <x v="22"/>
    <x v="0"/>
    <x v="1"/>
    <x v="0"/>
  </r>
  <r>
    <x v="681"/>
    <n v="48.04"/>
    <x v="470"/>
    <x v="457"/>
    <x v="84"/>
    <n v="3.11"/>
    <n v="0.20200000000000001"/>
    <x v="14"/>
    <n v="5.84"/>
    <n v="1"/>
    <x v="2"/>
    <x v="10"/>
    <x v="22"/>
    <x v="1"/>
    <x v="0"/>
    <x v="0"/>
  </r>
  <r>
    <x v="682"/>
    <n v="48.04"/>
    <x v="3"/>
    <x v="3"/>
    <x v="83"/>
    <n v="3.2"/>
    <n v="0.2747"/>
    <x v="4"/>
    <n v="6.4"/>
    <n v="0"/>
    <x v="2"/>
    <x v="10"/>
    <x v="22"/>
    <x v="1"/>
    <x v="2"/>
    <x v="0"/>
  </r>
  <r>
    <x v="683"/>
    <n v="48.04"/>
    <x v="3"/>
    <x v="3"/>
    <x v="74"/>
    <n v="3.04"/>
    <n v="0.2462"/>
    <x v="0"/>
    <m/>
    <n v="0"/>
    <x v="2"/>
    <x v="10"/>
    <x v="22"/>
    <x v="0"/>
    <x v="2"/>
    <x v="0"/>
  </r>
  <r>
    <x v="684"/>
    <n v="49.56"/>
    <x v="471"/>
    <x v="458"/>
    <x v="73"/>
    <n v="3.59"/>
    <n v="0.27500000000000002"/>
    <x v="6"/>
    <m/>
    <n v="1"/>
    <x v="2"/>
    <x v="10"/>
    <x v="22"/>
    <x v="0"/>
    <x v="0"/>
    <x v="0"/>
  </r>
  <r>
    <x v="685"/>
    <n v="48.85"/>
    <x v="472"/>
    <x v="459"/>
    <x v="69"/>
    <n v="3.32"/>
    <n v="0.31509999999999999"/>
    <x v="3"/>
    <m/>
    <n v="1"/>
    <x v="2"/>
    <x v="10"/>
    <x v="22"/>
    <x v="0"/>
    <x v="1"/>
    <x v="0"/>
  </r>
  <r>
    <x v="686"/>
    <n v="48.45"/>
    <x v="473"/>
    <x v="309"/>
    <x v="93"/>
    <n v="2.99"/>
    <n v="0.1923"/>
    <x v="12"/>
    <n v="6.68"/>
    <n v="1"/>
    <x v="2"/>
    <x v="10"/>
    <x v="22"/>
    <x v="0"/>
    <x v="1"/>
    <x v="0"/>
  </r>
  <r>
    <x v="687"/>
    <n v="48.58"/>
    <x v="474"/>
    <x v="460"/>
    <x v="55"/>
    <n v="3.44"/>
    <n v="0.28160000000000002"/>
    <x v="10"/>
    <n v="7.25"/>
    <n v="1"/>
    <x v="2"/>
    <x v="10"/>
    <x v="22"/>
    <x v="0"/>
    <x v="0"/>
    <x v="0"/>
  </r>
  <r>
    <x v="688"/>
    <n v="48.89"/>
    <x v="475"/>
    <x v="461"/>
    <x v="70"/>
    <n v="3.14"/>
    <n v="0.27829999999999999"/>
    <x v="14"/>
    <n v="6.26"/>
    <n v="1"/>
    <x v="2"/>
    <x v="10"/>
    <x v="22"/>
    <x v="1"/>
    <x v="0"/>
    <x v="0"/>
  </r>
  <r>
    <x v="689"/>
    <n v="48.89"/>
    <x v="3"/>
    <x v="3"/>
    <x v="68"/>
    <n v="3.2"/>
    <n v="0.28689999999999999"/>
    <x v="29"/>
    <n v="5.99"/>
    <n v="0"/>
    <x v="2"/>
    <x v="11"/>
    <x v="23"/>
    <x v="1"/>
    <x v="2"/>
    <x v="0"/>
  </r>
  <r>
    <x v="690"/>
    <n v="48.89"/>
    <x v="3"/>
    <x v="3"/>
    <x v="86"/>
    <n v="2.4900000000000002"/>
    <n v="4.6399999999999997E-2"/>
    <x v="4"/>
    <n v="6.7"/>
    <n v="0"/>
    <x v="2"/>
    <x v="11"/>
    <x v="23"/>
    <x v="0"/>
    <x v="2"/>
    <x v="1"/>
  </r>
  <r>
    <x v="691"/>
    <n v="49.86"/>
    <x v="476"/>
    <x v="462"/>
    <x v="30"/>
    <n v="3.07"/>
    <n v="0.25240000000000001"/>
    <x v="3"/>
    <n v="7.6"/>
    <n v="1"/>
    <x v="2"/>
    <x v="11"/>
    <x v="23"/>
    <x v="0"/>
    <x v="0"/>
    <x v="0"/>
  </r>
  <r>
    <x v="692"/>
    <n v="50.96"/>
    <x v="477"/>
    <x v="463"/>
    <x v="22"/>
    <n v="3.28"/>
    <n v="0.3609"/>
    <x v="10"/>
    <n v="6.2"/>
    <n v="1"/>
    <x v="2"/>
    <x v="11"/>
    <x v="23"/>
    <x v="0"/>
    <x v="0"/>
    <x v="0"/>
  </r>
  <r>
    <x v="693"/>
    <n v="50.21"/>
    <x v="478"/>
    <x v="464"/>
    <x v="22"/>
    <n v="3.23"/>
    <n v="0.22090000000000001"/>
    <x v="4"/>
    <n v="5.57"/>
    <n v="1"/>
    <x v="2"/>
    <x v="11"/>
    <x v="23"/>
    <x v="0"/>
    <x v="1"/>
    <x v="0"/>
  </r>
  <r>
    <x v="694"/>
    <n v="50.91"/>
    <x v="479"/>
    <x v="465"/>
    <x v="46"/>
    <n v="3.04"/>
    <n v="0.23369999999999999"/>
    <x v="10"/>
    <n v="6.2"/>
    <n v="1"/>
    <x v="2"/>
    <x v="11"/>
    <x v="23"/>
    <x v="0"/>
    <x v="0"/>
    <x v="0"/>
  </r>
  <r>
    <x v="695"/>
    <n v="49.47"/>
    <x v="480"/>
    <x v="466"/>
    <x v="70"/>
    <n v="3"/>
    <n v="0.33200000000000002"/>
    <x v="1"/>
    <n v="5.84"/>
    <n v="1"/>
    <x v="2"/>
    <x v="11"/>
    <x v="23"/>
    <x v="1"/>
    <x v="1"/>
    <x v="0"/>
  </r>
  <r>
    <x v="696"/>
    <n v="49.47"/>
    <x v="3"/>
    <x v="3"/>
    <x v="92"/>
    <n v="2.7"/>
    <n v="0.26429999999999998"/>
    <x v="4"/>
    <n v="5.07"/>
    <n v="0"/>
    <x v="2"/>
    <x v="11"/>
    <x v="23"/>
    <x v="1"/>
    <x v="2"/>
    <x v="0"/>
  </r>
  <r>
    <x v="697"/>
    <n v="49.47"/>
    <x v="3"/>
    <x v="3"/>
    <x v="67"/>
    <n v="2.69"/>
    <n v="0.15290000000000001"/>
    <x v="3"/>
    <n v="6.1"/>
    <n v="0"/>
    <x v="2"/>
    <x v="11"/>
    <x v="23"/>
    <x v="0"/>
    <x v="2"/>
    <x v="0"/>
  </r>
  <r>
    <x v="698"/>
    <n v="48.34"/>
    <x v="481"/>
    <x v="467"/>
    <x v="22"/>
    <n v="3.08"/>
    <n v="0.24640000000000001"/>
    <x v="12"/>
    <n v="6.7"/>
    <n v="1"/>
    <x v="2"/>
    <x v="11"/>
    <x v="23"/>
    <x v="0"/>
    <x v="1"/>
    <x v="0"/>
  </r>
  <r>
    <x v="699"/>
    <n v="46.69"/>
    <x v="482"/>
    <x v="468"/>
    <x v="57"/>
    <n v="3.16"/>
    <n v="0.27810000000000001"/>
    <x v="0"/>
    <n v="6.8"/>
    <n v="1"/>
    <x v="2"/>
    <x v="11"/>
    <x v="23"/>
    <x v="0"/>
    <x v="1"/>
    <x v="0"/>
  </r>
  <r>
    <x v="700"/>
    <n v="47.55"/>
    <x v="144"/>
    <x v="469"/>
    <x v="84"/>
    <n v="3.28"/>
    <n v="0.30709999999999998"/>
    <x v="4"/>
    <n v="5.2"/>
    <n v="1"/>
    <x v="2"/>
    <x v="11"/>
    <x v="23"/>
    <x v="0"/>
    <x v="0"/>
    <x v="0"/>
  </r>
  <r>
    <x v="701"/>
    <n v="48.13"/>
    <x v="483"/>
    <x v="470"/>
    <x v="92"/>
    <n v="2.84"/>
    <n v="0.23080000000000001"/>
    <x v="7"/>
    <n v="5.8"/>
    <n v="1"/>
    <x v="2"/>
    <x v="11"/>
    <x v="23"/>
    <x v="0"/>
    <x v="0"/>
    <x v="0"/>
  </r>
  <r>
    <x v="702"/>
    <n v="48.27"/>
    <x v="484"/>
    <x v="471"/>
    <x v="89"/>
    <n v="3.23"/>
    <n v="0.29120000000000001"/>
    <x v="1"/>
    <n v="6.56"/>
    <n v="1"/>
    <x v="2"/>
    <x v="11"/>
    <x v="23"/>
    <x v="1"/>
    <x v="1"/>
    <x v="0"/>
  </r>
  <r>
    <x v="703"/>
    <n v="48.27"/>
    <x v="3"/>
    <x v="3"/>
    <x v="98"/>
    <n v="3.2"/>
    <n v="0.24030000000000001"/>
    <x v="5"/>
    <n v="5.68"/>
    <n v="0"/>
    <x v="2"/>
    <x v="11"/>
    <x v="23"/>
    <x v="1"/>
    <x v="2"/>
    <x v="0"/>
  </r>
  <r>
    <x v="704"/>
    <n v="48.27"/>
    <x v="3"/>
    <x v="3"/>
    <x v="92"/>
    <n v="3"/>
    <n v="0.16839999999999999"/>
    <x v="4"/>
    <n v="6.73"/>
    <n v="0"/>
    <x v="2"/>
    <x v="11"/>
    <x v="23"/>
    <x v="0"/>
    <x v="2"/>
    <x v="0"/>
  </r>
  <r>
    <x v="705"/>
    <n v="48.24"/>
    <x v="485"/>
    <x v="452"/>
    <x v="45"/>
    <n v="2.87"/>
    <n v="0.1366"/>
    <x v="4"/>
    <n v="6.95"/>
    <n v="1"/>
    <x v="2"/>
    <x v="11"/>
    <x v="23"/>
    <x v="0"/>
    <x v="1"/>
    <x v="0"/>
  </r>
  <r>
    <x v="706"/>
    <n v="49.19"/>
    <x v="486"/>
    <x v="472"/>
    <x v="58"/>
    <n v="3.17"/>
    <n v="0.2918"/>
    <x v="0"/>
    <n v="4.8499999999999996"/>
    <n v="1"/>
    <x v="2"/>
    <x v="11"/>
    <x v="23"/>
    <x v="0"/>
    <x v="0"/>
    <x v="0"/>
  </r>
  <r>
    <x v="707"/>
    <n v="48.45"/>
    <x v="487"/>
    <x v="473"/>
    <x v="53"/>
    <n v="3.21"/>
    <n v="0.26350000000000001"/>
    <x v="4"/>
    <n v="6.87"/>
    <n v="1"/>
    <x v="2"/>
    <x v="11"/>
    <x v="23"/>
    <x v="0"/>
    <x v="1"/>
    <x v="0"/>
  </r>
  <r>
    <x v="708"/>
    <n v="49.79"/>
    <x v="488"/>
    <x v="474"/>
    <x v="52"/>
    <n v="3.06"/>
    <n v="0.20200000000000001"/>
    <x v="5"/>
    <n v="5.66"/>
    <n v="1"/>
    <x v="2"/>
    <x v="11"/>
    <x v="23"/>
    <x v="0"/>
    <x v="0"/>
    <x v="0"/>
  </r>
  <r>
    <x v="709"/>
    <n v="49.23"/>
    <x v="489"/>
    <x v="475"/>
    <x v="67"/>
    <n v="2.85"/>
    <n v="0.26379999999999998"/>
    <x v="18"/>
    <n v="5.51"/>
    <n v="1"/>
    <x v="2"/>
    <x v="11"/>
    <x v="23"/>
    <x v="1"/>
    <x v="1"/>
    <x v="0"/>
  </r>
  <r>
    <x v="710"/>
    <n v="49.23"/>
    <x v="3"/>
    <x v="3"/>
    <x v="56"/>
    <n v="2.95"/>
    <n v="0.26840000000000003"/>
    <x v="0"/>
    <n v="6.3"/>
    <n v="0"/>
    <x v="2"/>
    <x v="11"/>
    <x v="23"/>
    <x v="1"/>
    <x v="2"/>
    <x v="0"/>
  </r>
  <r>
    <x v="711"/>
    <n v="49.23"/>
    <x v="3"/>
    <x v="3"/>
    <x v="49"/>
    <n v="2.57"/>
    <n v="0.36170000000000002"/>
    <x v="3"/>
    <n v="5.8"/>
    <n v="0"/>
    <x v="2"/>
    <x v="11"/>
    <x v="23"/>
    <x v="0"/>
    <x v="2"/>
    <x v="0"/>
  </r>
  <r>
    <x v="712"/>
    <n v="48.88"/>
    <x v="490"/>
    <x v="476"/>
    <x v="53"/>
    <n v="3.36"/>
    <n v="0.34200000000000003"/>
    <x v="4"/>
    <n v="6.2"/>
    <n v="1"/>
    <x v="2"/>
    <x v="11"/>
    <x v="23"/>
    <x v="0"/>
    <x v="1"/>
    <x v="0"/>
  </r>
  <r>
    <x v="713"/>
    <n v="49.06"/>
    <x v="491"/>
    <x v="477"/>
    <x v="92"/>
    <n v="3.36"/>
    <n v="0.24959999999999999"/>
    <x v="0"/>
    <n v="7.75"/>
    <n v="1"/>
    <x v="2"/>
    <x v="11"/>
    <x v="23"/>
    <x v="0"/>
    <x v="0"/>
    <x v="0"/>
  </r>
  <r>
    <x v="714"/>
    <n v="54.75"/>
    <x v="492"/>
    <x v="478"/>
    <x v="48"/>
    <n v="2.93"/>
    <n v="0.11749999999999999"/>
    <x v="12"/>
    <n v="6.7"/>
    <n v="1"/>
    <x v="2"/>
    <x v="11"/>
    <x v="23"/>
    <x v="0"/>
    <x v="0"/>
    <x v="0"/>
  </r>
  <r>
    <x v="715"/>
    <n v="52.63"/>
    <x v="493"/>
    <x v="479"/>
    <x v="60"/>
    <n v="3.57"/>
    <n v="0.36780000000000002"/>
    <x v="5"/>
    <n v="6.18"/>
    <n v="1"/>
    <x v="2"/>
    <x v="11"/>
    <x v="23"/>
    <x v="0"/>
    <x v="1"/>
    <x v="0"/>
  </r>
  <r>
    <x v="716"/>
    <n v="52.39"/>
    <x v="494"/>
    <x v="480"/>
    <x v="53"/>
    <n v="3.09"/>
    <n v="0.24079999999999999"/>
    <x v="12"/>
    <n v="5.48"/>
    <n v="1"/>
    <x v="2"/>
    <x v="11"/>
    <x v="23"/>
    <x v="1"/>
    <x v="1"/>
    <x v="0"/>
  </r>
  <r>
    <x v="717"/>
    <n v="52.39"/>
    <x v="3"/>
    <x v="3"/>
    <x v="31"/>
    <n v="3.24"/>
    <n v="0.1507"/>
    <x v="3"/>
    <n v="6.5"/>
    <n v="0"/>
    <x v="2"/>
    <x v="11"/>
    <x v="23"/>
    <x v="1"/>
    <x v="2"/>
    <x v="0"/>
  </r>
  <r>
    <x v="718"/>
    <n v="52.39"/>
    <x v="3"/>
    <x v="3"/>
    <x v="92"/>
    <n v="2.99"/>
    <n v="0.28420000000000001"/>
    <x v="0"/>
    <n v="6.25"/>
    <n v="0"/>
    <x v="2"/>
    <x v="11"/>
    <x v="23"/>
    <x v="0"/>
    <x v="2"/>
    <x v="0"/>
  </r>
  <r>
    <x v="719"/>
    <n v="52.96"/>
    <x v="495"/>
    <x v="481"/>
    <x v="93"/>
    <n v="3.05"/>
    <n v="0.22070000000000001"/>
    <x v="10"/>
    <n v="6.4"/>
    <n v="1"/>
    <x v="2"/>
    <x v="11"/>
    <x v="23"/>
    <x v="0"/>
    <x v="0"/>
    <x v="0"/>
  </r>
  <r>
    <x v="720"/>
    <n v="55.65"/>
    <x v="496"/>
    <x v="482"/>
    <x v="65"/>
    <n v="3.05"/>
    <n v="0.2029"/>
    <x v="19"/>
    <n v="6.46"/>
    <n v="1"/>
    <x v="2"/>
    <x v="0"/>
    <x v="24"/>
    <x v="0"/>
    <x v="0"/>
    <x v="0"/>
  </r>
  <r>
    <x v="721"/>
    <n v="55.28"/>
    <x v="497"/>
    <x v="483"/>
    <x v="45"/>
    <n v="3.29"/>
    <n v="0.25919999999999999"/>
    <x v="12"/>
    <n v="6.22"/>
    <n v="1"/>
    <x v="2"/>
    <x v="0"/>
    <x v="24"/>
    <x v="0"/>
    <x v="1"/>
    <x v="0"/>
  </r>
  <r>
    <x v="722"/>
    <n v="52.58"/>
    <x v="498"/>
    <x v="484"/>
    <x v="46"/>
    <n v="3.07"/>
    <n v="0.34460000000000002"/>
    <x v="12"/>
    <n v="6.38"/>
    <n v="1"/>
    <x v="2"/>
    <x v="0"/>
    <x v="24"/>
    <x v="0"/>
    <x v="1"/>
    <x v="0"/>
  </r>
  <r>
    <x v="723"/>
    <n v="51.6"/>
    <x v="499"/>
    <x v="198"/>
    <x v="63"/>
    <n v="2.89"/>
    <n v="0.31330000000000002"/>
    <x v="5"/>
    <n v="6.17"/>
    <n v="1"/>
    <x v="2"/>
    <x v="0"/>
    <x v="24"/>
    <x v="1"/>
    <x v="1"/>
    <x v="0"/>
  </r>
  <r>
    <x v="724"/>
    <n v="51.6"/>
    <x v="3"/>
    <x v="3"/>
    <x v="22"/>
    <n v="3.06"/>
    <n v="0.24590000000000001"/>
    <x v="4"/>
    <n v="6"/>
    <n v="0"/>
    <x v="2"/>
    <x v="0"/>
    <x v="24"/>
    <x v="1"/>
    <x v="2"/>
    <x v="0"/>
  </r>
  <r>
    <x v="725"/>
    <n v="51.6"/>
    <x v="3"/>
    <x v="3"/>
    <x v="93"/>
    <n v="2.92"/>
    <n v="8.4199999999999997E-2"/>
    <x v="6"/>
    <m/>
    <n v="0"/>
    <x v="2"/>
    <x v="0"/>
    <x v="24"/>
    <x v="1"/>
    <x v="2"/>
    <x v="1"/>
  </r>
  <r>
    <x v="726"/>
    <n v="51.6"/>
    <x v="3"/>
    <x v="3"/>
    <x v="53"/>
    <n v="3.21"/>
    <n v="0.31359999999999999"/>
    <x v="12"/>
    <n v="7.37"/>
    <n v="0"/>
    <x v="2"/>
    <x v="0"/>
    <x v="24"/>
    <x v="0"/>
    <x v="2"/>
    <x v="0"/>
  </r>
  <r>
    <x v="727"/>
    <n v="50.7"/>
    <x v="500"/>
    <x v="485"/>
    <x v="94"/>
    <n v="3.12"/>
    <n v="0.2399"/>
    <x v="12"/>
    <n v="6.56"/>
    <n v="1"/>
    <x v="2"/>
    <x v="0"/>
    <x v="24"/>
    <x v="0"/>
    <x v="0"/>
    <x v="0"/>
  </r>
  <r>
    <x v="728"/>
    <n v="50.02"/>
    <x v="501"/>
    <x v="486"/>
    <x v="92"/>
    <n v="2.93"/>
    <n v="0.29409999999999997"/>
    <x v="5"/>
    <n v="5.72"/>
    <n v="1"/>
    <x v="2"/>
    <x v="0"/>
    <x v="24"/>
    <x v="0"/>
    <x v="1"/>
    <x v="0"/>
  </r>
  <r>
    <x v="729"/>
    <n v="48.07"/>
    <x v="502"/>
    <x v="487"/>
    <x v="57"/>
    <n v="2.9"/>
    <n v="0.1865"/>
    <x v="2"/>
    <n v="6.8"/>
    <n v="1"/>
    <x v="2"/>
    <x v="0"/>
    <x v="24"/>
    <x v="0"/>
    <x v="1"/>
    <x v="0"/>
  </r>
  <r>
    <x v="730"/>
    <n v="48.2"/>
    <x v="503"/>
    <x v="100"/>
    <x v="82"/>
    <n v="2.59"/>
    <n v="0.27800000000000002"/>
    <x v="11"/>
    <n v="6.44"/>
    <n v="1"/>
    <x v="2"/>
    <x v="0"/>
    <x v="24"/>
    <x v="1"/>
    <x v="1"/>
    <x v="0"/>
  </r>
  <r>
    <x v="731"/>
    <n v="48.2"/>
    <x v="3"/>
    <x v="3"/>
    <x v="29"/>
    <n v="2.74"/>
    <n v="0.26600000000000001"/>
    <x v="6"/>
    <m/>
    <n v="0"/>
    <x v="2"/>
    <x v="0"/>
    <x v="24"/>
    <x v="1"/>
    <x v="2"/>
    <x v="0"/>
  </r>
  <r>
    <x v="732"/>
    <n v="48.2"/>
    <x v="3"/>
    <x v="3"/>
    <x v="97"/>
    <n v="2.5"/>
    <n v="9.1600000000000001E-2"/>
    <x v="6"/>
    <m/>
    <n v="0"/>
    <x v="2"/>
    <x v="0"/>
    <x v="24"/>
    <x v="0"/>
    <x v="2"/>
    <x v="1"/>
  </r>
  <r>
    <x v="733"/>
    <n v="47.63"/>
    <x v="504"/>
    <x v="488"/>
    <x v="49"/>
    <n v="2.2000000000000002"/>
    <n v="0.13150000000000001"/>
    <x v="3"/>
    <n v="5.5"/>
    <n v="1"/>
    <x v="2"/>
    <x v="0"/>
    <x v="24"/>
    <x v="0"/>
    <x v="1"/>
    <x v="0"/>
  </r>
  <r>
    <x v="734"/>
    <n v="49.6"/>
    <x v="505"/>
    <x v="489"/>
    <x v="62"/>
    <n v="2.85"/>
    <n v="0.21099999999999999"/>
    <x v="1"/>
    <n v="6.77"/>
    <n v="1"/>
    <x v="2"/>
    <x v="0"/>
    <x v="24"/>
    <x v="0"/>
    <x v="0"/>
    <x v="0"/>
  </r>
  <r>
    <x v="735"/>
    <n v="48.39"/>
    <x v="506"/>
    <x v="490"/>
    <x v="93"/>
    <n v="2.85"/>
    <n v="0.1648"/>
    <x v="18"/>
    <n v="6.38"/>
    <n v="1"/>
    <x v="2"/>
    <x v="0"/>
    <x v="24"/>
    <x v="0"/>
    <x v="1"/>
    <x v="0"/>
  </r>
  <r>
    <x v="736"/>
    <n v="47.02"/>
    <x v="507"/>
    <x v="491"/>
    <x v="75"/>
    <n v="2.95"/>
    <n v="0.2525"/>
    <x v="7"/>
    <n v="6.38"/>
    <n v="1"/>
    <x v="2"/>
    <x v="0"/>
    <x v="24"/>
    <x v="0"/>
    <x v="1"/>
    <x v="0"/>
  </r>
  <r>
    <x v="737"/>
    <n v="47"/>
    <x v="101"/>
    <x v="492"/>
    <x v="58"/>
    <n v="2.87"/>
    <n v="0.18679999999999999"/>
    <x v="5"/>
    <n v="6.66"/>
    <n v="1"/>
    <x v="2"/>
    <x v="0"/>
    <x v="24"/>
    <x v="1"/>
    <x v="1"/>
    <x v="0"/>
  </r>
  <r>
    <x v="738"/>
    <n v="47"/>
    <x v="3"/>
    <x v="3"/>
    <x v="44"/>
    <n v="3.05"/>
    <n v="0.1321"/>
    <x v="5"/>
    <n v="6.1"/>
    <n v="0"/>
    <x v="2"/>
    <x v="0"/>
    <x v="24"/>
    <x v="1"/>
    <x v="2"/>
    <x v="0"/>
  </r>
  <r>
    <x v="739"/>
    <n v="47"/>
    <x v="3"/>
    <x v="3"/>
    <x v="57"/>
    <n v="3"/>
    <n v="0.19700000000000001"/>
    <x v="14"/>
    <n v="6.87"/>
    <n v="0"/>
    <x v="2"/>
    <x v="0"/>
    <x v="24"/>
    <x v="0"/>
    <x v="2"/>
    <x v="0"/>
  </r>
  <r>
    <x v="740"/>
    <n v="48.74"/>
    <x v="508"/>
    <x v="493"/>
    <x v="51"/>
    <n v="2.73"/>
    <n v="6.8199999999999997E-2"/>
    <x v="3"/>
    <m/>
    <n v="1"/>
    <x v="2"/>
    <x v="0"/>
    <x v="24"/>
    <x v="0"/>
    <x v="0"/>
    <x v="1"/>
  </r>
  <r>
    <x v="741"/>
    <n v="49.12"/>
    <x v="509"/>
    <x v="494"/>
    <x v="93"/>
    <n v="2.91"/>
    <n v="0.22670000000000001"/>
    <x v="10"/>
    <n v="6.43"/>
    <n v="1"/>
    <x v="2"/>
    <x v="0"/>
    <x v="24"/>
    <x v="0"/>
    <x v="0"/>
    <x v="0"/>
  </r>
  <r>
    <x v="742"/>
    <n v="47.06"/>
    <x v="510"/>
    <x v="495"/>
    <x v="84"/>
    <n v="3.28"/>
    <n v="0.31440000000000001"/>
    <x v="0"/>
    <n v="6.7"/>
    <n v="1"/>
    <x v="2"/>
    <x v="0"/>
    <x v="24"/>
    <x v="0"/>
    <x v="1"/>
    <x v="0"/>
  </r>
  <r>
    <x v="743"/>
    <n v="47.31"/>
    <x v="511"/>
    <x v="496"/>
    <x v="58"/>
    <n v="3.16"/>
    <n v="0.28649999999999998"/>
    <x v="0"/>
    <n v="7.65"/>
    <n v="1"/>
    <x v="2"/>
    <x v="0"/>
    <x v="24"/>
    <x v="0"/>
    <x v="0"/>
    <x v="0"/>
  </r>
  <r>
    <x v="744"/>
    <n v="48.29"/>
    <x v="512"/>
    <x v="497"/>
    <x v="45"/>
    <n v="3.01"/>
    <n v="0.24060000000000001"/>
    <x v="7"/>
    <n v="6.68"/>
    <n v="1"/>
    <x v="2"/>
    <x v="0"/>
    <x v="24"/>
    <x v="1"/>
    <x v="0"/>
    <x v="0"/>
  </r>
  <r>
    <x v="745"/>
    <n v="48.29"/>
    <x v="3"/>
    <x v="3"/>
    <x v="94"/>
    <n v="2.5299999999999998"/>
    <n v="7.0099999999999996E-2"/>
    <x v="0"/>
    <n v="6"/>
    <n v="0"/>
    <x v="2"/>
    <x v="0"/>
    <x v="24"/>
    <x v="1"/>
    <x v="2"/>
    <x v="1"/>
  </r>
  <r>
    <x v="746"/>
    <n v="48.29"/>
    <x v="3"/>
    <x v="3"/>
    <x v="51"/>
    <n v="2.88"/>
    <n v="0.2026"/>
    <x v="3"/>
    <m/>
    <n v="0"/>
    <x v="2"/>
    <x v="0"/>
    <x v="24"/>
    <x v="0"/>
    <x v="2"/>
    <x v="0"/>
  </r>
  <r>
    <x v="747"/>
    <n v="49.06"/>
    <x v="513"/>
    <x v="414"/>
    <x v="58"/>
    <n v="3.07"/>
    <n v="0.3"/>
    <x v="1"/>
    <n v="7.06"/>
    <n v="1"/>
    <x v="2"/>
    <x v="0"/>
    <x v="24"/>
    <x v="0"/>
    <x v="0"/>
    <x v="0"/>
  </r>
  <r>
    <x v="748"/>
    <n v="49.35"/>
    <x v="514"/>
    <x v="498"/>
    <x v="84"/>
    <n v="3.3"/>
    <n v="0.29659999999999997"/>
    <x v="4"/>
    <n v="6.5"/>
    <n v="1"/>
    <x v="2"/>
    <x v="0"/>
    <x v="24"/>
    <x v="0"/>
    <x v="0"/>
    <x v="0"/>
  </r>
  <r>
    <x v="749"/>
    <n v="50"/>
    <x v="515"/>
    <x v="499"/>
    <x v="46"/>
    <n v="3"/>
    <n v="0.22320000000000001"/>
    <x v="11"/>
    <n v="6.7"/>
    <n v="1"/>
    <x v="2"/>
    <x v="0"/>
    <x v="24"/>
    <x v="0"/>
    <x v="0"/>
    <x v="0"/>
  </r>
  <r>
    <x v="750"/>
    <n v="52.75"/>
    <x v="516"/>
    <x v="500"/>
    <x v="51"/>
    <n v="3.15"/>
    <n v="0.32029999999999997"/>
    <x v="41"/>
    <n v="6.63"/>
    <n v="1"/>
    <x v="2"/>
    <x v="1"/>
    <x v="25"/>
    <x v="0"/>
    <x v="0"/>
    <x v="0"/>
  </r>
  <r>
    <x v="751"/>
    <n v="50.31"/>
    <x v="517"/>
    <x v="501"/>
    <x v="74"/>
    <n v="2.87"/>
    <n v="0.26479999999999998"/>
    <x v="26"/>
    <n v="6.16"/>
    <n v="1"/>
    <x v="2"/>
    <x v="1"/>
    <x v="25"/>
    <x v="1"/>
    <x v="1"/>
    <x v="0"/>
  </r>
  <r>
    <x v="752"/>
    <n v="50.31"/>
    <x v="3"/>
    <x v="3"/>
    <x v="92"/>
    <n v="2.4700000000000002"/>
    <n v="0.21659999999999999"/>
    <x v="12"/>
    <n v="4.5999999999999996"/>
    <n v="0"/>
    <x v="2"/>
    <x v="1"/>
    <x v="25"/>
    <x v="1"/>
    <x v="2"/>
    <x v="0"/>
  </r>
  <r>
    <x v="753"/>
    <n v="50.31"/>
    <x v="3"/>
    <x v="3"/>
    <x v="66"/>
    <n v="3.12"/>
    <n v="0.3145"/>
    <x v="3"/>
    <n v="8.9"/>
    <n v="0"/>
    <x v="2"/>
    <x v="1"/>
    <x v="25"/>
    <x v="0"/>
    <x v="2"/>
    <x v="0"/>
  </r>
  <r>
    <x v="754"/>
    <n v="52.06"/>
    <x v="518"/>
    <x v="502"/>
    <x v="59"/>
    <n v="2.7"/>
    <n v="0.14829999999999999"/>
    <x v="3"/>
    <n v="7.8"/>
    <n v="1"/>
    <x v="2"/>
    <x v="1"/>
    <x v="25"/>
    <x v="0"/>
    <x v="0"/>
    <x v="0"/>
  </r>
  <r>
    <x v="755"/>
    <n v="50.59"/>
    <x v="519"/>
    <x v="503"/>
    <x v="24"/>
    <n v="3.15"/>
    <n v="0.33800000000000002"/>
    <x v="12"/>
    <n v="6.6"/>
    <n v="1"/>
    <x v="2"/>
    <x v="1"/>
    <x v="25"/>
    <x v="0"/>
    <x v="1"/>
    <x v="0"/>
  </r>
  <r>
    <x v="756"/>
    <n v="53.47"/>
    <x v="520"/>
    <x v="504"/>
    <x v="14"/>
    <n v="3.08"/>
    <n v="0.30149999999999999"/>
    <x v="0"/>
    <n v="6.25"/>
    <n v="1"/>
    <x v="2"/>
    <x v="1"/>
    <x v="25"/>
    <x v="0"/>
    <x v="0"/>
    <x v="0"/>
  </r>
  <r>
    <x v="757"/>
    <n v="53.18"/>
    <x v="521"/>
    <x v="505"/>
    <x v="63"/>
    <n v="3.17"/>
    <n v="0.30909999999999999"/>
    <x v="12"/>
    <n v="6.42"/>
    <n v="1"/>
    <x v="2"/>
    <x v="1"/>
    <x v="25"/>
    <x v="0"/>
    <x v="1"/>
    <x v="0"/>
  </r>
  <r>
    <x v="758"/>
    <n v="53.94"/>
    <x v="522"/>
    <x v="506"/>
    <x v="59"/>
    <n v="2.73"/>
    <n v="4.2500000000000003E-2"/>
    <x v="5"/>
    <n v="6.4"/>
    <n v="1"/>
    <x v="2"/>
    <x v="1"/>
    <x v="25"/>
    <x v="1"/>
    <x v="0"/>
    <x v="1"/>
  </r>
  <r>
    <x v="759"/>
    <n v="53.94"/>
    <x v="3"/>
    <x v="3"/>
    <x v="21"/>
    <n v="2.79"/>
    <n v="0.16070000000000001"/>
    <x v="6"/>
    <m/>
    <n v="0"/>
    <x v="2"/>
    <x v="1"/>
    <x v="25"/>
    <x v="1"/>
    <x v="2"/>
    <x v="0"/>
  </r>
  <r>
    <x v="760"/>
    <n v="53.94"/>
    <x v="3"/>
    <x v="3"/>
    <x v="30"/>
    <n v="2.84"/>
    <n v="0.17810000000000001"/>
    <x v="3"/>
    <m/>
    <n v="0"/>
    <x v="2"/>
    <x v="1"/>
    <x v="25"/>
    <x v="0"/>
    <x v="2"/>
    <x v="0"/>
  </r>
  <r>
    <x v="761"/>
    <n v="53.98"/>
    <x v="523"/>
    <x v="507"/>
    <x v="22"/>
    <n v="2.95"/>
    <n v="0.28699999999999998"/>
    <x v="5"/>
    <n v="7.32"/>
    <n v="1"/>
    <x v="2"/>
    <x v="1"/>
    <x v="25"/>
    <x v="0"/>
    <x v="1"/>
    <x v="0"/>
  </r>
  <r>
    <x v="762"/>
    <n v="55.41"/>
    <x v="524"/>
    <x v="508"/>
    <x v="49"/>
    <n v="2.77"/>
    <n v="0.23569999999999999"/>
    <x v="4"/>
    <n v="6.43"/>
    <n v="1"/>
    <x v="2"/>
    <x v="1"/>
    <x v="25"/>
    <x v="0"/>
    <x v="0"/>
    <x v="0"/>
  </r>
  <r>
    <x v="763"/>
    <n v="54.15"/>
    <x v="525"/>
    <x v="509"/>
    <x v="51"/>
    <n v="2.61"/>
    <n v="0.2077"/>
    <x v="4"/>
    <n v="6.97"/>
    <n v="1"/>
    <x v="2"/>
    <x v="1"/>
    <x v="25"/>
    <x v="0"/>
    <x v="1"/>
    <x v="0"/>
  </r>
  <r>
    <x v="764"/>
    <n v="54.19"/>
    <x v="526"/>
    <x v="510"/>
    <x v="33"/>
    <n v="3.26"/>
    <n v="0.34960000000000002"/>
    <x v="1"/>
    <n v="6.3"/>
    <n v="1"/>
    <x v="2"/>
    <x v="1"/>
    <x v="25"/>
    <x v="0"/>
    <x v="1"/>
    <x v="0"/>
  </r>
  <r>
    <x v="765"/>
    <n v="53.08"/>
    <x v="527"/>
    <x v="511"/>
    <x v="62"/>
    <n v="3.22"/>
    <n v="0.23669999999999999"/>
    <x v="14"/>
    <n v="6.7"/>
    <n v="1"/>
    <x v="2"/>
    <x v="1"/>
    <x v="25"/>
    <x v="1"/>
    <x v="1"/>
    <x v="0"/>
  </r>
  <r>
    <x v="766"/>
    <n v="53.08"/>
    <x v="3"/>
    <x v="3"/>
    <x v="31"/>
    <n v="2.73"/>
    <n v="0.20030000000000001"/>
    <x v="3"/>
    <n v="3.5"/>
    <n v="0"/>
    <x v="2"/>
    <x v="1"/>
    <x v="25"/>
    <x v="1"/>
    <x v="2"/>
    <x v="0"/>
  </r>
  <r>
    <x v="767"/>
    <n v="53.08"/>
    <x v="3"/>
    <x v="3"/>
    <x v="73"/>
    <n v="2.71"/>
    <n v="0.1933"/>
    <x v="10"/>
    <n v="6.95"/>
    <n v="0"/>
    <x v="2"/>
    <x v="1"/>
    <x v="25"/>
    <x v="0"/>
    <x v="2"/>
    <x v="0"/>
  </r>
  <r>
    <x v="768"/>
    <n v="53.07"/>
    <x v="528"/>
    <x v="22"/>
    <x v="47"/>
    <n v="2.77"/>
    <n v="0.28320000000000001"/>
    <x v="2"/>
    <n v="6.81"/>
    <n v="1"/>
    <x v="2"/>
    <x v="1"/>
    <x v="25"/>
    <x v="0"/>
    <x v="1"/>
    <x v="0"/>
  </r>
  <r>
    <x v="769"/>
    <n v="52.54"/>
    <x v="529"/>
    <x v="512"/>
    <x v="52"/>
    <n v="3.03"/>
    <n v="0.25290000000000001"/>
    <x v="4"/>
    <n v="7.3"/>
    <n v="1"/>
    <x v="2"/>
    <x v="1"/>
    <x v="25"/>
    <x v="0"/>
    <x v="1"/>
    <x v="0"/>
  </r>
  <r>
    <x v="770"/>
    <n v="48.9"/>
    <x v="530"/>
    <x v="513"/>
    <x v="45"/>
    <n v="2.9"/>
    <n v="0.16639999999999999"/>
    <x v="4"/>
    <n v="6.1"/>
    <n v="1"/>
    <x v="2"/>
    <x v="1"/>
    <x v="25"/>
    <x v="0"/>
    <x v="1"/>
    <x v="0"/>
  </r>
  <r>
    <x v="771"/>
    <n v="48.52"/>
    <x v="369"/>
    <x v="514"/>
    <x v="94"/>
    <n v="3.2"/>
    <n v="0.36890000000000001"/>
    <x v="7"/>
    <n v="6.56"/>
    <n v="1"/>
    <x v="2"/>
    <x v="1"/>
    <x v="25"/>
    <x v="0"/>
    <x v="1"/>
    <x v="0"/>
  </r>
  <r>
    <x v="772"/>
    <n v="48.83"/>
    <x v="531"/>
    <x v="515"/>
    <x v="57"/>
    <n v="2.97"/>
    <n v="0.21759999999999999"/>
    <x v="7"/>
    <n v="7.52"/>
    <n v="1"/>
    <x v="2"/>
    <x v="1"/>
    <x v="25"/>
    <x v="1"/>
    <x v="0"/>
    <x v="0"/>
  </r>
  <r>
    <x v="773"/>
    <n v="48.83"/>
    <x v="3"/>
    <x v="3"/>
    <x v="62"/>
    <n v="2.96"/>
    <n v="0.25430000000000003"/>
    <x v="0"/>
    <n v="6.75"/>
    <n v="0"/>
    <x v="2"/>
    <x v="1"/>
    <x v="25"/>
    <x v="1"/>
    <x v="2"/>
    <x v="0"/>
  </r>
  <r>
    <x v="774"/>
    <n v="48.83"/>
    <x v="3"/>
    <x v="3"/>
    <x v="60"/>
    <n v="3.15"/>
    <n v="0.1489"/>
    <x v="3"/>
    <n v="6.5"/>
    <n v="0"/>
    <x v="2"/>
    <x v="1"/>
    <x v="25"/>
    <x v="0"/>
    <x v="2"/>
    <x v="0"/>
  </r>
  <r>
    <x v="775"/>
    <n v="48.82"/>
    <x v="532"/>
    <x v="516"/>
    <x v="23"/>
    <n v="3.09"/>
    <n v="0.30009999999999998"/>
    <x v="3"/>
    <n v="5.8"/>
    <n v="1"/>
    <x v="2"/>
    <x v="1"/>
    <x v="25"/>
    <x v="0"/>
    <x v="0"/>
    <x v="0"/>
  </r>
  <r>
    <x v="776"/>
    <n v="48.89"/>
    <x v="533"/>
    <x v="517"/>
    <x v="46"/>
    <n v="3.32"/>
    <n v="0.36570000000000003"/>
    <x v="10"/>
    <n v="6.9"/>
    <n v="1"/>
    <x v="2"/>
    <x v="1"/>
    <x v="25"/>
    <x v="0"/>
    <x v="1"/>
    <x v="0"/>
  </r>
  <r>
    <x v="777"/>
    <n v="48.62"/>
    <x v="534"/>
    <x v="518"/>
    <x v="21"/>
    <n v="3.42"/>
    <n v="0.3574"/>
    <x v="12"/>
    <n v="6.35"/>
    <n v="1"/>
    <x v="2"/>
    <x v="1"/>
    <x v="25"/>
    <x v="0"/>
    <x v="1"/>
    <x v="0"/>
  </r>
  <r>
    <x v="778"/>
    <n v="50.42"/>
    <x v="535"/>
    <x v="504"/>
    <x v="59"/>
    <n v="2.68"/>
    <n v="0.23949999999999999"/>
    <x v="3"/>
    <n v="5.3"/>
    <n v="1"/>
    <x v="2"/>
    <x v="1"/>
    <x v="25"/>
    <x v="0"/>
    <x v="0"/>
    <x v="0"/>
  </r>
  <r>
    <x v="779"/>
    <n v="47.57"/>
    <x v="536"/>
    <x v="519"/>
    <x v="48"/>
    <n v="2.86"/>
    <n v="0.2031"/>
    <x v="18"/>
    <n v="5.52"/>
    <n v="1"/>
    <x v="2"/>
    <x v="1"/>
    <x v="25"/>
    <x v="1"/>
    <x v="1"/>
    <x v="0"/>
  </r>
  <r>
    <x v="780"/>
    <n v="47.57"/>
    <x v="3"/>
    <x v="3"/>
    <x v="50"/>
    <n v="3.08"/>
    <n v="0.32440000000000002"/>
    <x v="4"/>
    <n v="7.3"/>
    <n v="0"/>
    <x v="2"/>
    <x v="1"/>
    <x v="25"/>
    <x v="1"/>
    <x v="2"/>
    <x v="0"/>
  </r>
  <r>
    <x v="781"/>
    <n v="47.57"/>
    <x v="3"/>
    <x v="3"/>
    <x v="53"/>
    <n v="3.25"/>
    <n v="0.31730000000000003"/>
    <x v="31"/>
    <n v="6.3"/>
    <n v="0"/>
    <x v="2"/>
    <x v="2"/>
    <x v="26"/>
    <x v="0"/>
    <x v="2"/>
    <x v="0"/>
  </r>
  <r>
    <x v="782"/>
    <n v="48.41"/>
    <x v="537"/>
    <x v="520"/>
    <x v="58"/>
    <n v="3.09"/>
    <n v="0.1641"/>
    <x v="0"/>
    <n v="6.95"/>
    <n v="1"/>
    <x v="2"/>
    <x v="2"/>
    <x v="26"/>
    <x v="0"/>
    <x v="0"/>
    <x v="0"/>
  </r>
  <r>
    <x v="783"/>
    <n v="48.72"/>
    <x v="538"/>
    <x v="521"/>
    <x v="29"/>
    <n v="3.5"/>
    <n v="0.3538"/>
    <x v="10"/>
    <n v="7.1"/>
    <n v="1"/>
    <x v="2"/>
    <x v="2"/>
    <x v="26"/>
    <x v="0"/>
    <x v="0"/>
    <x v="0"/>
  </r>
  <r>
    <x v="784"/>
    <n v="49.69"/>
    <x v="539"/>
    <x v="522"/>
    <x v="31"/>
    <n v="3.41"/>
    <n v="0.34010000000000001"/>
    <x v="10"/>
    <n v="5.6"/>
    <n v="1"/>
    <x v="2"/>
    <x v="2"/>
    <x v="26"/>
    <x v="0"/>
    <x v="0"/>
    <x v="0"/>
  </r>
  <r>
    <x v="785"/>
    <n v="51.38"/>
    <x v="540"/>
    <x v="523"/>
    <x v="45"/>
    <n v="3.65"/>
    <n v="0.40550000000000003"/>
    <x v="7"/>
    <n v="6.53"/>
    <n v="1"/>
    <x v="2"/>
    <x v="2"/>
    <x v="26"/>
    <x v="0"/>
    <x v="0"/>
    <x v="0"/>
  </r>
  <r>
    <x v="786"/>
    <n v="51.47"/>
    <x v="541"/>
    <x v="524"/>
    <x v="33"/>
    <n v="3.5"/>
    <n v="0.44069999999999998"/>
    <x v="11"/>
    <n v="6.39"/>
    <n v="1"/>
    <x v="2"/>
    <x v="2"/>
    <x v="26"/>
    <x v="1"/>
    <x v="1"/>
    <x v="0"/>
  </r>
  <r>
    <x v="787"/>
    <n v="51.47"/>
    <x v="3"/>
    <x v="3"/>
    <x v="49"/>
    <n v="3.14"/>
    <n v="0.28760000000000002"/>
    <x v="6"/>
    <m/>
    <n v="0"/>
    <x v="2"/>
    <x v="2"/>
    <x v="26"/>
    <x v="1"/>
    <x v="2"/>
    <x v="0"/>
  </r>
  <r>
    <x v="788"/>
    <n v="51.47"/>
    <x v="3"/>
    <x v="3"/>
    <x v="22"/>
    <n v="3.08"/>
    <n v="0.25190000000000001"/>
    <x v="6"/>
    <m/>
    <n v="0"/>
    <x v="2"/>
    <x v="2"/>
    <x v="26"/>
    <x v="0"/>
    <x v="2"/>
    <x v="0"/>
  </r>
  <r>
    <x v="789"/>
    <n v="47.05"/>
    <x v="542"/>
    <x v="525"/>
    <x v="20"/>
    <n v="3.32"/>
    <n v="0.41299999999999998"/>
    <x v="3"/>
    <n v="5.3"/>
    <n v="1"/>
    <x v="2"/>
    <x v="2"/>
    <x v="26"/>
    <x v="0"/>
    <x v="1"/>
    <x v="0"/>
  </r>
  <r>
    <x v="790"/>
    <n v="48.02"/>
    <x v="543"/>
    <x v="526"/>
    <x v="49"/>
    <n v="3.26"/>
    <n v="0.24410000000000001"/>
    <x v="4"/>
    <n v="8.27"/>
    <n v="1"/>
    <x v="2"/>
    <x v="2"/>
    <x v="26"/>
    <x v="0"/>
    <x v="0"/>
    <x v="0"/>
  </r>
  <r>
    <x v="791"/>
    <n v="49.08"/>
    <x v="544"/>
    <x v="527"/>
    <x v="48"/>
    <n v="3.37"/>
    <n v="0.29799999999999999"/>
    <x v="5"/>
    <n v="6.88"/>
    <n v="1"/>
    <x v="2"/>
    <x v="2"/>
    <x v="26"/>
    <x v="0"/>
    <x v="0"/>
    <x v="0"/>
  </r>
  <r>
    <x v="792"/>
    <n v="48.68"/>
    <x v="545"/>
    <x v="528"/>
    <x v="93"/>
    <n v="3.69"/>
    <n v="0.36299999999999999"/>
    <x v="14"/>
    <n v="6.8"/>
    <n v="1"/>
    <x v="2"/>
    <x v="2"/>
    <x v="26"/>
    <x v="0"/>
    <x v="1"/>
    <x v="0"/>
  </r>
  <r>
    <x v="793"/>
    <n v="48.28"/>
    <x v="546"/>
    <x v="529"/>
    <x v="30"/>
    <n v="3.63"/>
    <n v="0.34229999999999999"/>
    <x v="14"/>
    <n v="6.87"/>
    <n v="1"/>
    <x v="2"/>
    <x v="2"/>
    <x v="26"/>
    <x v="1"/>
    <x v="1"/>
    <x v="0"/>
  </r>
  <r>
    <x v="794"/>
    <n v="48.28"/>
    <x v="3"/>
    <x v="3"/>
    <x v="20"/>
    <n v="3"/>
    <n v="0.31569999999999998"/>
    <x v="3"/>
    <n v="4.5"/>
    <n v="0"/>
    <x v="2"/>
    <x v="2"/>
    <x v="26"/>
    <x v="1"/>
    <x v="2"/>
    <x v="0"/>
  </r>
  <r>
    <x v="795"/>
    <n v="48.28"/>
    <x v="3"/>
    <x v="3"/>
    <x v="14"/>
    <n v="3.32"/>
    <n v="0.3367"/>
    <x v="11"/>
    <n v="6.53"/>
    <n v="0"/>
    <x v="2"/>
    <x v="2"/>
    <x v="26"/>
    <x v="0"/>
    <x v="2"/>
    <x v="0"/>
  </r>
  <r>
    <x v="796"/>
    <n v="47.91"/>
    <x v="547"/>
    <x v="530"/>
    <x v="21"/>
    <n v="3.2"/>
    <n v="0.30830000000000002"/>
    <x v="0"/>
    <n v="6.5"/>
    <n v="1"/>
    <x v="2"/>
    <x v="2"/>
    <x v="26"/>
    <x v="0"/>
    <x v="1"/>
    <x v="0"/>
  </r>
  <r>
    <x v="797"/>
    <n v="48.06"/>
    <x v="548"/>
    <x v="531"/>
    <x v="74"/>
    <n v="3.55"/>
    <n v="0.36020000000000002"/>
    <x v="10"/>
    <n v="6.85"/>
    <n v="1"/>
    <x v="2"/>
    <x v="2"/>
    <x v="26"/>
    <x v="0"/>
    <x v="0"/>
    <x v="0"/>
  </r>
  <r>
    <x v="798"/>
    <n v="48.18"/>
    <x v="549"/>
    <x v="532"/>
    <x v="73"/>
    <n v="3.47"/>
    <n v="0.26250000000000001"/>
    <x v="3"/>
    <n v="5.9"/>
    <n v="1"/>
    <x v="2"/>
    <x v="2"/>
    <x v="26"/>
    <x v="0"/>
    <x v="1"/>
    <x v="0"/>
  </r>
  <r>
    <x v="799"/>
    <n v="48.47"/>
    <x v="550"/>
    <x v="533"/>
    <x v="84"/>
    <n v="3.4"/>
    <n v="0.29530000000000001"/>
    <x v="1"/>
    <n v="6.41"/>
    <n v="1"/>
    <x v="2"/>
    <x v="2"/>
    <x v="26"/>
    <x v="0"/>
    <x v="0"/>
    <x v="0"/>
  </r>
  <r>
    <x v="800"/>
    <n v="48.82"/>
    <x v="551"/>
    <x v="534"/>
    <x v="51"/>
    <n v="3.3"/>
    <n v="0.23949999999999999"/>
    <x v="14"/>
    <n v="5.97"/>
    <n v="1"/>
    <x v="2"/>
    <x v="2"/>
    <x v="26"/>
    <x v="1"/>
    <x v="0"/>
    <x v="0"/>
  </r>
  <r>
    <x v="801"/>
    <n v="48.82"/>
    <x v="3"/>
    <x v="3"/>
    <x v="65"/>
    <n v="3.47"/>
    <n v="0.28689999999999999"/>
    <x v="6"/>
    <m/>
    <n v="0"/>
    <x v="2"/>
    <x v="2"/>
    <x v="26"/>
    <x v="1"/>
    <x v="2"/>
    <x v="0"/>
  </r>
  <r>
    <x v="802"/>
    <n v="48.82"/>
    <x v="3"/>
    <x v="3"/>
    <x v="71"/>
    <n v="3.2"/>
    <n v="0.31009999999999999"/>
    <x v="0"/>
    <n v="5.6"/>
    <n v="0"/>
    <x v="2"/>
    <x v="2"/>
    <x v="26"/>
    <x v="0"/>
    <x v="2"/>
    <x v="0"/>
  </r>
  <r>
    <x v="803"/>
    <n v="47.66"/>
    <x v="552"/>
    <x v="535"/>
    <x v="21"/>
    <n v="2.97"/>
    <n v="0.16339999999999999"/>
    <x v="10"/>
    <n v="5.6"/>
    <n v="1"/>
    <x v="2"/>
    <x v="2"/>
    <x v="26"/>
    <x v="0"/>
    <x v="1"/>
    <x v="0"/>
  </r>
  <r>
    <x v="804"/>
    <n v="48.29"/>
    <x v="553"/>
    <x v="536"/>
    <x v="48"/>
    <n v="3.31"/>
    <n v="0.31359999999999999"/>
    <x v="7"/>
    <n v="6.8"/>
    <n v="1"/>
    <x v="2"/>
    <x v="2"/>
    <x v="26"/>
    <x v="0"/>
    <x v="0"/>
    <x v="0"/>
  </r>
  <r>
    <x v="805"/>
    <n v="48.5"/>
    <x v="554"/>
    <x v="537"/>
    <x v="50"/>
    <n v="2.78"/>
    <n v="0.24510000000000001"/>
    <x v="10"/>
    <n v="6.68"/>
    <n v="1"/>
    <x v="2"/>
    <x v="2"/>
    <x v="26"/>
    <x v="1"/>
    <x v="1"/>
    <x v="0"/>
  </r>
  <r>
    <x v="806"/>
    <n v="48.5"/>
    <x v="3"/>
    <x v="3"/>
    <x v="58"/>
    <n v="3.39"/>
    <n v="0.27710000000000001"/>
    <x v="10"/>
    <n v="6.03"/>
    <n v="0"/>
    <x v="2"/>
    <x v="2"/>
    <x v="26"/>
    <x v="0"/>
    <x v="2"/>
    <x v="0"/>
  </r>
  <r>
    <x v="807"/>
    <n v="49.14"/>
    <x v="555"/>
    <x v="538"/>
    <x v="24"/>
    <n v="3.35"/>
    <n v="0.40620000000000001"/>
    <x v="18"/>
    <n v="6.32"/>
    <n v="1"/>
    <x v="2"/>
    <x v="2"/>
    <x v="26"/>
    <x v="1"/>
    <x v="0"/>
    <x v="0"/>
  </r>
  <r>
    <x v="808"/>
    <n v="49.14"/>
    <x v="3"/>
    <x v="3"/>
    <x v="51"/>
    <n v="3.09"/>
    <n v="0.25659999999999999"/>
    <x v="6"/>
    <m/>
    <n v="0"/>
    <x v="2"/>
    <x v="2"/>
    <x v="26"/>
    <x v="1"/>
    <x v="2"/>
    <x v="0"/>
  </r>
  <r>
    <x v="809"/>
    <n v="49.14"/>
    <x v="3"/>
    <x v="3"/>
    <x v="45"/>
    <n v="3.1"/>
    <n v="0.308"/>
    <x v="3"/>
    <n v="8"/>
    <n v="0"/>
    <x v="2"/>
    <x v="2"/>
    <x v="26"/>
    <x v="0"/>
    <x v="2"/>
    <x v="0"/>
  </r>
  <r>
    <x v="810"/>
    <n v="49.07"/>
    <x v="556"/>
    <x v="539"/>
    <x v="44"/>
    <n v="3.05"/>
    <n v="0.32629999999999998"/>
    <x v="10"/>
    <n v="4.93"/>
    <n v="1"/>
    <x v="2"/>
    <x v="2"/>
    <x v="26"/>
    <x v="0"/>
    <x v="0"/>
    <x v="0"/>
  </r>
  <r>
    <x v="811"/>
    <n v="50.46"/>
    <x v="557"/>
    <x v="540"/>
    <x v="30"/>
    <n v="3.12"/>
    <n v="0.31190000000000001"/>
    <x v="35"/>
    <n v="6.49"/>
    <n v="1"/>
    <x v="2"/>
    <x v="3"/>
    <x v="27"/>
    <x v="0"/>
    <x v="0"/>
    <x v="0"/>
  </r>
  <r>
    <x v="812"/>
    <n v="50.34"/>
    <x v="558"/>
    <x v="541"/>
    <x v="44"/>
    <n v="3.15"/>
    <n v="0.35"/>
    <x v="5"/>
    <n v="6.4"/>
    <n v="1"/>
    <x v="2"/>
    <x v="3"/>
    <x v="27"/>
    <x v="0"/>
    <x v="0"/>
    <x v="0"/>
  </r>
  <r>
    <x v="813"/>
    <n v="49.75"/>
    <x v="559"/>
    <x v="542"/>
    <x v="30"/>
    <n v="3.12"/>
    <n v="0.31390000000000001"/>
    <x v="12"/>
    <n v="6.32"/>
    <n v="1"/>
    <x v="2"/>
    <x v="3"/>
    <x v="27"/>
    <x v="0"/>
    <x v="1"/>
    <x v="0"/>
  </r>
  <r>
    <x v="814"/>
    <n v="49.83"/>
    <x v="560"/>
    <x v="543"/>
    <x v="76"/>
    <n v="2.62"/>
    <n v="0.17760000000000001"/>
    <x v="1"/>
    <n v="5.39"/>
    <n v="1"/>
    <x v="2"/>
    <x v="3"/>
    <x v="27"/>
    <x v="1"/>
    <x v="0"/>
    <x v="0"/>
  </r>
  <r>
    <x v="815"/>
    <n v="49.83"/>
    <x v="3"/>
    <x v="3"/>
    <x v="99"/>
    <n v="2"/>
    <n v="9.6100000000000005E-2"/>
    <x v="0"/>
    <n v="6.4"/>
    <n v="0"/>
    <x v="2"/>
    <x v="3"/>
    <x v="27"/>
    <x v="1"/>
    <x v="2"/>
    <x v="1"/>
  </r>
  <r>
    <x v="816"/>
    <n v="49.83"/>
    <x v="3"/>
    <x v="3"/>
    <x v="100"/>
    <n v="2.58"/>
    <n v="0.25190000000000001"/>
    <x v="6"/>
    <m/>
    <n v="0"/>
    <x v="2"/>
    <x v="3"/>
    <x v="27"/>
    <x v="0"/>
    <x v="2"/>
    <x v="0"/>
  </r>
  <r>
    <x v="817"/>
    <n v="51.58"/>
    <x v="561"/>
    <x v="544"/>
    <x v="62"/>
    <n v="2.93"/>
    <n v="0.27910000000000001"/>
    <x v="12"/>
    <n v="6.9"/>
    <n v="1"/>
    <x v="2"/>
    <x v="3"/>
    <x v="27"/>
    <x v="0"/>
    <x v="0"/>
    <x v="0"/>
  </r>
  <r>
    <x v="818"/>
    <n v="51.27"/>
    <x v="562"/>
    <x v="545"/>
    <x v="25"/>
    <n v="3.17"/>
    <n v="0.24560000000000001"/>
    <x v="14"/>
    <n v="6.05"/>
    <n v="1"/>
    <x v="2"/>
    <x v="3"/>
    <x v="27"/>
    <x v="0"/>
    <x v="1"/>
    <x v="0"/>
  </r>
  <r>
    <x v="819"/>
    <n v="49.36"/>
    <x v="563"/>
    <x v="546"/>
    <x v="59"/>
    <n v="2.81"/>
    <n v="0.19470000000000001"/>
    <x v="7"/>
    <n v="7.18"/>
    <n v="1"/>
    <x v="2"/>
    <x v="3"/>
    <x v="27"/>
    <x v="0"/>
    <x v="1"/>
    <x v="0"/>
  </r>
  <r>
    <x v="820"/>
    <n v="50.11"/>
    <x v="564"/>
    <x v="547"/>
    <x v="25"/>
    <n v="2.81"/>
    <n v="0.2024"/>
    <x v="5"/>
    <n v="6.54"/>
    <n v="1"/>
    <x v="2"/>
    <x v="3"/>
    <x v="27"/>
    <x v="0"/>
    <x v="0"/>
    <x v="0"/>
  </r>
  <r>
    <x v="821"/>
    <n v="50.32"/>
    <x v="565"/>
    <x v="548"/>
    <x v="44"/>
    <n v="2.87"/>
    <n v="0.20910000000000001"/>
    <x v="5"/>
    <n v="6.04"/>
    <n v="1"/>
    <x v="2"/>
    <x v="3"/>
    <x v="27"/>
    <x v="1"/>
    <x v="0"/>
    <x v="0"/>
  </r>
  <r>
    <x v="822"/>
    <n v="50.32"/>
    <x v="3"/>
    <x v="3"/>
    <x v="63"/>
    <n v="3.26"/>
    <n v="0.2414"/>
    <x v="0"/>
    <m/>
    <n v="0"/>
    <x v="2"/>
    <x v="3"/>
    <x v="27"/>
    <x v="1"/>
    <x v="2"/>
    <x v="0"/>
  </r>
  <r>
    <x v="823"/>
    <n v="50.32"/>
    <x v="3"/>
    <x v="3"/>
    <x v="24"/>
    <n v="3.03"/>
    <n v="0.12540000000000001"/>
    <x v="3"/>
    <m/>
    <n v="0"/>
    <x v="2"/>
    <x v="3"/>
    <x v="27"/>
    <x v="0"/>
    <x v="2"/>
    <x v="0"/>
  </r>
  <r>
    <x v="824"/>
    <n v="52.24"/>
    <x v="566"/>
    <x v="549"/>
    <x v="21"/>
    <n v="3.76"/>
    <n v="0.34670000000000001"/>
    <x v="4"/>
    <n v="5.9"/>
    <n v="1"/>
    <x v="2"/>
    <x v="3"/>
    <x v="27"/>
    <x v="0"/>
    <x v="0"/>
    <x v="0"/>
  </r>
  <r>
    <x v="825"/>
    <n v="51.98"/>
    <x v="567"/>
    <x v="550"/>
    <x v="30"/>
    <n v="3.12"/>
    <n v="0.29820000000000002"/>
    <x v="7"/>
    <n v="6.64"/>
    <n v="1"/>
    <x v="2"/>
    <x v="3"/>
    <x v="27"/>
    <x v="0"/>
    <x v="0"/>
    <x v="0"/>
  </r>
  <r>
    <x v="826"/>
    <n v="52.48"/>
    <x v="568"/>
    <x v="267"/>
    <x v="59"/>
    <n v="2.71"/>
    <n v="0.12230000000000001"/>
    <x v="1"/>
    <n v="6.86"/>
    <n v="1"/>
    <x v="2"/>
    <x v="3"/>
    <x v="27"/>
    <x v="0"/>
    <x v="0"/>
    <x v="0"/>
  </r>
  <r>
    <x v="827"/>
    <n v="53.29"/>
    <x v="569"/>
    <x v="551"/>
    <x v="51"/>
    <n v="3.22"/>
    <n v="0.17230000000000001"/>
    <x v="11"/>
    <n v="6.45"/>
    <n v="1"/>
    <x v="2"/>
    <x v="3"/>
    <x v="27"/>
    <x v="0"/>
    <x v="0"/>
    <x v="0"/>
  </r>
  <r>
    <x v="828"/>
    <n v="53.44"/>
    <x v="570"/>
    <x v="552"/>
    <x v="21"/>
    <n v="2.98"/>
    <n v="0.28720000000000001"/>
    <x v="1"/>
    <n v="7.09"/>
    <n v="1"/>
    <x v="2"/>
    <x v="3"/>
    <x v="27"/>
    <x v="1"/>
    <x v="0"/>
    <x v="0"/>
  </r>
  <r>
    <x v="829"/>
    <n v="53.44"/>
    <x v="3"/>
    <x v="3"/>
    <x v="20"/>
    <n v="3.44"/>
    <n v="0.33439999999999998"/>
    <x v="3"/>
    <m/>
    <n v="0"/>
    <x v="2"/>
    <x v="3"/>
    <x v="27"/>
    <x v="1"/>
    <x v="2"/>
    <x v="0"/>
  </r>
  <r>
    <x v="830"/>
    <n v="53.44"/>
    <x v="3"/>
    <x v="3"/>
    <x v="33"/>
    <n v="3.29"/>
    <n v="0.33429999999999999"/>
    <x v="0"/>
    <m/>
    <n v="0"/>
    <x v="2"/>
    <x v="3"/>
    <x v="27"/>
    <x v="0"/>
    <x v="2"/>
    <x v="0"/>
  </r>
  <r>
    <x v="831"/>
    <n v="52.89"/>
    <x v="571"/>
    <x v="553"/>
    <x v="48"/>
    <n v="3.41"/>
    <n v="0.35909999999999997"/>
    <x v="0"/>
    <n v="5.0999999999999996"/>
    <n v="1"/>
    <x v="2"/>
    <x v="3"/>
    <x v="27"/>
    <x v="0"/>
    <x v="1"/>
    <x v="0"/>
  </r>
  <r>
    <x v="832"/>
    <n v="52.73"/>
    <x v="572"/>
    <x v="554"/>
    <x v="30"/>
    <n v="2.88"/>
    <n v="0.16250000000000001"/>
    <x v="14"/>
    <n v="6.74"/>
    <n v="1"/>
    <x v="2"/>
    <x v="3"/>
    <x v="27"/>
    <x v="0"/>
    <x v="1"/>
    <x v="0"/>
  </r>
  <r>
    <x v="833"/>
    <n v="51.45"/>
    <x v="573"/>
    <x v="555"/>
    <x v="48"/>
    <n v="3.25"/>
    <n v="0.31719999999999998"/>
    <x v="4"/>
    <n v="6.7"/>
    <n v="1"/>
    <x v="2"/>
    <x v="3"/>
    <x v="27"/>
    <x v="0"/>
    <x v="1"/>
    <x v="0"/>
  </r>
  <r>
    <x v="834"/>
    <n v="51.4"/>
    <x v="574"/>
    <x v="556"/>
    <x v="20"/>
    <n v="3.21"/>
    <n v="0.29709999999999998"/>
    <x v="4"/>
    <n v="6.97"/>
    <n v="1"/>
    <x v="2"/>
    <x v="3"/>
    <x v="27"/>
    <x v="1"/>
    <x v="1"/>
    <x v="0"/>
  </r>
  <r>
    <x v="835"/>
    <n v="51.4"/>
    <x v="3"/>
    <x v="3"/>
    <x v="22"/>
    <n v="3.71"/>
    <n v="0.30669999999999997"/>
    <x v="10"/>
    <n v="6.7"/>
    <n v="0"/>
    <x v="2"/>
    <x v="3"/>
    <x v="27"/>
    <x v="1"/>
    <x v="2"/>
    <x v="0"/>
  </r>
  <r>
    <x v="836"/>
    <n v="51.4"/>
    <x v="3"/>
    <x v="3"/>
    <x v="22"/>
    <n v="3.18"/>
    <n v="0.19839999999999999"/>
    <x v="12"/>
    <n v="6.3"/>
    <n v="0"/>
    <x v="2"/>
    <x v="3"/>
    <x v="27"/>
    <x v="1"/>
    <x v="2"/>
    <x v="0"/>
  </r>
  <r>
    <x v="837"/>
    <n v="51.4"/>
    <x v="3"/>
    <x v="3"/>
    <x v="52"/>
    <n v="3.24"/>
    <n v="0.25679999999999997"/>
    <x v="0"/>
    <n v="6.6"/>
    <n v="0"/>
    <x v="2"/>
    <x v="3"/>
    <x v="27"/>
    <x v="0"/>
    <x v="2"/>
    <x v="0"/>
  </r>
  <r>
    <x v="838"/>
    <n v="51.91"/>
    <x v="575"/>
    <x v="557"/>
    <x v="65"/>
    <n v="3.2"/>
    <n v="0.33160000000000001"/>
    <x v="4"/>
    <n v="7.25"/>
    <n v="1"/>
    <x v="2"/>
    <x v="3"/>
    <x v="27"/>
    <x v="0"/>
    <x v="0"/>
    <x v="0"/>
  </r>
  <r>
    <x v="839"/>
    <n v="53.09"/>
    <x v="576"/>
    <x v="558"/>
    <x v="14"/>
    <n v="3.65"/>
    <n v="0.37469999999999998"/>
    <x v="6"/>
    <m/>
    <n v="1"/>
    <x v="2"/>
    <x v="3"/>
    <x v="27"/>
    <x v="0"/>
    <x v="0"/>
    <x v="0"/>
  </r>
  <r>
    <x v="840"/>
    <n v="52.46"/>
    <x v="577"/>
    <x v="559"/>
    <x v="24"/>
    <n v="3.32"/>
    <n v="0.33050000000000002"/>
    <x v="14"/>
    <n v="6.2"/>
    <n v="1"/>
    <x v="2"/>
    <x v="3"/>
    <x v="27"/>
    <x v="0"/>
    <x v="1"/>
    <x v="0"/>
  </r>
  <r>
    <x v="841"/>
    <n v="54.07"/>
    <x v="578"/>
    <x v="560"/>
    <x v="8"/>
    <n v="2.98"/>
    <n v="0.29730000000000001"/>
    <x v="5"/>
    <n v="6.1"/>
    <n v="1"/>
    <x v="2"/>
    <x v="3"/>
    <x v="27"/>
    <x v="1"/>
    <x v="0"/>
    <x v="0"/>
  </r>
  <r>
    <x v="842"/>
    <n v="54.07"/>
    <x v="3"/>
    <x v="3"/>
    <x v="57"/>
    <n v="3.05"/>
    <n v="0.30249999999999999"/>
    <x v="42"/>
    <n v="6.69"/>
    <n v="0"/>
    <x v="3"/>
    <x v="4"/>
    <x v="28"/>
    <x v="1"/>
    <x v="2"/>
    <x v="0"/>
  </r>
  <r>
    <x v="843"/>
    <n v="54.07"/>
    <x v="3"/>
    <x v="3"/>
    <x v="54"/>
    <n v="2.76"/>
    <n v="0.157"/>
    <x v="0"/>
    <n v="4.45"/>
    <n v="0"/>
    <x v="3"/>
    <x v="4"/>
    <x v="28"/>
    <x v="1"/>
    <x v="2"/>
    <x v="0"/>
  </r>
  <r>
    <x v="844"/>
    <n v="54.07"/>
    <x v="3"/>
    <x v="3"/>
    <x v="57"/>
    <n v="3.28"/>
    <n v="0.36459999999999998"/>
    <x v="3"/>
    <n v="5.7"/>
    <n v="0"/>
    <x v="3"/>
    <x v="4"/>
    <x v="28"/>
    <x v="0"/>
    <x v="2"/>
    <x v="0"/>
  </r>
  <r>
    <x v="845"/>
    <n v="52.29"/>
    <x v="579"/>
    <x v="561"/>
    <x v="30"/>
    <n v="3.23"/>
    <n v="0.3553"/>
    <x v="4"/>
    <n v="6.1"/>
    <n v="1"/>
    <x v="3"/>
    <x v="4"/>
    <x v="28"/>
    <x v="0"/>
    <x v="1"/>
    <x v="0"/>
  </r>
  <r>
    <x v="846"/>
    <n v="52.08"/>
    <x v="580"/>
    <x v="562"/>
    <x v="50"/>
    <n v="3.11"/>
    <n v="0.22109999999999999"/>
    <x v="12"/>
    <n v="6.88"/>
    <n v="1"/>
    <x v="3"/>
    <x v="4"/>
    <x v="28"/>
    <x v="0"/>
    <x v="1"/>
    <x v="0"/>
  </r>
  <r>
    <x v="847"/>
    <n v="50.05"/>
    <x v="581"/>
    <x v="563"/>
    <x v="53"/>
    <n v="3.28"/>
    <n v="0.26129999999999998"/>
    <x v="4"/>
    <n v="6.5"/>
    <n v="1"/>
    <x v="3"/>
    <x v="4"/>
    <x v="28"/>
    <x v="0"/>
    <x v="1"/>
    <x v="0"/>
  </r>
  <r>
    <x v="848"/>
    <n v="50.89"/>
    <x v="582"/>
    <x v="564"/>
    <x v="19"/>
    <n v="3.47"/>
    <n v="0.28820000000000001"/>
    <x v="4"/>
    <n v="6.67"/>
    <n v="1"/>
    <x v="3"/>
    <x v="4"/>
    <x v="28"/>
    <x v="0"/>
    <x v="0"/>
    <x v="0"/>
  </r>
  <r>
    <x v="849"/>
    <n v="51.04"/>
    <x v="583"/>
    <x v="565"/>
    <x v="25"/>
    <n v="3.22"/>
    <n v="0.32069999999999999"/>
    <x v="26"/>
    <n v="6.89"/>
    <n v="1"/>
    <x v="3"/>
    <x v="4"/>
    <x v="28"/>
    <x v="1"/>
    <x v="1"/>
    <x v="0"/>
  </r>
  <r>
    <x v="850"/>
    <n v="51.04"/>
    <x v="3"/>
    <x v="3"/>
    <x v="36"/>
    <n v="3.14"/>
    <n v="0.26550000000000001"/>
    <x v="6"/>
    <m/>
    <n v="0"/>
    <x v="3"/>
    <x v="4"/>
    <x v="28"/>
    <x v="1"/>
    <x v="2"/>
    <x v="0"/>
  </r>
  <r>
    <x v="851"/>
    <n v="51.04"/>
    <x v="3"/>
    <x v="3"/>
    <x v="22"/>
    <n v="2.94"/>
    <n v="0.27900000000000003"/>
    <x v="14"/>
    <n v="6.92"/>
    <n v="0"/>
    <x v="3"/>
    <x v="4"/>
    <x v="28"/>
    <x v="0"/>
    <x v="2"/>
    <x v="0"/>
  </r>
  <r>
    <x v="852"/>
    <n v="49.91"/>
    <x v="584"/>
    <x v="566"/>
    <x v="47"/>
    <n v="3.07"/>
    <n v="0.28370000000000001"/>
    <x v="0"/>
    <n v="7.6"/>
    <n v="1"/>
    <x v="3"/>
    <x v="4"/>
    <x v="28"/>
    <x v="0"/>
    <x v="1"/>
    <x v="0"/>
  </r>
  <r>
    <x v="853"/>
    <n v="49.42"/>
    <x v="585"/>
    <x v="567"/>
    <x v="24"/>
    <n v="3.1"/>
    <n v="0.27879999999999999"/>
    <x v="4"/>
    <n v="5"/>
    <n v="1"/>
    <x v="3"/>
    <x v="4"/>
    <x v="28"/>
    <x v="0"/>
    <x v="1"/>
    <x v="0"/>
  </r>
  <r>
    <x v="854"/>
    <n v="50.78"/>
    <x v="586"/>
    <x v="568"/>
    <x v="94"/>
    <n v="3.55"/>
    <n v="0.38329999999999997"/>
    <x v="0"/>
    <n v="5.2"/>
    <n v="1"/>
    <x v="3"/>
    <x v="4"/>
    <x v="28"/>
    <x v="0"/>
    <x v="0"/>
    <x v="0"/>
  </r>
  <r>
    <x v="855"/>
    <n v="50.09"/>
    <x v="587"/>
    <x v="569"/>
    <x v="94"/>
    <n v="3.3"/>
    <n v="0.32700000000000001"/>
    <x v="0"/>
    <n v="6.3"/>
    <n v="1"/>
    <x v="3"/>
    <x v="4"/>
    <x v="28"/>
    <x v="0"/>
    <x v="1"/>
    <x v="0"/>
  </r>
  <r>
    <x v="856"/>
    <n v="49.8"/>
    <x v="588"/>
    <x v="570"/>
    <x v="49"/>
    <n v="3.06"/>
    <n v="0.31990000000000002"/>
    <x v="25"/>
    <n v="6.3"/>
    <n v="1"/>
    <x v="3"/>
    <x v="4"/>
    <x v="28"/>
    <x v="1"/>
    <x v="1"/>
    <x v="0"/>
  </r>
  <r>
    <x v="857"/>
    <n v="49.8"/>
    <x v="3"/>
    <x v="3"/>
    <x v="54"/>
    <n v="3.47"/>
    <n v="0.28370000000000001"/>
    <x v="4"/>
    <n v="6.07"/>
    <n v="0"/>
    <x v="3"/>
    <x v="4"/>
    <x v="28"/>
    <x v="1"/>
    <x v="2"/>
    <x v="0"/>
  </r>
  <r>
    <x v="858"/>
    <n v="49.8"/>
    <x v="3"/>
    <x v="3"/>
    <x v="94"/>
    <n v="3.03"/>
    <n v="0.28810000000000002"/>
    <x v="6"/>
    <m/>
    <n v="0"/>
    <x v="3"/>
    <x v="4"/>
    <x v="28"/>
    <x v="1"/>
    <x v="2"/>
    <x v="0"/>
  </r>
  <r>
    <x v="859"/>
    <n v="49.8"/>
    <x v="3"/>
    <x v="3"/>
    <x v="45"/>
    <n v="3.09"/>
    <n v="0.2215"/>
    <x v="6"/>
    <m/>
    <n v="0"/>
    <x v="3"/>
    <x v="4"/>
    <x v="28"/>
    <x v="0"/>
    <x v="2"/>
    <x v="0"/>
  </r>
  <r>
    <x v="860"/>
    <n v="50.18"/>
    <x v="589"/>
    <x v="571"/>
    <x v="28"/>
    <n v="2.92"/>
    <n v="0.15679999999999999"/>
    <x v="6"/>
    <m/>
    <n v="1"/>
    <x v="3"/>
    <x v="4"/>
    <x v="28"/>
    <x v="0"/>
    <x v="0"/>
    <x v="0"/>
  </r>
  <r>
    <x v="861"/>
    <n v="58.63"/>
    <x v="590"/>
    <x v="572"/>
    <x v="20"/>
    <n v="3.32"/>
    <n v="0.36299999999999999"/>
    <x v="6"/>
    <m/>
    <n v="1"/>
    <x v="3"/>
    <x v="4"/>
    <x v="28"/>
    <x v="0"/>
    <x v="0"/>
    <x v="0"/>
  </r>
  <r>
    <x v="862"/>
    <n v="57.98"/>
    <x v="591"/>
    <x v="573"/>
    <x v="40"/>
    <n v="3.17"/>
    <n v="0.2387"/>
    <x v="6"/>
    <m/>
    <n v="1"/>
    <x v="3"/>
    <x v="4"/>
    <x v="28"/>
    <x v="0"/>
    <x v="1"/>
    <x v="0"/>
  </r>
  <r>
    <x v="863"/>
    <n v="56.52"/>
    <x v="592"/>
    <x v="574"/>
    <x v="24"/>
    <n v="2.96"/>
    <n v="0.23219999999999999"/>
    <x v="6"/>
    <m/>
    <n v="1"/>
    <x v="3"/>
    <x v="4"/>
    <x v="28"/>
    <x v="1"/>
    <x v="1"/>
    <x v="0"/>
  </r>
  <r>
    <x v="864"/>
    <n v="56.52"/>
    <x v="3"/>
    <x v="3"/>
    <x v="58"/>
    <n v="3.36"/>
    <n v="0.43690000000000001"/>
    <x v="6"/>
    <m/>
    <n v="0"/>
    <x v="3"/>
    <x v="4"/>
    <x v="28"/>
    <x v="1"/>
    <x v="2"/>
    <x v="0"/>
  </r>
  <r>
    <x v="865"/>
    <n v="56.52"/>
    <x v="3"/>
    <x v="3"/>
    <x v="54"/>
    <n v="3.11"/>
    <n v="0.29139999999999999"/>
    <x v="6"/>
    <m/>
    <n v="0"/>
    <x v="3"/>
    <x v="4"/>
    <x v="28"/>
    <x v="0"/>
    <x v="2"/>
    <x v="0"/>
  </r>
  <r>
    <x v="866"/>
    <n v="55.68"/>
    <x v="593"/>
    <x v="443"/>
    <x v="24"/>
    <n v="2.82"/>
    <n v="0.1865"/>
    <x v="6"/>
    <m/>
    <n v="1"/>
    <x v="3"/>
    <x v="4"/>
    <x v="28"/>
    <x v="0"/>
    <x v="1"/>
    <x v="0"/>
  </r>
  <r>
    <x v="867"/>
    <n v="56.19"/>
    <x v="594"/>
    <x v="575"/>
    <x v="17"/>
    <n v="3.24"/>
    <n v="0.47"/>
    <x v="6"/>
    <m/>
    <n v="1"/>
    <x v="3"/>
    <x v="4"/>
    <x v="28"/>
    <x v="0"/>
    <x v="0"/>
    <x v="0"/>
  </r>
  <r>
    <x v="868"/>
    <n v="52.33"/>
    <x v="595"/>
    <x v="576"/>
    <x v="47"/>
    <n v="3.35"/>
    <n v="0.27650000000000002"/>
    <x v="6"/>
    <m/>
    <n v="1"/>
    <x v="3"/>
    <x v="4"/>
    <x v="28"/>
    <x v="0"/>
    <x v="1"/>
    <x v="0"/>
  </r>
  <r>
    <x v="869"/>
    <n v="53.86"/>
    <x v="596"/>
    <x v="577"/>
    <x v="23"/>
    <n v="2.93"/>
    <n v="0.3075"/>
    <x v="6"/>
    <m/>
    <n v="1"/>
    <x v="3"/>
    <x v="4"/>
    <x v="28"/>
    <x v="0"/>
    <x v="0"/>
    <x v="0"/>
  </r>
  <r>
    <x v="870"/>
    <n v="53.24"/>
    <x v="597"/>
    <x v="578"/>
    <x v="31"/>
    <n v="2.85"/>
    <n v="0.21829999999999999"/>
    <x v="6"/>
    <m/>
    <n v="1"/>
    <x v="3"/>
    <x v="4"/>
    <x v="28"/>
    <x v="1"/>
    <x v="1"/>
    <x v="0"/>
  </r>
  <r>
    <x v="871"/>
    <n v="53.24"/>
    <x v="3"/>
    <x v="3"/>
    <x v="53"/>
    <n v="3.01"/>
    <n v="0.34310000000000002"/>
    <x v="6"/>
    <m/>
    <n v="0"/>
    <x v="3"/>
    <x v="4"/>
    <x v="28"/>
    <x v="1"/>
    <x v="2"/>
    <x v="0"/>
  </r>
  <r>
    <x v="872"/>
    <n v="53.24"/>
    <x v="3"/>
    <x v="3"/>
    <x v="8"/>
    <n v="3.29"/>
    <n v="0.45579999999999998"/>
    <x v="6"/>
    <m/>
    <n v="0"/>
    <x v="3"/>
    <x v="4"/>
    <x v="28"/>
    <x v="0"/>
    <x v="2"/>
    <x v="0"/>
  </r>
  <r>
    <x v="873"/>
    <n v="53.9"/>
    <x v="598"/>
    <x v="579"/>
    <x v="20"/>
    <n v="2.86"/>
    <n v="0.18"/>
    <x v="6"/>
    <m/>
    <n v="1"/>
    <x v="3"/>
    <x v="5"/>
    <x v="29"/>
    <x v="0"/>
    <x v="0"/>
    <x v="0"/>
  </r>
  <r>
    <x v="874"/>
    <n v="54.82"/>
    <x v="599"/>
    <x v="580"/>
    <x v="32"/>
    <n v="2.65"/>
    <n v="0.2074"/>
    <x v="6"/>
    <m/>
    <n v="1"/>
    <x v="3"/>
    <x v="5"/>
    <x v="29"/>
    <x v="0"/>
    <x v="0"/>
    <x v="0"/>
  </r>
  <r>
    <x v="875"/>
    <n v="53.94"/>
    <x v="600"/>
    <x v="581"/>
    <x v="51"/>
    <n v="3.31"/>
    <n v="0.39479999999999998"/>
    <x v="6"/>
    <m/>
    <n v="1"/>
    <x v="3"/>
    <x v="5"/>
    <x v="29"/>
    <x v="0"/>
    <x v="1"/>
    <x v="0"/>
  </r>
  <r>
    <x v="876"/>
    <n v="55.22"/>
    <x v="601"/>
    <x v="582"/>
    <x v="84"/>
    <n v="2.9"/>
    <n v="0.20780000000000001"/>
    <x v="6"/>
    <m/>
    <n v="1"/>
    <x v="3"/>
    <x v="5"/>
    <x v="29"/>
    <x v="0"/>
    <x v="0"/>
    <x v="0"/>
  </r>
  <r>
    <x v="877"/>
    <n v="55.08"/>
    <x v="602"/>
    <x v="583"/>
    <x v="33"/>
    <n v="3.07"/>
    <n v="0.28060000000000002"/>
    <x v="6"/>
    <m/>
    <n v="1"/>
    <x v="3"/>
    <x v="5"/>
    <x v="29"/>
    <x v="1"/>
    <x v="1"/>
    <x v="0"/>
  </r>
  <r>
    <x v="878"/>
    <n v="55.08"/>
    <x v="3"/>
    <x v="3"/>
    <x v="45"/>
    <n v="2.72"/>
    <n v="0.17519999999999999"/>
    <x v="6"/>
    <m/>
    <n v="0"/>
    <x v="3"/>
    <x v="5"/>
    <x v="29"/>
    <x v="1"/>
    <x v="2"/>
    <x v="0"/>
  </r>
  <r>
    <x v="879"/>
    <n v="55.08"/>
    <x v="3"/>
    <x v="3"/>
    <x v="34"/>
    <n v="2.48"/>
    <n v="0.15740000000000001"/>
    <x v="6"/>
    <m/>
    <n v="0"/>
    <x v="3"/>
    <x v="5"/>
    <x v="29"/>
    <x v="0"/>
    <x v="2"/>
    <x v="0"/>
  </r>
  <r>
    <x v="880"/>
    <n v="54.79"/>
    <x v="603"/>
    <x v="584"/>
    <x v="40"/>
    <n v="3.3"/>
    <n v="0.4037"/>
    <x v="6"/>
    <m/>
    <n v="1"/>
    <x v="3"/>
    <x v="5"/>
    <x v="29"/>
    <x v="0"/>
    <x v="1"/>
    <x v="0"/>
  </r>
  <r>
    <x v="881"/>
    <n v="55.91"/>
    <x v="604"/>
    <x v="585"/>
    <x v="12"/>
    <n v="2.98"/>
    <n v="0.1986"/>
    <x v="6"/>
    <m/>
    <n v="1"/>
    <x v="3"/>
    <x v="5"/>
    <x v="29"/>
    <x v="0"/>
    <x v="0"/>
    <x v="0"/>
  </r>
  <r>
    <x v="882"/>
    <n v="56.36"/>
    <x v="605"/>
    <x v="586"/>
    <x v="32"/>
    <n v="3.27"/>
    <n v="0.24329999999999999"/>
    <x v="6"/>
    <m/>
    <n v="1"/>
    <x v="3"/>
    <x v="5"/>
    <x v="29"/>
    <x v="0"/>
    <x v="0"/>
    <x v="0"/>
  </r>
  <r>
    <x v="883"/>
    <n v="55.76"/>
    <x v="606"/>
    <x v="587"/>
    <x v="44"/>
    <n v="3.11"/>
    <n v="0.17399999999999999"/>
    <x v="6"/>
    <m/>
    <n v="1"/>
    <x v="3"/>
    <x v="5"/>
    <x v="29"/>
    <x v="0"/>
    <x v="1"/>
    <x v="0"/>
  </r>
  <r>
    <x v="884"/>
    <n v="55.65"/>
    <x v="607"/>
    <x v="588"/>
    <x v="40"/>
    <n v="2.83"/>
    <n v="0.30990000000000001"/>
    <x v="6"/>
    <m/>
    <n v="1"/>
    <x v="3"/>
    <x v="5"/>
    <x v="29"/>
    <x v="1"/>
    <x v="1"/>
    <x v="0"/>
  </r>
  <r>
    <x v="885"/>
    <n v="55.65"/>
    <x v="3"/>
    <x v="3"/>
    <x v="32"/>
    <n v="2.85"/>
    <n v="0.17680000000000001"/>
    <x v="6"/>
    <m/>
    <n v="0"/>
    <x v="3"/>
    <x v="5"/>
    <x v="29"/>
    <x v="1"/>
    <x v="2"/>
    <x v="0"/>
  </r>
  <r>
    <x v="886"/>
    <n v="55.65"/>
    <x v="3"/>
    <x v="3"/>
    <x v="23"/>
    <n v="2.82"/>
    <n v="0.19769999999999999"/>
    <x v="6"/>
    <m/>
    <n v="0"/>
    <x v="3"/>
    <x v="5"/>
    <x v="29"/>
    <x v="1"/>
    <x v="2"/>
    <x v="0"/>
  </r>
  <r>
    <x v="887"/>
    <n v="55.65"/>
    <x v="3"/>
    <x v="3"/>
    <x v="42"/>
    <n v="3.24"/>
    <n v="0.23180000000000001"/>
    <x v="6"/>
    <m/>
    <n v="0"/>
    <x v="3"/>
    <x v="5"/>
    <x v="29"/>
    <x v="0"/>
    <x v="2"/>
    <x v="0"/>
  </r>
  <r>
    <x v="888"/>
    <n v="55.73"/>
    <x v="608"/>
    <x v="398"/>
    <x v="49"/>
    <n v="3.46"/>
    <n v="0.39360000000000001"/>
    <x v="6"/>
    <m/>
    <n v="1"/>
    <x v="3"/>
    <x v="5"/>
    <x v="29"/>
    <x v="0"/>
    <x v="1"/>
    <x v="0"/>
  </r>
  <r>
    <x v="889"/>
    <n v="55.13"/>
    <x v="609"/>
    <x v="589"/>
    <x v="47"/>
    <n v="3"/>
    <n v="0.1925"/>
    <x v="6"/>
    <m/>
    <n v="1"/>
    <x v="3"/>
    <x v="5"/>
    <x v="29"/>
    <x v="0"/>
    <x v="0"/>
    <x v="0"/>
  </r>
  <r>
    <x v="890"/>
    <n v="54.82"/>
    <x v="610"/>
    <x v="590"/>
    <x v="22"/>
    <n v="3.45"/>
    <n v="0.2228"/>
    <x v="6"/>
    <m/>
    <n v="1"/>
    <x v="3"/>
    <x v="5"/>
    <x v="29"/>
    <x v="0"/>
    <x v="1"/>
    <x v="0"/>
  </r>
  <r>
    <x v="891"/>
    <n v="54.02"/>
    <x v="611"/>
    <x v="591"/>
    <x v="21"/>
    <n v="3.33"/>
    <n v="0.2069"/>
    <x v="6"/>
    <m/>
    <n v="1"/>
    <x v="3"/>
    <x v="5"/>
    <x v="29"/>
    <x v="1"/>
    <x v="1"/>
    <x v="0"/>
  </r>
  <r>
    <x v="892"/>
    <n v="54.02"/>
    <x v="3"/>
    <x v="3"/>
    <x v="23"/>
    <n v="3.15"/>
    <n v="0.20380000000000001"/>
    <x v="6"/>
    <m/>
    <n v="0"/>
    <x v="3"/>
    <x v="5"/>
    <x v="29"/>
    <x v="1"/>
    <x v="2"/>
    <x v="0"/>
  </r>
  <r>
    <x v="893"/>
    <n v="54.02"/>
    <x v="3"/>
    <x v="3"/>
    <x v="33"/>
    <n v="2.9"/>
    <n v="0.19650000000000001"/>
    <x v="6"/>
    <m/>
    <n v="0"/>
    <x v="3"/>
    <x v="5"/>
    <x v="29"/>
    <x v="0"/>
    <x v="2"/>
    <x v="0"/>
  </r>
  <r>
    <x v="894"/>
    <n v="53.38"/>
    <x v="612"/>
    <x v="33"/>
    <x v="32"/>
    <n v="3.15"/>
    <n v="0.25440000000000002"/>
    <x v="6"/>
    <m/>
    <n v="1"/>
    <x v="3"/>
    <x v="5"/>
    <x v="29"/>
    <x v="0"/>
    <x v="1"/>
    <x v="0"/>
  </r>
  <r>
    <x v="895"/>
    <n v="54.62"/>
    <x v="613"/>
    <x v="592"/>
    <x v="40"/>
    <n v="3.04"/>
    <n v="0.1961"/>
    <x v="6"/>
    <m/>
    <n v="1"/>
    <x v="3"/>
    <x v="5"/>
    <x v="29"/>
    <x v="0"/>
    <x v="0"/>
    <x v="0"/>
  </r>
  <r>
    <x v="896"/>
    <n v="55.34"/>
    <x v="614"/>
    <x v="593"/>
    <x v="7"/>
    <n v="2.69"/>
    <n v="0.16070000000000001"/>
    <x v="6"/>
    <m/>
    <n v="1"/>
    <x v="3"/>
    <x v="5"/>
    <x v="29"/>
    <x v="0"/>
    <x v="0"/>
    <x v="0"/>
  </r>
  <r>
    <x v="897"/>
    <n v="54.67"/>
    <x v="615"/>
    <x v="57"/>
    <x v="20"/>
    <n v="3.16"/>
    <n v="0.35709999999999997"/>
    <x v="6"/>
    <m/>
    <n v="1"/>
    <x v="3"/>
    <x v="5"/>
    <x v="29"/>
    <x v="0"/>
    <x v="1"/>
    <x v="0"/>
  </r>
  <r>
    <x v="898"/>
    <n v="53.88"/>
    <x v="616"/>
    <x v="594"/>
    <x v="34"/>
    <n v="3.32"/>
    <n v="0.33029999999999998"/>
    <x v="6"/>
    <m/>
    <n v="1"/>
    <x v="3"/>
    <x v="5"/>
    <x v="29"/>
    <x v="1"/>
    <x v="1"/>
    <x v="0"/>
  </r>
  <r>
    <x v="899"/>
    <n v="53.88"/>
    <x v="3"/>
    <x v="3"/>
    <x v="20"/>
    <n v="2.93"/>
    <n v="0.30149999999999999"/>
    <x v="6"/>
    <m/>
    <n v="0"/>
    <x v="3"/>
    <x v="5"/>
    <x v="29"/>
    <x v="1"/>
    <x v="2"/>
    <x v="0"/>
  </r>
  <r>
    <x v="900"/>
    <n v="53.88"/>
    <x v="3"/>
    <x v="3"/>
    <x v="48"/>
    <n v="3.08"/>
    <n v="0.31879999999999997"/>
    <x v="6"/>
    <m/>
    <n v="0"/>
    <x v="3"/>
    <x v="5"/>
    <x v="29"/>
    <x v="0"/>
    <x v="2"/>
    <x v="0"/>
  </r>
  <r>
    <x v="901"/>
    <n v="55.06"/>
    <x v="617"/>
    <x v="595"/>
    <x v="32"/>
    <n v="2.79"/>
    <n v="0.29970000000000002"/>
    <x v="6"/>
    <m/>
    <n v="1"/>
    <x v="3"/>
    <x v="6"/>
    <x v="30"/>
    <x v="0"/>
    <x v="0"/>
    <x v="0"/>
  </r>
  <r>
    <x v="902"/>
    <n v="54.78"/>
    <x v="618"/>
    <x v="596"/>
    <x v="44"/>
    <n v="3"/>
    <n v="0.36270000000000002"/>
    <x v="6"/>
    <m/>
    <n v="1"/>
    <x v="3"/>
    <x v="6"/>
    <x v="30"/>
    <x v="0"/>
    <x v="1"/>
    <x v="0"/>
  </r>
  <r>
    <x v="903"/>
    <n v="52.07"/>
    <x v="619"/>
    <x v="597"/>
    <x v="14"/>
    <n v="3.23"/>
    <n v="0.40560000000000002"/>
    <x v="6"/>
    <m/>
    <n v="1"/>
    <x v="3"/>
    <x v="6"/>
    <x v="30"/>
    <x v="0"/>
    <x v="1"/>
    <x v="0"/>
  </r>
  <r>
    <x v="904"/>
    <n v="51.13"/>
    <x v="620"/>
    <x v="598"/>
    <x v="32"/>
    <n v="2.88"/>
    <n v="0.24740000000000001"/>
    <x v="6"/>
    <m/>
    <n v="1"/>
    <x v="3"/>
    <x v="6"/>
    <x v="30"/>
    <x v="0"/>
    <x v="1"/>
    <x v="0"/>
  </r>
  <r>
    <x v="905"/>
    <n v="51.64"/>
    <x v="621"/>
    <x v="599"/>
    <x v="101"/>
    <n v="3.69"/>
    <n v="0.39319999999999999"/>
    <x v="6"/>
    <m/>
    <n v="1"/>
    <x v="3"/>
    <x v="6"/>
    <x v="30"/>
    <x v="1"/>
    <x v="0"/>
    <x v="0"/>
  </r>
  <r>
    <x v="906"/>
    <n v="51.64"/>
    <x v="3"/>
    <x v="3"/>
    <x v="73"/>
    <n v="3.41"/>
    <n v="0.35199999999999998"/>
    <x v="6"/>
    <m/>
    <n v="0"/>
    <x v="3"/>
    <x v="6"/>
    <x v="30"/>
    <x v="1"/>
    <x v="2"/>
    <x v="0"/>
  </r>
  <r>
    <x v="907"/>
    <n v="51.64"/>
    <x v="3"/>
    <x v="3"/>
    <x v="57"/>
    <n v="3.32"/>
    <n v="0.32340000000000002"/>
    <x v="6"/>
    <m/>
    <n v="0"/>
    <x v="3"/>
    <x v="6"/>
    <x v="30"/>
    <x v="0"/>
    <x v="2"/>
    <x v="0"/>
  </r>
  <r>
    <x v="908"/>
    <n v="49.33"/>
    <x v="622"/>
    <x v="600"/>
    <x v="40"/>
    <n v="3.45"/>
    <n v="0.30620000000000003"/>
    <x v="6"/>
    <m/>
    <n v="1"/>
    <x v="3"/>
    <x v="6"/>
    <x v="30"/>
    <x v="0"/>
    <x v="1"/>
    <x v="0"/>
  </r>
  <r>
    <x v="909"/>
    <n v="50.64"/>
    <x v="623"/>
    <x v="601"/>
    <x v="21"/>
    <n v="3.48"/>
    <n v="0.4128"/>
    <x v="6"/>
    <m/>
    <n v="1"/>
    <x v="3"/>
    <x v="6"/>
    <x v="30"/>
    <x v="0"/>
    <x v="1"/>
    <x v="0"/>
  </r>
  <r>
    <x v="910"/>
    <n v="50.45"/>
    <x v="624"/>
    <x v="602"/>
    <x v="42"/>
    <n v="3.3"/>
    <n v="0.31309999999999999"/>
    <x v="6"/>
    <m/>
    <n v="1"/>
    <x v="3"/>
    <x v="6"/>
    <x v="30"/>
    <x v="0"/>
    <x v="1"/>
    <x v="0"/>
  </r>
  <r>
    <x v="911"/>
    <n v="52.31"/>
    <x v="625"/>
    <x v="603"/>
    <x v="40"/>
    <n v="3.23"/>
    <n v="0.1326"/>
    <x v="6"/>
    <m/>
    <n v="1"/>
    <x v="3"/>
    <x v="6"/>
    <x v="30"/>
    <x v="0"/>
    <x v="0"/>
    <x v="0"/>
  </r>
  <r>
    <x v="912"/>
    <n v="51.8"/>
    <x v="626"/>
    <x v="604"/>
    <x v="25"/>
    <n v="3.21"/>
    <n v="0.30230000000000001"/>
    <x v="6"/>
    <m/>
    <n v="1"/>
    <x v="3"/>
    <x v="6"/>
    <x v="30"/>
    <x v="1"/>
    <x v="0"/>
    <x v="0"/>
  </r>
  <r>
    <x v="913"/>
    <n v="51.8"/>
    <x v="3"/>
    <x v="3"/>
    <x v="24"/>
    <n v="3.41"/>
    <n v="0.26869999999999999"/>
    <x v="6"/>
    <m/>
    <n v="0"/>
    <x v="3"/>
    <x v="6"/>
    <x v="30"/>
    <x v="1"/>
    <x v="2"/>
    <x v="0"/>
  </r>
  <r>
    <x v="914"/>
    <n v="51.8"/>
    <x v="3"/>
    <x v="3"/>
    <x v="25"/>
    <n v="3.27"/>
    <n v="0.2606"/>
    <x v="6"/>
    <m/>
    <n v="0"/>
    <x v="3"/>
    <x v="6"/>
    <x v="30"/>
    <x v="0"/>
    <x v="2"/>
    <x v="0"/>
  </r>
  <r>
    <x v="915"/>
    <n v="52.03"/>
    <x v="627"/>
    <x v="605"/>
    <x v="20"/>
    <n v="3.49"/>
    <n v="0.39410000000000001"/>
    <x v="6"/>
    <m/>
    <n v="1"/>
    <x v="3"/>
    <x v="6"/>
    <x v="30"/>
    <x v="0"/>
    <x v="0"/>
    <x v="0"/>
  </r>
  <r>
    <x v="916"/>
    <n v="52.4"/>
    <x v="628"/>
    <x v="606"/>
    <x v="50"/>
    <n v="2.88"/>
    <n v="0.1077"/>
    <x v="6"/>
    <m/>
    <n v="1"/>
    <x v="3"/>
    <x v="6"/>
    <x v="30"/>
    <x v="0"/>
    <x v="1"/>
    <x v="0"/>
  </r>
  <r>
    <x v="917"/>
    <n v="52.44"/>
    <x v="629"/>
    <x v="607"/>
    <x v="8"/>
    <n v="3.42"/>
    <n v="0.23799999999999999"/>
    <x v="6"/>
    <m/>
    <n v="1"/>
    <x v="3"/>
    <x v="6"/>
    <x v="30"/>
    <x v="0"/>
    <x v="0"/>
    <x v="0"/>
  </r>
  <r>
    <x v="918"/>
    <n v="50.48"/>
    <x v="630"/>
    <x v="608"/>
    <x v="28"/>
    <n v="3.08"/>
    <n v="0.31230000000000002"/>
    <x v="6"/>
    <m/>
    <n v="1"/>
    <x v="3"/>
    <x v="6"/>
    <x v="30"/>
    <x v="0"/>
    <x v="1"/>
    <x v="0"/>
  </r>
  <r>
    <x v="919"/>
    <n v="51.22"/>
    <x v="631"/>
    <x v="609"/>
    <x v="48"/>
    <n v="3.54"/>
    <n v="0.36530000000000001"/>
    <x v="6"/>
    <m/>
    <n v="1"/>
    <x v="3"/>
    <x v="6"/>
    <x v="30"/>
    <x v="1"/>
    <x v="0"/>
    <x v="0"/>
  </r>
  <r>
    <x v="920"/>
    <n v="51.22"/>
    <x v="3"/>
    <x v="3"/>
    <x v="44"/>
    <n v="2.7"/>
    <n v="0.17879999999999999"/>
    <x v="6"/>
    <m/>
    <n v="0"/>
    <x v="3"/>
    <x v="6"/>
    <x v="30"/>
    <x v="1"/>
    <x v="2"/>
    <x v="0"/>
  </r>
  <r>
    <x v="921"/>
    <n v="51.22"/>
    <x v="3"/>
    <x v="3"/>
    <x v="41"/>
    <n v="3.15"/>
    <n v="0.29609999999999997"/>
    <x v="6"/>
    <m/>
    <n v="0"/>
    <x v="3"/>
    <x v="6"/>
    <x v="30"/>
    <x v="0"/>
    <x v="2"/>
    <x v="0"/>
  </r>
  <r>
    <x v="922"/>
    <n v="52.31"/>
    <x v="632"/>
    <x v="610"/>
    <x v="33"/>
    <n v="2.95"/>
    <n v="0.30020000000000002"/>
    <x v="6"/>
    <m/>
    <n v="1"/>
    <x v="3"/>
    <x v="6"/>
    <x v="30"/>
    <x v="0"/>
    <x v="0"/>
    <x v="0"/>
  </r>
  <r>
    <x v="923"/>
    <n v="53.51"/>
    <x v="633"/>
    <x v="611"/>
    <x v="44"/>
    <n v="3.34"/>
    <n v="0.37859999999999999"/>
    <x v="6"/>
    <m/>
    <n v="1"/>
    <x v="3"/>
    <x v="6"/>
    <x v="30"/>
    <x v="0"/>
    <x v="0"/>
    <x v="0"/>
  </r>
  <r>
    <x v="924"/>
    <n v="52.08"/>
    <x v="634"/>
    <x v="612"/>
    <x v="40"/>
    <n v="3.26"/>
    <n v="0.23730000000000001"/>
    <x v="6"/>
    <m/>
    <n v="1"/>
    <x v="3"/>
    <x v="6"/>
    <x v="30"/>
    <x v="0"/>
    <x v="1"/>
    <x v="0"/>
  </r>
  <r>
    <x v="925"/>
    <n v="50.29"/>
    <x v="635"/>
    <x v="613"/>
    <x v="32"/>
    <n v="2.96"/>
    <n v="0.25919999999999999"/>
    <x v="6"/>
    <m/>
    <n v="1"/>
    <x v="3"/>
    <x v="6"/>
    <x v="30"/>
    <x v="0"/>
    <x v="1"/>
    <x v="0"/>
  </r>
  <r>
    <x v="926"/>
    <n v="50.81"/>
    <x v="636"/>
    <x v="614"/>
    <x v="33"/>
    <n v="3.16"/>
    <n v="0.309"/>
    <x v="6"/>
    <m/>
    <n v="1"/>
    <x v="3"/>
    <x v="6"/>
    <x v="30"/>
    <x v="1"/>
    <x v="0"/>
    <x v="0"/>
  </r>
  <r>
    <x v="927"/>
    <n v="50.81"/>
    <x v="3"/>
    <x v="3"/>
    <x v="20"/>
    <n v="2.72"/>
    <n v="0.25869999999999999"/>
    <x v="6"/>
    <m/>
    <n v="0"/>
    <x v="3"/>
    <x v="6"/>
    <x v="30"/>
    <x v="1"/>
    <x v="2"/>
    <x v="0"/>
  </r>
  <r>
    <x v="928"/>
    <n v="50.81"/>
    <x v="3"/>
    <x v="3"/>
    <x v="20"/>
    <n v="3.44"/>
    <n v="0.29820000000000002"/>
    <x v="6"/>
    <m/>
    <n v="0"/>
    <x v="3"/>
    <x v="6"/>
    <x v="30"/>
    <x v="0"/>
    <x v="2"/>
    <x v="0"/>
  </r>
  <r>
    <x v="929"/>
    <n v="51.4"/>
    <x v="637"/>
    <x v="615"/>
    <x v="20"/>
    <n v="2.95"/>
    <n v="0.21060000000000001"/>
    <x v="6"/>
    <m/>
    <n v="1"/>
    <x v="3"/>
    <x v="6"/>
    <x v="30"/>
    <x v="0"/>
    <x v="0"/>
    <x v="0"/>
  </r>
  <r>
    <x v="930"/>
    <n v="51.34"/>
    <x v="638"/>
    <x v="272"/>
    <x v="3"/>
    <n v="3.34"/>
    <n v="0.29609999999999997"/>
    <x v="6"/>
    <m/>
    <n v="1"/>
    <x v="3"/>
    <x v="6"/>
    <x v="30"/>
    <x v="0"/>
    <x v="0"/>
    <x v="0"/>
  </r>
  <r>
    <x v="931"/>
    <n v="52.17"/>
    <x v="639"/>
    <x v="616"/>
    <x v="28"/>
    <n v="2.98"/>
    <n v="0.34360000000000002"/>
    <x v="6"/>
    <m/>
    <n v="1"/>
    <x v="3"/>
    <x v="6"/>
    <x v="30"/>
    <x v="0"/>
    <x v="0"/>
    <x v="0"/>
  </r>
  <r>
    <x v="932"/>
    <n v="53.94"/>
    <x v="640"/>
    <x v="617"/>
    <x v="19"/>
    <n v="2.98"/>
    <n v="0.2424"/>
    <x v="6"/>
    <m/>
    <n v="1"/>
    <x v="3"/>
    <x v="7"/>
    <x v="31"/>
    <x v="1"/>
    <x v="0"/>
    <x v="0"/>
  </r>
  <r>
    <x v="933"/>
    <n v="53.94"/>
    <x v="3"/>
    <x v="3"/>
    <x v="47"/>
    <n v="2.9"/>
    <n v="0.2341"/>
    <x v="6"/>
    <m/>
    <n v="0"/>
    <x v="3"/>
    <x v="7"/>
    <x v="31"/>
    <x v="1"/>
    <x v="2"/>
    <x v="0"/>
  </r>
  <r>
    <x v="934"/>
    <n v="53.94"/>
    <x v="3"/>
    <x v="3"/>
    <x v="26"/>
    <n v="3.14"/>
    <n v="0.30880000000000002"/>
    <x v="6"/>
    <m/>
    <n v="0"/>
    <x v="3"/>
    <x v="7"/>
    <x v="31"/>
    <x v="1"/>
    <x v="2"/>
    <x v="0"/>
  </r>
  <r>
    <x v="935"/>
    <n v="53.94"/>
    <x v="3"/>
    <x v="3"/>
    <x v="40"/>
    <n v="3.06"/>
    <n v="0.22850000000000001"/>
    <x v="6"/>
    <m/>
    <n v="0"/>
    <x v="3"/>
    <x v="7"/>
    <x v="31"/>
    <x v="0"/>
    <x v="2"/>
    <x v="0"/>
  </r>
  <r>
    <x v="936"/>
    <n v="54.07"/>
    <x v="641"/>
    <x v="125"/>
    <x v="11"/>
    <n v="3.18"/>
    <n v="0.31809999999999999"/>
    <x v="6"/>
    <m/>
    <n v="1"/>
    <x v="3"/>
    <x v="7"/>
    <x v="31"/>
    <x v="0"/>
    <x v="0"/>
    <x v="0"/>
  </r>
  <r>
    <x v="937"/>
    <n v="54.45"/>
    <x v="642"/>
    <x v="437"/>
    <x v="48"/>
    <n v="2.85"/>
    <n v="0.18459999999999999"/>
    <x v="6"/>
    <m/>
    <n v="1"/>
    <x v="3"/>
    <x v="7"/>
    <x v="31"/>
    <x v="0"/>
    <x v="1"/>
    <x v="0"/>
  </r>
  <r>
    <x v="938"/>
    <n v="54.7"/>
    <x v="643"/>
    <x v="618"/>
    <x v="40"/>
    <n v="3.36"/>
    <n v="0.44800000000000001"/>
    <x v="6"/>
    <m/>
    <n v="1"/>
    <x v="3"/>
    <x v="7"/>
    <x v="31"/>
    <x v="0"/>
    <x v="0"/>
    <x v="0"/>
  </r>
  <r>
    <x v="939"/>
    <n v="55.46"/>
    <x v="644"/>
    <x v="619"/>
    <x v="40"/>
    <n v="2.68"/>
    <n v="0.24030000000000001"/>
    <x v="6"/>
    <m/>
    <n v="1"/>
    <x v="3"/>
    <x v="7"/>
    <x v="31"/>
    <x v="0"/>
    <x v="0"/>
    <x v="0"/>
  </r>
  <r>
    <x v="940"/>
    <n v="55.53"/>
    <x v="645"/>
    <x v="346"/>
    <x v="34"/>
    <n v="2.89"/>
    <n v="0.2175"/>
    <x v="6"/>
    <m/>
    <n v="1"/>
    <x v="3"/>
    <x v="7"/>
    <x v="31"/>
    <x v="1"/>
    <x v="0"/>
    <x v="0"/>
  </r>
  <r>
    <x v="941"/>
    <n v="55.53"/>
    <x v="3"/>
    <x v="3"/>
    <x v="50"/>
    <n v="2.72"/>
    <n v="0.1188"/>
    <x v="6"/>
    <m/>
    <n v="0"/>
    <x v="3"/>
    <x v="7"/>
    <x v="31"/>
    <x v="1"/>
    <x v="2"/>
    <x v="0"/>
  </r>
  <r>
    <x v="942"/>
    <n v="55.53"/>
    <x v="3"/>
    <x v="3"/>
    <x v="22"/>
    <n v="2.29"/>
    <n v="0.1651"/>
    <x v="6"/>
    <m/>
    <n v="0"/>
    <x v="3"/>
    <x v="7"/>
    <x v="31"/>
    <x v="0"/>
    <x v="2"/>
    <x v="0"/>
  </r>
  <r>
    <x v="943"/>
    <n v="55.28"/>
    <x v="646"/>
    <x v="620"/>
    <x v="20"/>
    <n v="2.77"/>
    <n v="0.30059999999999998"/>
    <x v="6"/>
    <m/>
    <n v="1"/>
    <x v="3"/>
    <x v="7"/>
    <x v="31"/>
    <x v="0"/>
    <x v="0"/>
    <x v="0"/>
  </r>
  <r>
    <x v="944"/>
    <n v="55.37"/>
    <x v="647"/>
    <x v="621"/>
    <x v="14"/>
    <n v="2.4"/>
    <n v="8.6599999999999996E-2"/>
    <x v="6"/>
    <m/>
    <n v="1"/>
    <x v="3"/>
    <x v="7"/>
    <x v="31"/>
    <x v="0"/>
    <x v="1"/>
    <x v="1"/>
  </r>
  <r>
    <x v="945"/>
    <n v="54"/>
    <x v="648"/>
    <x v="622"/>
    <x v="34"/>
    <n v="2.59"/>
    <n v="0.1207"/>
    <x v="6"/>
    <m/>
    <n v="1"/>
    <x v="3"/>
    <x v="7"/>
    <x v="31"/>
    <x v="0"/>
    <x v="1"/>
    <x v="0"/>
  </r>
  <r>
    <x v="946"/>
    <n v="54.92"/>
    <x v="649"/>
    <x v="623"/>
    <x v="35"/>
    <n v="2.48"/>
    <n v="0.1434"/>
    <x v="6"/>
    <m/>
    <n v="1"/>
    <x v="3"/>
    <x v="7"/>
    <x v="31"/>
    <x v="0"/>
    <x v="0"/>
    <x v="0"/>
  </r>
  <r>
    <x v="947"/>
    <n v="54.65"/>
    <x v="650"/>
    <x v="624"/>
    <x v="17"/>
    <n v="2.58"/>
    <n v="6.0100000000000001E-2"/>
    <x v="6"/>
    <m/>
    <n v="1"/>
    <x v="3"/>
    <x v="7"/>
    <x v="31"/>
    <x v="1"/>
    <x v="1"/>
    <x v="1"/>
  </r>
  <r>
    <x v="948"/>
    <n v="54.65"/>
    <x v="3"/>
    <x v="3"/>
    <x v="23"/>
    <n v="2.8"/>
    <n v="0.21310000000000001"/>
    <x v="6"/>
    <m/>
    <n v="0"/>
    <x v="3"/>
    <x v="7"/>
    <x v="31"/>
    <x v="1"/>
    <x v="2"/>
    <x v="0"/>
  </r>
  <r>
    <x v="949"/>
    <n v="54.65"/>
    <x v="3"/>
    <x v="3"/>
    <x v="47"/>
    <n v="2.57"/>
    <n v="0.1885"/>
    <x v="6"/>
    <m/>
    <n v="0"/>
    <x v="3"/>
    <x v="7"/>
    <x v="31"/>
    <x v="0"/>
    <x v="2"/>
    <x v="0"/>
  </r>
  <r>
    <x v="950"/>
    <n v="55.44"/>
    <x v="651"/>
    <x v="298"/>
    <x v="34"/>
    <n v="2.64"/>
    <n v="0.1537"/>
    <x v="6"/>
    <m/>
    <n v="1"/>
    <x v="3"/>
    <x v="7"/>
    <x v="31"/>
    <x v="0"/>
    <x v="0"/>
    <x v="0"/>
  </r>
  <r>
    <x v="951"/>
    <n v="54.96"/>
    <x v="652"/>
    <x v="625"/>
    <x v="42"/>
    <n v="2.94"/>
    <n v="0.28799999999999998"/>
    <x v="6"/>
    <m/>
    <n v="1"/>
    <x v="3"/>
    <x v="7"/>
    <x v="31"/>
    <x v="0"/>
    <x v="1"/>
    <x v="0"/>
  </r>
  <r>
    <x v="952"/>
    <n v="50.89"/>
    <x v="653"/>
    <x v="626"/>
    <x v="35"/>
    <n v="2.86"/>
    <n v="0.19650000000000001"/>
    <x v="6"/>
    <m/>
    <n v="1"/>
    <x v="3"/>
    <x v="7"/>
    <x v="31"/>
    <x v="0"/>
    <x v="0"/>
    <x v="0"/>
  </r>
  <r>
    <x v="953"/>
    <n v="50.88"/>
    <x v="654"/>
    <x v="627"/>
    <x v="26"/>
    <n v="2.62"/>
    <n v="0.18629999999999999"/>
    <x v="6"/>
    <m/>
    <n v="1"/>
    <x v="3"/>
    <x v="7"/>
    <x v="31"/>
    <x v="0"/>
    <x v="1"/>
    <x v="0"/>
  </r>
  <r>
    <x v="954"/>
    <n v="50.56"/>
    <x v="655"/>
    <x v="628"/>
    <x v="23"/>
    <n v="2.09"/>
    <n v="1.6999999999999999E-3"/>
    <x v="6"/>
    <m/>
    <n v="1"/>
    <x v="3"/>
    <x v="7"/>
    <x v="31"/>
    <x v="1"/>
    <x v="1"/>
    <x v="1"/>
  </r>
  <r>
    <x v="955"/>
    <n v="50.56"/>
    <x v="3"/>
    <x v="3"/>
    <x v="42"/>
    <n v="2.41"/>
    <n v="0.1323"/>
    <x v="6"/>
    <m/>
    <n v="0"/>
    <x v="3"/>
    <x v="7"/>
    <x v="31"/>
    <x v="1"/>
    <x v="2"/>
    <x v="0"/>
  </r>
  <r>
    <x v="956"/>
    <n v="50.56"/>
    <x v="3"/>
    <x v="3"/>
    <x v="19"/>
    <n v="2.84"/>
    <n v="0.27"/>
    <x v="6"/>
    <m/>
    <n v="0"/>
    <x v="3"/>
    <x v="7"/>
    <x v="31"/>
    <x v="0"/>
    <x v="2"/>
    <x v="0"/>
  </r>
  <r>
    <x v="957"/>
    <n v="51.03"/>
    <x v="656"/>
    <x v="629"/>
    <x v="4"/>
    <n v="2.2200000000000002"/>
    <n v="8.2900000000000001E-2"/>
    <x v="6"/>
    <m/>
    <n v="1"/>
    <x v="3"/>
    <x v="7"/>
    <x v="31"/>
    <x v="0"/>
    <x v="0"/>
    <x v="1"/>
  </r>
  <r>
    <x v="958"/>
    <n v="50.56"/>
    <x v="657"/>
    <x v="630"/>
    <x v="31"/>
    <n v="2.68"/>
    <n v="0.15570000000000001"/>
    <x v="6"/>
    <m/>
    <n v="1"/>
    <x v="3"/>
    <x v="7"/>
    <x v="31"/>
    <x v="0"/>
    <x v="1"/>
    <x v="0"/>
  </r>
  <r>
    <x v="959"/>
    <n v="50.65"/>
    <x v="658"/>
    <x v="631"/>
    <x v="12"/>
    <n v="3.04"/>
    <n v="0.2697"/>
    <x v="6"/>
    <m/>
    <n v="1"/>
    <x v="3"/>
    <x v="7"/>
    <x v="31"/>
    <x v="0"/>
    <x v="0"/>
    <x v="0"/>
  </r>
  <r>
    <x v="960"/>
    <n v="50.9"/>
    <x v="659"/>
    <x v="632"/>
    <x v="2"/>
    <n v="2.2599999999999998"/>
    <n v="0.25"/>
    <x v="6"/>
    <m/>
    <n v="1"/>
    <x v="3"/>
    <x v="7"/>
    <x v="31"/>
    <x v="0"/>
    <x v="0"/>
    <x v="0"/>
  </r>
  <r>
    <x v="961"/>
    <n v="51.35"/>
    <x v="660"/>
    <x v="264"/>
    <x v="40"/>
    <n v="2.4500000000000002"/>
    <n v="0.18029999999999999"/>
    <x v="6"/>
    <m/>
    <n v="1"/>
    <x v="3"/>
    <x v="7"/>
    <x v="31"/>
    <x v="1"/>
    <x v="0"/>
    <x v="0"/>
  </r>
  <r>
    <x v="962"/>
    <n v="51.35"/>
    <x v="3"/>
    <x v="3"/>
    <x v="23"/>
    <n v="2.67"/>
    <n v="0.24990000000000001"/>
    <x v="6"/>
    <m/>
    <n v="0"/>
    <x v="3"/>
    <x v="8"/>
    <x v="32"/>
    <x v="1"/>
    <x v="2"/>
    <x v="0"/>
  </r>
  <r>
    <x v="963"/>
    <n v="51.35"/>
    <x v="3"/>
    <x v="3"/>
    <x v="8"/>
    <n v="3.1"/>
    <n v="0.18609999999999999"/>
    <x v="6"/>
    <m/>
    <n v="0"/>
    <x v="3"/>
    <x v="8"/>
    <x v="32"/>
    <x v="0"/>
    <x v="2"/>
    <x v="0"/>
  </r>
  <r>
    <x v="964"/>
    <n v="50.91"/>
    <x v="661"/>
    <x v="633"/>
    <x v="45"/>
    <n v="2.7"/>
    <n v="6.0100000000000001E-2"/>
    <x v="6"/>
    <m/>
    <n v="1"/>
    <x v="3"/>
    <x v="8"/>
    <x v="32"/>
    <x v="0"/>
    <x v="1"/>
    <x v="1"/>
  </r>
  <r>
    <x v="965"/>
    <n v="50.32"/>
    <x v="662"/>
    <x v="634"/>
    <x v="23"/>
    <n v="2.71"/>
    <n v="0.16239999999999999"/>
    <x v="6"/>
    <m/>
    <n v="1"/>
    <x v="3"/>
    <x v="8"/>
    <x v="32"/>
    <x v="0"/>
    <x v="1"/>
    <x v="0"/>
  </r>
  <r>
    <x v="966"/>
    <n v="49.61"/>
    <x v="663"/>
    <x v="635"/>
    <x v="20"/>
    <n v="2.5299999999999998"/>
    <n v="0.26269999999999999"/>
    <x v="6"/>
    <m/>
    <n v="1"/>
    <x v="3"/>
    <x v="8"/>
    <x v="32"/>
    <x v="0"/>
    <x v="1"/>
    <x v="0"/>
  </r>
  <r>
    <x v="967"/>
    <n v="49.96"/>
    <x v="664"/>
    <x v="636"/>
    <x v="48"/>
    <n v="2.2400000000000002"/>
    <n v="2.52E-2"/>
    <x v="6"/>
    <m/>
    <n v="1"/>
    <x v="3"/>
    <x v="8"/>
    <x v="32"/>
    <x v="0"/>
    <x v="0"/>
    <x v="1"/>
  </r>
  <r>
    <x v="968"/>
    <n v="50.38"/>
    <x v="665"/>
    <x v="224"/>
    <x v="1"/>
    <n v="3.22"/>
    <n v="0.2346"/>
    <x v="6"/>
    <m/>
    <n v="1"/>
    <x v="3"/>
    <x v="8"/>
    <x v="32"/>
    <x v="1"/>
    <x v="1"/>
    <x v="0"/>
  </r>
  <r>
    <x v="969"/>
    <n v="50.38"/>
    <x v="3"/>
    <x v="3"/>
    <x v="35"/>
    <n v="2.66"/>
    <n v="3.4299999999999997E-2"/>
    <x v="6"/>
    <m/>
    <n v="0"/>
    <x v="3"/>
    <x v="8"/>
    <x v="32"/>
    <x v="1"/>
    <x v="2"/>
    <x v="1"/>
  </r>
  <r>
    <x v="970"/>
    <n v="50.38"/>
    <x v="3"/>
    <x v="3"/>
    <x v="11"/>
    <n v="2.67"/>
    <n v="0.20069999999999999"/>
    <x v="6"/>
    <m/>
    <n v="0"/>
    <x v="3"/>
    <x v="8"/>
    <x v="32"/>
    <x v="0"/>
    <x v="2"/>
    <x v="0"/>
  </r>
  <r>
    <x v="971"/>
    <n v="48.67"/>
    <x v="666"/>
    <x v="637"/>
    <x v="20"/>
    <n v="2.77"/>
    <n v="0.1222"/>
    <x v="6"/>
    <m/>
    <n v="1"/>
    <x v="3"/>
    <x v="8"/>
    <x v="32"/>
    <x v="0"/>
    <x v="1"/>
    <x v="0"/>
  </r>
  <r>
    <x v="972"/>
    <n v="49.51"/>
    <x v="667"/>
    <x v="638"/>
    <x v="25"/>
    <n v="2.92"/>
    <n v="0.20949999999999999"/>
    <x v="6"/>
    <m/>
    <n v="1"/>
    <x v="3"/>
    <x v="8"/>
    <x v="32"/>
    <x v="0"/>
    <x v="0"/>
    <x v="0"/>
  </r>
  <r>
    <x v="973"/>
    <n v="48.5"/>
    <x v="668"/>
    <x v="452"/>
    <x v="23"/>
    <n v="2.73"/>
    <n v="0.1046"/>
    <x v="6"/>
    <m/>
    <n v="1"/>
    <x v="3"/>
    <x v="8"/>
    <x v="32"/>
    <x v="0"/>
    <x v="1"/>
    <x v="0"/>
  </r>
  <r>
    <x v="974"/>
    <n v="48.67"/>
    <x v="669"/>
    <x v="639"/>
    <x v="34"/>
    <n v="2.5"/>
    <n v="0.10100000000000001"/>
    <x v="6"/>
    <m/>
    <n v="1"/>
    <x v="3"/>
    <x v="8"/>
    <x v="32"/>
    <x v="0"/>
    <x v="1"/>
    <x v="0"/>
  </r>
  <r>
    <x v="975"/>
    <n v="49.34"/>
    <x v="670"/>
    <x v="640"/>
    <x v="25"/>
    <n v="2.62"/>
    <n v="0.1086"/>
    <x v="6"/>
    <m/>
    <n v="1"/>
    <x v="3"/>
    <x v="8"/>
    <x v="32"/>
    <x v="1"/>
    <x v="0"/>
    <x v="0"/>
  </r>
  <r>
    <x v="976"/>
    <n v="49.34"/>
    <x v="3"/>
    <x v="3"/>
    <x v="20"/>
    <n v="2.89"/>
    <n v="0.17530000000000001"/>
    <x v="6"/>
    <m/>
    <n v="0"/>
    <x v="3"/>
    <x v="8"/>
    <x v="32"/>
    <x v="1"/>
    <x v="2"/>
    <x v="0"/>
  </r>
  <r>
    <x v="977"/>
    <n v="49.34"/>
    <x v="3"/>
    <x v="3"/>
    <x v="50"/>
    <n v="2.81"/>
    <n v="0.25209999999999999"/>
    <x v="6"/>
    <m/>
    <n v="0"/>
    <x v="3"/>
    <x v="8"/>
    <x v="32"/>
    <x v="0"/>
    <x v="2"/>
    <x v="0"/>
  </r>
  <r>
    <x v="978"/>
    <n v="48.89"/>
    <x v="671"/>
    <x v="641"/>
    <x v="8"/>
    <n v="3.04"/>
    <n v="0.1653"/>
    <x v="6"/>
    <m/>
    <n v="1"/>
    <x v="3"/>
    <x v="8"/>
    <x v="32"/>
    <x v="0"/>
    <x v="0"/>
    <x v="0"/>
  </r>
  <r>
    <x v="979"/>
    <n v="48.63"/>
    <x v="672"/>
    <x v="642"/>
    <x v="48"/>
    <n v="2.58"/>
    <n v="0.2147"/>
    <x v="6"/>
    <m/>
    <n v="1"/>
    <x v="3"/>
    <x v="8"/>
    <x v="32"/>
    <x v="0"/>
    <x v="1"/>
    <x v="0"/>
  </r>
  <r>
    <x v="980"/>
    <n v="48.77"/>
    <x v="673"/>
    <x v="643"/>
    <x v="45"/>
    <n v="2.62"/>
    <n v="0.13730000000000001"/>
    <x v="6"/>
    <m/>
    <n v="1"/>
    <x v="3"/>
    <x v="8"/>
    <x v="32"/>
    <x v="0"/>
    <x v="0"/>
    <x v="0"/>
  </r>
  <r>
    <x v="981"/>
    <n v="50.17"/>
    <x v="674"/>
    <x v="644"/>
    <x v="33"/>
    <n v="2.48"/>
    <n v="0.1963"/>
    <x v="6"/>
    <m/>
    <n v="1"/>
    <x v="3"/>
    <x v="8"/>
    <x v="32"/>
    <x v="0"/>
    <x v="0"/>
    <x v="0"/>
  </r>
  <r>
    <x v="982"/>
    <n v="49.79"/>
    <x v="675"/>
    <x v="210"/>
    <x v="23"/>
    <n v="2.42"/>
    <n v="-1.0699999999999999E-2"/>
    <x v="6"/>
    <m/>
    <n v="1"/>
    <x v="3"/>
    <x v="8"/>
    <x v="32"/>
    <x v="1"/>
    <x v="1"/>
    <x v="1"/>
  </r>
  <r>
    <x v="983"/>
    <n v="49.79"/>
    <x v="3"/>
    <x v="3"/>
    <x v="20"/>
    <n v="2.75"/>
    <n v="0.1573"/>
    <x v="6"/>
    <m/>
    <n v="0"/>
    <x v="3"/>
    <x v="8"/>
    <x v="32"/>
    <x v="1"/>
    <x v="2"/>
    <x v="0"/>
  </r>
  <r>
    <x v="984"/>
    <n v="49.79"/>
    <x v="3"/>
    <x v="3"/>
    <x v="14"/>
    <n v="2.73"/>
    <n v="0.20100000000000001"/>
    <x v="6"/>
    <m/>
    <n v="0"/>
    <x v="3"/>
    <x v="8"/>
    <x v="32"/>
    <x v="0"/>
    <x v="2"/>
    <x v="0"/>
  </r>
  <r>
    <x v="985"/>
    <n v="50.29"/>
    <x v="676"/>
    <x v="645"/>
    <x v="4"/>
    <n v="2.65"/>
    <n v="9.6199999999999994E-2"/>
    <x v="6"/>
    <m/>
    <n v="1"/>
    <x v="3"/>
    <x v="8"/>
    <x v="32"/>
    <x v="0"/>
    <x v="0"/>
    <x v="1"/>
  </r>
  <r>
    <x v="986"/>
    <n v="50.13"/>
    <x v="677"/>
    <x v="646"/>
    <x v="40"/>
    <n v="2.4300000000000002"/>
    <n v="0.13250000000000001"/>
    <x v="6"/>
    <m/>
    <n v="1"/>
    <x v="3"/>
    <x v="8"/>
    <x v="32"/>
    <x v="0"/>
    <x v="1"/>
    <x v="0"/>
  </r>
  <r>
    <x v="987"/>
    <n v="50.24"/>
    <x v="678"/>
    <x v="647"/>
    <x v="23"/>
    <n v="2.64"/>
    <n v="0.16500000000000001"/>
    <x v="6"/>
    <m/>
    <n v="1"/>
    <x v="3"/>
    <x v="8"/>
    <x v="32"/>
    <x v="0"/>
    <x v="0"/>
    <x v="0"/>
  </r>
  <r>
    <x v="988"/>
    <n v="50.39"/>
    <x v="679"/>
    <x v="648"/>
    <x v="19"/>
    <n v="2.21"/>
    <n v="2.76E-2"/>
    <x v="6"/>
    <m/>
    <n v="1"/>
    <x v="3"/>
    <x v="8"/>
    <x v="32"/>
    <x v="0"/>
    <x v="0"/>
    <x v="1"/>
  </r>
  <r>
    <x v="989"/>
    <n v="50.28"/>
    <x v="680"/>
    <x v="649"/>
    <x v="26"/>
    <n v="2.52"/>
    <n v="5.4600000000000003E-2"/>
    <x v="6"/>
    <m/>
    <n v="1"/>
    <x v="3"/>
    <x v="8"/>
    <x v="32"/>
    <x v="1"/>
    <x v="1"/>
    <x v="1"/>
  </r>
  <r>
    <x v="990"/>
    <n v="50.28"/>
    <x v="3"/>
    <x v="3"/>
    <x v="40"/>
    <n v="2.58"/>
    <n v="0.18840000000000001"/>
    <x v="6"/>
    <m/>
    <n v="0"/>
    <x v="3"/>
    <x v="8"/>
    <x v="32"/>
    <x v="1"/>
    <x v="2"/>
    <x v="0"/>
  </r>
  <r>
    <x v="991"/>
    <n v="50.28"/>
    <x v="3"/>
    <x v="3"/>
    <x v="33"/>
    <n v="2.84"/>
    <n v="0.23730000000000001"/>
    <x v="6"/>
    <m/>
    <n v="0"/>
    <x v="3"/>
    <x v="8"/>
    <x v="32"/>
    <x v="1"/>
    <x v="2"/>
    <x v="0"/>
  </r>
  <r>
    <x v="992"/>
    <n v="50.28"/>
    <x v="3"/>
    <x v="3"/>
    <x v="40"/>
    <n v="2.89"/>
    <n v="0.24959999999999999"/>
    <x v="6"/>
    <m/>
    <n v="0"/>
    <x v="3"/>
    <x v="8"/>
    <x v="32"/>
    <x v="0"/>
    <x v="2"/>
    <x v="0"/>
  </r>
  <r>
    <x v="993"/>
    <n v="49.91"/>
    <x v="681"/>
    <x v="650"/>
    <x v="3"/>
    <n v="2.5"/>
    <n v="0.14099999999999999"/>
    <x v="6"/>
    <m/>
    <n v="1"/>
    <x v="3"/>
    <x v="9"/>
    <x v="33"/>
    <x v="0"/>
    <x v="1"/>
    <x v="0"/>
  </r>
  <r>
    <x v="994"/>
    <n v="49.92"/>
    <x v="682"/>
    <x v="651"/>
    <x v="12"/>
    <n v="2.5099999999999998"/>
    <n v="7.6399999999999996E-2"/>
    <x v="6"/>
    <m/>
    <n v="1"/>
    <x v="3"/>
    <x v="9"/>
    <x v="33"/>
    <x v="0"/>
    <x v="1"/>
    <x v="1"/>
  </r>
  <r>
    <x v="995"/>
    <n v="48.94"/>
    <x v="683"/>
    <x v="254"/>
    <x v="35"/>
    <n v="2.42"/>
    <n v="0.1053"/>
    <x v="6"/>
    <m/>
    <n v="1"/>
    <x v="3"/>
    <x v="9"/>
    <x v="33"/>
    <x v="0"/>
    <x v="1"/>
    <x v="0"/>
  </r>
  <r>
    <x v="996"/>
    <n v="49.47"/>
    <x v="684"/>
    <x v="652"/>
    <x v="23"/>
    <n v="2.29"/>
    <n v="0.111"/>
    <x v="6"/>
    <m/>
    <n v="1"/>
    <x v="3"/>
    <x v="9"/>
    <x v="33"/>
    <x v="1"/>
    <x v="0"/>
    <x v="0"/>
  </r>
  <r>
    <x v="997"/>
    <n v="49.47"/>
    <x v="3"/>
    <x v="3"/>
    <x v="42"/>
    <n v="2.67"/>
    <n v="0.22040000000000001"/>
    <x v="6"/>
    <m/>
    <n v="0"/>
    <x v="3"/>
    <x v="9"/>
    <x v="33"/>
    <x v="1"/>
    <x v="2"/>
    <x v="0"/>
  </r>
  <r>
    <x v="998"/>
    <n v="49.47"/>
    <x v="3"/>
    <x v="3"/>
    <x v="48"/>
    <n v="2.78"/>
    <n v="0.21029999999999999"/>
    <x v="6"/>
    <m/>
    <n v="0"/>
    <x v="3"/>
    <x v="9"/>
    <x v="33"/>
    <x v="0"/>
    <x v="2"/>
    <x v="0"/>
  </r>
  <r>
    <x v="999"/>
    <n v="49.47"/>
    <x v="685"/>
    <x v="653"/>
    <x v="34"/>
    <n v="2.73"/>
    <n v="0.1835"/>
    <x v="6"/>
    <m/>
    <n v="1"/>
    <x v="3"/>
    <x v="9"/>
    <x v="33"/>
    <x v="0"/>
    <x v="0"/>
    <x v="0"/>
  </r>
  <r>
    <x v="1000"/>
    <n v="49.24"/>
    <x v="686"/>
    <x v="654"/>
    <x v="36"/>
    <n v="3.14"/>
    <n v="0.18679999999999999"/>
    <x v="6"/>
    <m/>
    <n v="1"/>
    <x v="3"/>
    <x v="9"/>
    <x v="33"/>
    <x v="0"/>
    <x v="1"/>
    <x v="0"/>
  </r>
  <r>
    <x v="1001"/>
    <n v="48.58"/>
    <x v="687"/>
    <x v="418"/>
    <x v="36"/>
    <n v="3.08"/>
    <n v="0.2046"/>
    <x v="6"/>
    <m/>
    <n v="1"/>
    <x v="3"/>
    <x v="9"/>
    <x v="33"/>
    <x v="0"/>
    <x v="1"/>
    <x v="0"/>
  </r>
  <r>
    <x v="1002"/>
    <n v="48.73"/>
    <x v="688"/>
    <x v="655"/>
    <x v="12"/>
    <n v="2.98"/>
    <n v="0.19109999999999999"/>
    <x v="6"/>
    <m/>
    <n v="1"/>
    <x v="3"/>
    <x v="9"/>
    <x v="33"/>
    <x v="0"/>
    <x v="0"/>
    <x v="0"/>
  </r>
  <r>
    <x v="1003"/>
    <n v="48.88"/>
    <x v="689"/>
    <x v="656"/>
    <x v="28"/>
    <n v="2.75"/>
    <n v="6.5299999999999997E-2"/>
    <x v="6"/>
    <m/>
    <n v="1"/>
    <x v="3"/>
    <x v="9"/>
    <x v="33"/>
    <x v="1"/>
    <x v="1"/>
    <x v="1"/>
  </r>
  <r>
    <x v="1004"/>
    <n v="48.88"/>
    <x v="3"/>
    <x v="3"/>
    <x v="19"/>
    <n v="2.93"/>
    <n v="0.29580000000000001"/>
    <x v="6"/>
    <m/>
    <n v="0"/>
    <x v="3"/>
    <x v="9"/>
    <x v="33"/>
    <x v="1"/>
    <x v="2"/>
    <x v="0"/>
  </r>
  <r>
    <x v="1005"/>
    <n v="48.88"/>
    <x v="3"/>
    <x v="3"/>
    <x v="12"/>
    <n v="2.96"/>
    <n v="0.15540000000000001"/>
    <x v="6"/>
    <m/>
    <n v="0"/>
    <x v="3"/>
    <x v="9"/>
    <x v="33"/>
    <x v="0"/>
    <x v="2"/>
    <x v="0"/>
  </r>
  <r>
    <x v="1006"/>
    <n v="49.99"/>
    <x v="690"/>
    <x v="657"/>
    <x v="36"/>
    <n v="3.22"/>
    <n v="0.2752"/>
    <x v="6"/>
    <m/>
    <n v="1"/>
    <x v="3"/>
    <x v="9"/>
    <x v="33"/>
    <x v="0"/>
    <x v="0"/>
    <x v="0"/>
  </r>
  <r>
    <x v="1007"/>
    <n v="49.19"/>
    <x v="691"/>
    <x v="658"/>
    <x v="4"/>
    <n v="2.46"/>
    <n v="0.17730000000000001"/>
    <x v="6"/>
    <m/>
    <n v="1"/>
    <x v="3"/>
    <x v="9"/>
    <x v="33"/>
    <x v="0"/>
    <x v="1"/>
    <x v="0"/>
  </r>
  <r>
    <x v="1008"/>
    <n v="49.24"/>
    <x v="692"/>
    <x v="659"/>
    <x v="11"/>
    <n v="2.4500000000000002"/>
    <n v="1.8E-3"/>
    <x v="6"/>
    <m/>
    <n v="1"/>
    <x v="3"/>
    <x v="9"/>
    <x v="33"/>
    <x v="0"/>
    <x v="1"/>
    <x v="1"/>
  </r>
  <r>
    <x v="1009"/>
    <n v="49.83"/>
    <x v="693"/>
    <x v="660"/>
    <x v="42"/>
    <n v="2.7"/>
    <n v="0.2079"/>
    <x v="6"/>
    <m/>
    <n v="1"/>
    <x v="3"/>
    <x v="9"/>
    <x v="33"/>
    <x v="0"/>
    <x v="0"/>
    <x v="0"/>
  </r>
  <r>
    <x v="1010"/>
    <n v="50.08"/>
    <x v="694"/>
    <x v="661"/>
    <x v="11"/>
    <n v="2.5499999999999998"/>
    <n v="0.13789999999999999"/>
    <x v="6"/>
    <m/>
    <n v="1"/>
    <x v="3"/>
    <x v="9"/>
    <x v="33"/>
    <x v="1"/>
    <x v="0"/>
    <x v="0"/>
  </r>
  <r>
    <x v="1011"/>
    <n v="50.08"/>
    <x v="3"/>
    <x v="3"/>
    <x v="23"/>
    <n v="2.4500000000000002"/>
    <n v="3.3399999999999999E-2"/>
    <x v="6"/>
    <m/>
    <n v="0"/>
    <x v="3"/>
    <x v="9"/>
    <x v="33"/>
    <x v="1"/>
    <x v="2"/>
    <x v="1"/>
  </r>
  <r>
    <x v="1012"/>
    <n v="50.08"/>
    <x v="3"/>
    <x v="3"/>
    <x v="35"/>
    <n v="2.2799999999999998"/>
    <n v="0.1007"/>
    <x v="6"/>
    <m/>
    <n v="0"/>
    <x v="3"/>
    <x v="9"/>
    <x v="33"/>
    <x v="0"/>
    <x v="2"/>
    <x v="0"/>
  </r>
  <r>
    <x v="1013"/>
    <n v="49.7"/>
    <x v="695"/>
    <x v="173"/>
    <x v="11"/>
    <n v="3.04"/>
    <n v="0.27450000000000002"/>
    <x v="6"/>
    <m/>
    <n v="1"/>
    <x v="3"/>
    <x v="9"/>
    <x v="33"/>
    <x v="0"/>
    <x v="1"/>
    <x v="0"/>
  </r>
  <r>
    <x v="1014"/>
    <n v="50.88"/>
    <x v="696"/>
    <x v="662"/>
    <x v="51"/>
    <n v="2.58"/>
    <n v="0.2031"/>
    <x v="6"/>
    <m/>
    <n v="1"/>
    <x v="3"/>
    <x v="9"/>
    <x v="33"/>
    <x v="0"/>
    <x v="0"/>
    <x v="0"/>
  </r>
  <r>
    <x v="1015"/>
    <n v="51.27"/>
    <x v="697"/>
    <x v="663"/>
    <x v="12"/>
    <n v="2.64"/>
    <n v="0.15759999999999999"/>
    <x v="6"/>
    <m/>
    <n v="1"/>
    <x v="3"/>
    <x v="9"/>
    <x v="33"/>
    <x v="0"/>
    <x v="0"/>
    <x v="0"/>
  </r>
  <r>
    <x v="1016"/>
    <n v="51.81"/>
    <x v="698"/>
    <x v="664"/>
    <x v="41"/>
    <n v="2.68"/>
    <n v="0.1489"/>
    <x v="6"/>
    <m/>
    <n v="1"/>
    <x v="3"/>
    <x v="9"/>
    <x v="33"/>
    <x v="0"/>
    <x v="0"/>
    <x v="0"/>
  </r>
  <r>
    <x v="1017"/>
    <n v="52.71"/>
    <x v="699"/>
    <x v="665"/>
    <x v="35"/>
    <n v="1.96"/>
    <n v="9.7500000000000003E-2"/>
    <x v="6"/>
    <m/>
    <n v="1"/>
    <x v="3"/>
    <x v="9"/>
    <x v="33"/>
    <x v="1"/>
    <x v="1"/>
    <x v="1"/>
  </r>
  <r>
    <x v="1018"/>
    <n v="52.71"/>
    <x v="3"/>
    <x v="3"/>
    <x v="17"/>
    <n v="2.82"/>
    <n v="0.21560000000000001"/>
    <x v="6"/>
    <m/>
    <n v="0"/>
    <x v="3"/>
    <x v="9"/>
    <x v="33"/>
    <x v="1"/>
    <x v="2"/>
    <x v="0"/>
  </r>
  <r>
    <x v="1019"/>
    <n v="52.71"/>
    <x v="3"/>
    <x v="3"/>
    <x v="7"/>
    <n v="2.74"/>
    <n v="0.1757"/>
    <x v="6"/>
    <m/>
    <n v="0"/>
    <x v="3"/>
    <x v="9"/>
    <x v="33"/>
    <x v="0"/>
    <x v="2"/>
    <x v="0"/>
  </r>
  <r>
    <x v="1020"/>
    <n v="53.3"/>
    <x v="700"/>
    <x v="666"/>
    <x v="26"/>
    <n v="2.52"/>
    <n v="0.21640000000000001"/>
    <x v="6"/>
    <m/>
    <n v="1"/>
    <x v="3"/>
    <x v="9"/>
    <x v="33"/>
    <x v="0"/>
    <x v="0"/>
    <x v="0"/>
  </r>
  <r>
    <x v="1021"/>
    <n v="53.35"/>
    <x v="701"/>
    <x v="667"/>
    <x v="16"/>
    <n v="2.63"/>
    <n v="0.1497"/>
    <x v="6"/>
    <m/>
    <n v="1"/>
    <x v="3"/>
    <x v="9"/>
    <x v="33"/>
    <x v="0"/>
    <x v="1"/>
    <x v="0"/>
  </r>
  <r>
    <x v="1022"/>
    <n v="52.82"/>
    <x v="702"/>
    <x v="668"/>
    <x v="16"/>
    <n v="2.61"/>
    <n v="0.1128"/>
    <x v="6"/>
    <m/>
    <n v="1"/>
    <x v="3"/>
    <x v="9"/>
    <x v="33"/>
    <x v="0"/>
    <x v="1"/>
    <x v="0"/>
  </r>
  <r>
    <x v="1023"/>
    <n v="53.35"/>
    <x v="703"/>
    <x v="669"/>
    <x v="19"/>
    <n v="3.05"/>
    <n v="0.20100000000000001"/>
    <x v="6"/>
    <m/>
    <n v="1"/>
    <x v="3"/>
    <x v="10"/>
    <x v="34"/>
    <x v="0"/>
    <x v="0"/>
    <x v="0"/>
  </r>
  <r>
    <x v="1024"/>
    <n v="53.4"/>
    <x v="704"/>
    <x v="670"/>
    <x v="3"/>
    <n v="2.68"/>
    <n v="9.7299999999999998E-2"/>
    <x v="6"/>
    <m/>
    <n v="1"/>
    <x v="3"/>
    <x v="10"/>
    <x v="34"/>
    <x v="1"/>
    <x v="1"/>
    <x v="1"/>
  </r>
  <r>
    <x v="1025"/>
    <n v="53.4"/>
    <x v="3"/>
    <x v="3"/>
    <x v="40"/>
    <n v="2.72"/>
    <n v="0.2228"/>
    <x v="6"/>
    <m/>
    <n v="0"/>
    <x v="3"/>
    <x v="10"/>
    <x v="34"/>
    <x v="1"/>
    <x v="2"/>
    <x v="0"/>
  </r>
  <r>
    <x v="1026"/>
    <n v="53.4"/>
    <x v="3"/>
    <x v="3"/>
    <x v="19"/>
    <n v="2.09"/>
    <n v="8.7400000000000005E-2"/>
    <x v="6"/>
    <m/>
    <n v="0"/>
    <x v="3"/>
    <x v="10"/>
    <x v="34"/>
    <x v="1"/>
    <x v="2"/>
    <x v="1"/>
  </r>
  <r>
    <x v="1027"/>
    <n v="53.4"/>
    <x v="3"/>
    <x v="3"/>
    <x v="12"/>
    <n v="2.64"/>
    <n v="0.1167"/>
    <x v="6"/>
    <m/>
    <n v="0"/>
    <x v="3"/>
    <x v="10"/>
    <x v="34"/>
    <x v="0"/>
    <x v="2"/>
    <x v="0"/>
  </r>
  <r>
    <x v="1028"/>
    <n v="54.16"/>
    <x v="705"/>
    <x v="671"/>
    <x v="1"/>
    <n v="2.5099999999999998"/>
    <n v="2.8000000000000001E-2"/>
    <x v="6"/>
    <m/>
    <n v="1"/>
    <x v="3"/>
    <x v="10"/>
    <x v="34"/>
    <x v="0"/>
    <x v="0"/>
    <x v="1"/>
  </r>
  <r>
    <x v="1029"/>
    <n v="53.6"/>
    <x v="706"/>
    <x v="672"/>
    <x v="34"/>
    <n v="2.66"/>
    <n v="0.2046"/>
    <x v="6"/>
    <m/>
    <n v="1"/>
    <x v="3"/>
    <x v="10"/>
    <x v="34"/>
    <x v="0"/>
    <x v="1"/>
    <x v="0"/>
  </r>
  <r>
    <x v="1030"/>
    <n v="53.08"/>
    <x v="707"/>
    <x v="673"/>
    <x v="32"/>
    <n v="3.02"/>
    <n v="0.26179999999999998"/>
    <x v="6"/>
    <m/>
    <n v="1"/>
    <x v="3"/>
    <x v="10"/>
    <x v="34"/>
    <x v="0"/>
    <x v="1"/>
    <x v="0"/>
  </r>
  <r>
    <x v="1031"/>
    <n v="53.6"/>
    <x v="708"/>
    <x v="674"/>
    <x v="26"/>
    <n v="2.57"/>
    <n v="0.15629999999999999"/>
    <x v="6"/>
    <m/>
    <n v="1"/>
    <x v="3"/>
    <x v="10"/>
    <x v="34"/>
    <x v="1"/>
    <x v="0"/>
    <x v="0"/>
  </r>
  <r>
    <x v="1032"/>
    <n v="53.6"/>
    <x v="3"/>
    <x v="3"/>
    <x v="13"/>
    <n v="2.8"/>
    <n v="0.17019999999999999"/>
    <x v="6"/>
    <m/>
    <n v="0"/>
    <x v="3"/>
    <x v="10"/>
    <x v="34"/>
    <x v="1"/>
    <x v="2"/>
    <x v="0"/>
  </r>
  <r>
    <x v="1033"/>
    <n v="53.6"/>
    <x v="3"/>
    <x v="3"/>
    <x v="26"/>
    <n v="3.02"/>
    <n v="0.09"/>
    <x v="6"/>
    <m/>
    <n v="0"/>
    <x v="3"/>
    <x v="10"/>
    <x v="34"/>
    <x v="0"/>
    <x v="2"/>
    <x v="1"/>
  </r>
  <r>
    <x v="1034"/>
    <n v="53.73"/>
    <x v="709"/>
    <x v="675"/>
    <x v="5"/>
    <n v="2.82"/>
    <n v="0.20469999999999999"/>
    <x v="6"/>
    <m/>
    <n v="1"/>
    <x v="3"/>
    <x v="10"/>
    <x v="34"/>
    <x v="0"/>
    <x v="1"/>
    <x v="0"/>
  </r>
  <r>
    <x v="1035"/>
    <n v="54.07"/>
    <x v="710"/>
    <x v="676"/>
    <x v="23"/>
    <n v="3.36"/>
    <n v="0.29210000000000003"/>
    <x v="6"/>
    <m/>
    <n v="1"/>
    <x v="3"/>
    <x v="10"/>
    <x v="34"/>
    <x v="0"/>
    <x v="0"/>
    <x v="0"/>
  </r>
  <r>
    <x v="1036"/>
    <n v="54.79"/>
    <x v="711"/>
    <x v="677"/>
    <x v="36"/>
    <n v="2.4700000000000002"/>
    <n v="0.14099999999999999"/>
    <x v="6"/>
    <m/>
    <n v="1"/>
    <x v="3"/>
    <x v="10"/>
    <x v="34"/>
    <x v="0"/>
    <x v="0"/>
    <x v="0"/>
  </r>
  <r>
    <x v="1037"/>
    <n v="54.29"/>
    <x v="712"/>
    <x v="678"/>
    <x v="0"/>
    <n v="2.93"/>
    <n v="0.17319999999999999"/>
    <x v="6"/>
    <m/>
    <n v="1"/>
    <x v="3"/>
    <x v="10"/>
    <x v="34"/>
    <x v="0"/>
    <x v="1"/>
    <x v="0"/>
  </r>
  <r>
    <x v="1038"/>
    <n v="53.03"/>
    <x v="713"/>
    <x v="679"/>
    <x v="32"/>
    <n v="2.63"/>
    <n v="0.1356"/>
    <x v="6"/>
    <m/>
    <n v="1"/>
    <x v="3"/>
    <x v="10"/>
    <x v="34"/>
    <x v="1"/>
    <x v="1"/>
    <x v="0"/>
  </r>
  <r>
    <x v="1039"/>
    <n v="53.03"/>
    <x v="3"/>
    <x v="3"/>
    <x v="19"/>
    <n v="2.7"/>
    <n v="0.223"/>
    <x v="6"/>
    <m/>
    <n v="0"/>
    <x v="3"/>
    <x v="10"/>
    <x v="34"/>
    <x v="1"/>
    <x v="2"/>
    <x v="0"/>
  </r>
  <r>
    <x v="1040"/>
    <n v="53.03"/>
    <x v="3"/>
    <x v="3"/>
    <x v="37"/>
    <n v="2.2799999999999998"/>
    <n v="0.10920000000000001"/>
    <x v="6"/>
    <m/>
    <n v="0"/>
    <x v="3"/>
    <x v="10"/>
    <x v="34"/>
    <x v="0"/>
    <x v="2"/>
    <x v="0"/>
  </r>
  <r>
    <x v="1041"/>
    <n v="53.23"/>
    <x v="714"/>
    <x v="680"/>
    <x v="12"/>
    <n v="2.94"/>
    <n v="0.2094"/>
    <x v="6"/>
    <m/>
    <n v="1"/>
    <x v="3"/>
    <x v="10"/>
    <x v="34"/>
    <x v="0"/>
    <x v="0"/>
    <x v="0"/>
  </r>
  <r>
    <x v="1042"/>
    <n v="53.1"/>
    <x v="715"/>
    <x v="681"/>
    <x v="42"/>
    <n v="2.57"/>
    <n v="0.3"/>
    <x v="6"/>
    <m/>
    <n v="1"/>
    <x v="3"/>
    <x v="10"/>
    <x v="34"/>
    <x v="0"/>
    <x v="0"/>
    <x v="0"/>
  </r>
  <r>
    <x v="1043"/>
    <n v="51.36"/>
    <x v="716"/>
    <x v="682"/>
    <x v="36"/>
    <n v="2.58"/>
    <n v="0.16039999999999999"/>
    <x v="6"/>
    <m/>
    <n v="1"/>
    <x v="3"/>
    <x v="10"/>
    <x v="34"/>
    <x v="0"/>
    <x v="1"/>
    <x v="0"/>
  </r>
  <r>
    <x v="1044"/>
    <n v="51.18"/>
    <x v="717"/>
    <x v="683"/>
    <x v="16"/>
    <n v="2.3199999999999998"/>
    <n v="-4.3299999999999998E-2"/>
    <x v="6"/>
    <m/>
    <n v="1"/>
    <x v="3"/>
    <x v="10"/>
    <x v="34"/>
    <x v="0"/>
    <x v="0"/>
    <x v="1"/>
  </r>
  <r>
    <x v="1045"/>
    <n v="51.54"/>
    <x v="718"/>
    <x v="684"/>
    <x v="17"/>
    <n v="3.07"/>
    <n v="0.12130000000000001"/>
    <x v="6"/>
    <m/>
    <n v="1"/>
    <x v="3"/>
    <x v="10"/>
    <x v="34"/>
    <x v="1"/>
    <x v="0"/>
    <x v="0"/>
  </r>
  <r>
    <x v="1046"/>
    <n v="51.54"/>
    <x v="3"/>
    <x v="3"/>
    <x v="10"/>
    <n v="3.15"/>
    <n v="0.24959999999999999"/>
    <x v="6"/>
    <m/>
    <n v="0"/>
    <x v="3"/>
    <x v="10"/>
    <x v="34"/>
    <x v="1"/>
    <x v="2"/>
    <x v="0"/>
  </r>
  <r>
    <x v="1047"/>
    <n v="51.54"/>
    <x v="3"/>
    <x v="3"/>
    <x v="28"/>
    <n v="2.8"/>
    <n v="0.2203"/>
    <x v="6"/>
    <m/>
    <n v="0"/>
    <x v="3"/>
    <x v="10"/>
    <x v="34"/>
    <x v="0"/>
    <x v="2"/>
    <x v="0"/>
  </r>
  <r>
    <x v="1048"/>
    <n v="51.65"/>
    <x v="719"/>
    <x v="685"/>
    <x v="10"/>
    <n v="2.85"/>
    <n v="0.115"/>
    <x v="6"/>
    <m/>
    <n v="1"/>
    <x v="3"/>
    <x v="10"/>
    <x v="34"/>
    <x v="0"/>
    <x v="0"/>
    <x v="0"/>
  </r>
  <r>
    <x v="1049"/>
    <n v="51.89"/>
    <x v="720"/>
    <x v="686"/>
    <x v="41"/>
    <n v="3.17"/>
    <n v="0.22969999999999999"/>
    <x v="6"/>
    <m/>
    <n v="1"/>
    <x v="3"/>
    <x v="10"/>
    <x v="34"/>
    <x v="0"/>
    <x v="0"/>
    <x v="0"/>
  </r>
  <r>
    <x v="1050"/>
    <n v="51.93"/>
    <x v="721"/>
    <x v="687"/>
    <x v="17"/>
    <n v="2.93"/>
    <n v="0.35420000000000001"/>
    <x v="6"/>
    <m/>
    <n v="1"/>
    <x v="3"/>
    <x v="10"/>
    <x v="34"/>
    <x v="0"/>
    <x v="1"/>
    <x v="0"/>
  </r>
  <r>
    <x v="1051"/>
    <n v="51.42"/>
    <x v="722"/>
    <x v="688"/>
    <x v="26"/>
    <n v="2.5499999999999998"/>
    <n v="0.10390000000000001"/>
    <x v="6"/>
    <m/>
    <n v="1"/>
    <x v="3"/>
    <x v="10"/>
    <x v="34"/>
    <x v="0"/>
    <x v="1"/>
    <x v="0"/>
  </r>
  <r>
    <x v="1052"/>
    <n v="51.76"/>
    <x v="723"/>
    <x v="689"/>
    <x v="11"/>
    <n v="3.06"/>
    <n v="0.1414"/>
    <x v="6"/>
    <m/>
    <n v="1"/>
    <x v="3"/>
    <x v="10"/>
    <x v="34"/>
    <x v="1"/>
    <x v="0"/>
    <x v="0"/>
  </r>
  <r>
    <x v="1053"/>
    <n v="51.76"/>
    <x v="3"/>
    <x v="3"/>
    <x v="11"/>
    <n v="2.61"/>
    <n v="0.16539999999999999"/>
    <x v="6"/>
    <m/>
    <n v="0"/>
    <x v="3"/>
    <x v="10"/>
    <x v="34"/>
    <x v="1"/>
    <x v="2"/>
    <x v="0"/>
  </r>
  <r>
    <x v="1054"/>
    <n v="51.76"/>
    <x v="3"/>
    <x v="3"/>
    <x v="102"/>
    <n v="3"/>
    <n v="0.2475"/>
    <x v="6"/>
    <m/>
    <n v="0"/>
    <x v="3"/>
    <x v="11"/>
    <x v="35"/>
    <x v="0"/>
    <x v="2"/>
    <x v="0"/>
  </r>
  <r>
    <x v="1055"/>
    <n v="51.51"/>
    <x v="724"/>
    <x v="690"/>
    <x v="7"/>
    <n v="2.5099999999999998"/>
    <n v="0.1749"/>
    <x v="6"/>
    <m/>
    <n v="1"/>
    <x v="3"/>
    <x v="11"/>
    <x v="35"/>
    <x v="0"/>
    <x v="1"/>
    <x v="0"/>
  </r>
  <r>
    <x v="1056"/>
    <n v="51.08"/>
    <x v="725"/>
    <x v="691"/>
    <x v="19"/>
    <n v="3.47"/>
    <n v="0.28649999999999998"/>
    <x v="6"/>
    <m/>
    <n v="1"/>
    <x v="3"/>
    <x v="11"/>
    <x v="35"/>
    <x v="0"/>
    <x v="1"/>
    <x v="0"/>
  </r>
  <r>
    <x v="1057"/>
    <n v="51.74"/>
    <x v="726"/>
    <x v="692"/>
    <x v="2"/>
    <n v="2.65"/>
    <n v="0.18779999999999999"/>
    <x v="6"/>
    <m/>
    <n v="1"/>
    <x v="3"/>
    <x v="11"/>
    <x v="35"/>
    <x v="0"/>
    <x v="0"/>
    <x v="0"/>
  </r>
  <r>
    <x v="1058"/>
    <n v="52.49"/>
    <x v="727"/>
    <x v="693"/>
    <x v="48"/>
    <n v="2.64"/>
    <n v="0.16109999999999999"/>
    <x v="6"/>
    <m/>
    <n v="1"/>
    <x v="3"/>
    <x v="11"/>
    <x v="35"/>
    <x v="0"/>
    <x v="0"/>
    <x v="0"/>
  </r>
  <r>
    <x v="1059"/>
    <n v="52.06"/>
    <x v="728"/>
    <x v="694"/>
    <x v="41"/>
    <n v="2.56"/>
    <n v="0.19009999999999999"/>
    <x v="6"/>
    <m/>
    <n v="1"/>
    <x v="3"/>
    <x v="11"/>
    <x v="35"/>
    <x v="1"/>
    <x v="1"/>
    <x v="0"/>
  </r>
  <r>
    <x v="1060"/>
    <n v="52.06"/>
    <x v="3"/>
    <x v="3"/>
    <x v="36"/>
    <n v="2.31"/>
    <n v="4.5600000000000002E-2"/>
    <x v="6"/>
    <m/>
    <n v="0"/>
    <x v="3"/>
    <x v="11"/>
    <x v="35"/>
    <x v="1"/>
    <x v="2"/>
    <x v="1"/>
  </r>
  <r>
    <x v="1061"/>
    <n v="52.06"/>
    <x v="3"/>
    <x v="3"/>
    <x v="20"/>
    <n v="2.82"/>
    <n v="0.20080000000000001"/>
    <x v="6"/>
    <m/>
    <n v="0"/>
    <x v="3"/>
    <x v="11"/>
    <x v="35"/>
    <x v="0"/>
    <x v="2"/>
    <x v="0"/>
  </r>
  <r>
    <x v="1062"/>
    <n v="52"/>
    <x v="729"/>
    <x v="33"/>
    <x v="19"/>
    <n v="2.67"/>
    <n v="0.1338"/>
    <x v="6"/>
    <m/>
    <n v="1"/>
    <x v="3"/>
    <x v="11"/>
    <x v="35"/>
    <x v="0"/>
    <x v="1"/>
    <x v="0"/>
  </r>
  <r>
    <x v="1063"/>
    <n v="51.58"/>
    <x v="730"/>
    <x v="695"/>
    <x v="23"/>
    <n v="2.64"/>
    <n v="0.1852"/>
    <x v="6"/>
    <m/>
    <n v="1"/>
    <x v="3"/>
    <x v="11"/>
    <x v="35"/>
    <x v="0"/>
    <x v="1"/>
    <x v="0"/>
  </r>
  <r>
    <x v="1064"/>
    <n v="51.24"/>
    <x v="731"/>
    <x v="696"/>
    <x v="27"/>
    <n v="2.2999999999999998"/>
    <n v="0.2165"/>
    <x v="6"/>
    <m/>
    <n v="1"/>
    <x v="3"/>
    <x v="11"/>
    <x v="35"/>
    <x v="0"/>
    <x v="1"/>
    <x v="0"/>
  </r>
  <r>
    <x v="1065"/>
    <n v="51.07"/>
    <x v="732"/>
    <x v="556"/>
    <x v="3"/>
    <n v="2.59"/>
    <n v="0.26440000000000002"/>
    <x v="6"/>
    <m/>
    <n v="1"/>
    <x v="3"/>
    <x v="11"/>
    <x v="35"/>
    <x v="0"/>
    <x v="1"/>
    <x v="0"/>
  </r>
  <r>
    <x v="1066"/>
    <n v="51.59"/>
    <x v="733"/>
    <x v="697"/>
    <x v="19"/>
    <n v="2.63"/>
    <n v="0.15720000000000001"/>
    <x v="6"/>
    <m/>
    <n v="1"/>
    <x v="3"/>
    <x v="11"/>
    <x v="35"/>
    <x v="1"/>
    <x v="0"/>
    <x v="0"/>
  </r>
  <r>
    <x v="1067"/>
    <n v="51.59"/>
    <x v="3"/>
    <x v="3"/>
    <x v="32"/>
    <n v="2.83"/>
    <n v="0.26100000000000001"/>
    <x v="6"/>
    <m/>
    <n v="0"/>
    <x v="3"/>
    <x v="11"/>
    <x v="35"/>
    <x v="1"/>
    <x v="2"/>
    <x v="0"/>
  </r>
  <r>
    <x v="1068"/>
    <n v="51.59"/>
    <x v="3"/>
    <x v="3"/>
    <x v="11"/>
    <n v="2.82"/>
    <n v="0.18940000000000001"/>
    <x v="6"/>
    <m/>
    <n v="0"/>
    <x v="3"/>
    <x v="11"/>
    <x v="35"/>
    <x v="0"/>
    <x v="2"/>
    <x v="0"/>
  </r>
  <r>
    <x v="1069"/>
    <n v="51.79"/>
    <x v="734"/>
    <x v="698"/>
    <x v="36"/>
    <n v="2.86"/>
    <n v="0.27829999999999999"/>
    <x v="6"/>
    <m/>
    <n v="1"/>
    <x v="3"/>
    <x v="11"/>
    <x v="35"/>
    <x v="0"/>
    <x v="0"/>
    <x v="0"/>
  </r>
  <r>
    <x v="1070"/>
    <n v="51.89"/>
    <x v="735"/>
    <x v="699"/>
    <x v="26"/>
    <n v="2.2400000000000002"/>
    <n v="0.182"/>
    <x v="6"/>
    <m/>
    <n v="1"/>
    <x v="3"/>
    <x v="11"/>
    <x v="35"/>
    <x v="0"/>
    <x v="0"/>
    <x v="0"/>
  </r>
  <r>
    <x v="1071"/>
    <n v="52.19"/>
    <x v="736"/>
    <x v="700"/>
    <x v="19"/>
    <n v="2.44"/>
    <n v="0.14019999999999999"/>
    <x v="6"/>
    <m/>
    <n v="1"/>
    <x v="3"/>
    <x v="11"/>
    <x v="35"/>
    <x v="0"/>
    <x v="0"/>
    <x v="0"/>
  </r>
  <r>
    <x v="1072"/>
    <n v="54.37"/>
    <x v="737"/>
    <x v="701"/>
    <x v="17"/>
    <n v="1.93"/>
    <n v="-1.1999999999999999E-3"/>
    <x v="6"/>
    <m/>
    <n v="1"/>
    <x v="3"/>
    <x v="11"/>
    <x v="35"/>
    <x v="0"/>
    <x v="0"/>
    <x v="1"/>
  </r>
  <r>
    <x v="1073"/>
    <n v="54.69"/>
    <x v="738"/>
    <x v="702"/>
    <x v="36"/>
    <n v="2.42"/>
    <n v="0.13600000000000001"/>
    <x v="6"/>
    <m/>
    <n v="1"/>
    <x v="3"/>
    <x v="11"/>
    <x v="35"/>
    <x v="1"/>
    <x v="0"/>
    <x v="0"/>
  </r>
  <r>
    <x v="1074"/>
    <n v="54.69"/>
    <x v="3"/>
    <x v="3"/>
    <x v="8"/>
    <n v="2.83"/>
    <n v="0.26950000000000002"/>
    <x v="6"/>
    <m/>
    <n v="0"/>
    <x v="3"/>
    <x v="11"/>
    <x v="35"/>
    <x v="1"/>
    <x v="2"/>
    <x v="0"/>
  </r>
  <r>
    <x v="1075"/>
    <n v="54.69"/>
    <x v="3"/>
    <x v="3"/>
    <x v="26"/>
    <n v="3.19"/>
    <n v="0.33450000000000002"/>
    <x v="6"/>
    <m/>
    <n v="0"/>
    <x v="3"/>
    <x v="11"/>
    <x v="35"/>
    <x v="0"/>
    <x v="2"/>
    <x v="0"/>
  </r>
  <r>
    <x v="1076"/>
    <n v="55.33"/>
    <x v="739"/>
    <x v="703"/>
    <x v="16"/>
    <n v="2.63"/>
    <n v="0.14749999999999999"/>
    <x v="6"/>
    <m/>
    <n v="1"/>
    <x v="3"/>
    <x v="11"/>
    <x v="35"/>
    <x v="0"/>
    <x v="0"/>
    <x v="0"/>
  </r>
  <r>
    <x v="1077"/>
    <n v="55.34"/>
    <x v="740"/>
    <x v="704"/>
    <x v="17"/>
    <n v="2.4900000000000002"/>
    <n v="0.13170000000000001"/>
    <x v="6"/>
    <m/>
    <n v="1"/>
    <x v="3"/>
    <x v="11"/>
    <x v="35"/>
    <x v="0"/>
    <x v="0"/>
    <x v="0"/>
  </r>
  <r>
    <x v="1078"/>
    <n v="54.76"/>
    <x v="741"/>
    <x v="705"/>
    <x v="17"/>
    <n v="2.64"/>
    <n v="0.2122"/>
    <x v="6"/>
    <m/>
    <n v="1"/>
    <x v="3"/>
    <x v="11"/>
    <x v="35"/>
    <x v="0"/>
    <x v="1"/>
    <x v="0"/>
  </r>
  <r>
    <x v="1079"/>
    <n v="55.01"/>
    <x v="742"/>
    <x v="706"/>
    <x v="36"/>
    <n v="2.75"/>
    <n v="0.24229999999999999"/>
    <x v="6"/>
    <m/>
    <n v="1"/>
    <x v="3"/>
    <x v="11"/>
    <x v="35"/>
    <x v="0"/>
    <x v="0"/>
    <x v="0"/>
  </r>
  <r>
    <x v="1080"/>
    <n v="55.89"/>
    <x v="743"/>
    <x v="707"/>
    <x v="35"/>
    <n v="2.74"/>
    <n v="0.16950000000000001"/>
    <x v="6"/>
    <m/>
    <n v="1"/>
    <x v="3"/>
    <x v="11"/>
    <x v="35"/>
    <x v="1"/>
    <x v="0"/>
    <x v="0"/>
  </r>
  <r>
    <x v="1081"/>
    <n v="55.89"/>
    <x v="3"/>
    <x v="3"/>
    <x v="22"/>
    <n v="2.3199999999999998"/>
    <n v="1.6299999999999999E-2"/>
    <x v="6"/>
    <m/>
    <n v="0"/>
    <x v="3"/>
    <x v="11"/>
    <x v="35"/>
    <x v="1"/>
    <x v="2"/>
    <x v="1"/>
  </r>
  <r>
    <x v="1082"/>
    <n v="55.89"/>
    <x v="3"/>
    <x v="3"/>
    <x v="14"/>
    <n v="2.35"/>
    <n v="0.13400000000000001"/>
    <x v="6"/>
    <m/>
    <n v="0"/>
    <x v="3"/>
    <x v="11"/>
    <x v="35"/>
    <x v="0"/>
    <x v="2"/>
    <x v="0"/>
  </r>
  <r>
    <x v="1083"/>
    <n v="56.62"/>
    <x v="744"/>
    <x v="708"/>
    <x v="32"/>
    <n v="2.75"/>
    <n v="0.21970000000000001"/>
    <x v="6"/>
    <m/>
    <n v="1"/>
    <x v="3"/>
    <x v="11"/>
    <x v="35"/>
    <x v="0"/>
    <x v="0"/>
    <x v="0"/>
  </r>
  <r>
    <x v="1084"/>
    <n v="56.92"/>
    <x v="745"/>
    <x v="496"/>
    <x v="13"/>
    <n v="2.85"/>
    <n v="0.22409999999999999"/>
    <x v="6"/>
    <m/>
    <n v="1"/>
    <x v="3"/>
    <x v="11"/>
    <x v="35"/>
    <x v="0"/>
    <x v="0"/>
    <x v="0"/>
  </r>
  <r>
    <x v="1085"/>
    <n v="58.21"/>
    <x v="746"/>
    <x v="709"/>
    <x v="28"/>
    <n v="2.61"/>
    <n v="0.18290000000000001"/>
    <x v="6"/>
    <m/>
    <n v="1"/>
    <x v="3"/>
    <x v="0"/>
    <x v="36"/>
    <x v="0"/>
    <x v="0"/>
    <x v="0"/>
  </r>
  <r>
    <x v="1086"/>
    <n v="58.85"/>
    <x v="747"/>
    <x v="263"/>
    <x v="8"/>
    <n v="2.12"/>
    <n v="8.2199999999999995E-2"/>
    <x v="6"/>
    <m/>
    <n v="1"/>
    <x v="3"/>
    <x v="0"/>
    <x v="36"/>
    <x v="0"/>
    <x v="0"/>
    <x v="1"/>
  </r>
  <r>
    <x v="1087"/>
    <n v="59.05"/>
    <x v="748"/>
    <x v="710"/>
    <x v="50"/>
    <n v="2.2000000000000002"/>
    <n v="6.4799999999999996E-2"/>
    <x v="6"/>
    <m/>
    <n v="1"/>
    <x v="3"/>
    <x v="0"/>
    <x v="36"/>
    <x v="1"/>
    <x v="0"/>
    <x v="1"/>
  </r>
  <r>
    <x v="1088"/>
    <n v="59.05"/>
    <x v="3"/>
    <x v="3"/>
    <x v="24"/>
    <n v="2.2599999999999998"/>
    <n v="8.2299999999999998E-2"/>
    <x v="6"/>
    <m/>
    <n v="0"/>
    <x v="3"/>
    <x v="0"/>
    <x v="36"/>
    <x v="1"/>
    <x v="2"/>
    <x v="1"/>
  </r>
  <r>
    <x v="1089"/>
    <n v="59.05"/>
    <x v="3"/>
    <x v="3"/>
    <x v="50"/>
    <n v="2.44"/>
    <n v="0.12720000000000001"/>
    <x v="6"/>
    <m/>
    <n v="0"/>
    <x v="3"/>
    <x v="0"/>
    <x v="36"/>
    <x v="1"/>
    <x v="2"/>
    <x v="0"/>
  </r>
  <r>
    <x v="1090"/>
    <n v="59.05"/>
    <x v="3"/>
    <x v="3"/>
    <x v="3"/>
    <n v="2.61"/>
    <n v="0.15379999999999999"/>
    <x v="6"/>
    <m/>
    <n v="0"/>
    <x v="3"/>
    <x v="0"/>
    <x v="36"/>
    <x v="0"/>
    <x v="2"/>
    <x v="0"/>
  </r>
  <r>
    <x v="1091"/>
    <n v="60.67"/>
    <x v="749"/>
    <x v="711"/>
    <x v="41"/>
    <n v="2.02"/>
    <n v="-1.26E-2"/>
    <x v="6"/>
    <m/>
    <n v="1"/>
    <x v="3"/>
    <x v="0"/>
    <x v="36"/>
    <x v="0"/>
    <x v="0"/>
    <x v="1"/>
  </r>
  <r>
    <x v="1092"/>
    <n v="60.6"/>
    <x v="750"/>
    <x v="712"/>
    <x v="1"/>
    <n v="2.65"/>
    <n v="0.18149999999999999"/>
    <x v="6"/>
    <m/>
    <n v="1"/>
    <x v="3"/>
    <x v="0"/>
    <x v="36"/>
    <x v="0"/>
    <x v="0"/>
    <x v="0"/>
  </r>
  <r>
    <x v="1093"/>
    <n v="59.75"/>
    <x v="751"/>
    <x v="713"/>
    <x v="5"/>
    <n v="2.42"/>
    <n v="1.3899999999999999E-2"/>
    <x v="6"/>
    <m/>
    <n v="1"/>
    <x v="3"/>
    <x v="0"/>
    <x v="36"/>
    <x v="0"/>
    <x v="1"/>
    <x v="1"/>
  </r>
  <r>
    <x v="1094"/>
    <n v="59.87"/>
    <x v="752"/>
    <x v="714"/>
    <x v="38"/>
    <n v="2.39"/>
    <n v="0.13089999999999999"/>
    <x v="6"/>
    <m/>
    <n v="1"/>
    <x v="3"/>
    <x v="0"/>
    <x v="36"/>
    <x v="1"/>
    <x v="0"/>
    <x v="0"/>
  </r>
  <r>
    <x v="1095"/>
    <n v="59.87"/>
    <x v="3"/>
    <x v="3"/>
    <x v="4"/>
    <n v="2.7"/>
    <n v="0.15409999999999999"/>
    <x v="6"/>
    <m/>
    <n v="0"/>
    <x v="3"/>
    <x v="0"/>
    <x v="36"/>
    <x v="1"/>
    <x v="2"/>
    <x v="0"/>
  </r>
  <r>
    <x v="1096"/>
    <n v="59.87"/>
    <x v="3"/>
    <x v="3"/>
    <x v="28"/>
    <n v="3.06"/>
    <n v="0.17449999999999999"/>
    <x v="6"/>
    <m/>
    <n v="0"/>
    <x v="3"/>
    <x v="0"/>
    <x v="36"/>
    <x v="0"/>
    <x v="2"/>
    <x v="0"/>
  </r>
  <r>
    <x v="1097"/>
    <n v="58.93"/>
    <x v="753"/>
    <x v="715"/>
    <x v="4"/>
    <n v="2.89"/>
    <n v="0.13200000000000001"/>
    <x v="6"/>
    <m/>
    <n v="1"/>
    <x v="3"/>
    <x v="0"/>
    <x v="36"/>
    <x v="0"/>
    <x v="1"/>
    <x v="0"/>
  </r>
  <r>
    <x v="1098"/>
    <n v="57.78"/>
    <x v="754"/>
    <x v="716"/>
    <x v="7"/>
    <n v="2.37"/>
    <n v="0.2737"/>
    <x v="6"/>
    <m/>
    <n v="1"/>
    <x v="3"/>
    <x v="0"/>
    <x v="36"/>
    <x v="0"/>
    <x v="1"/>
    <x v="0"/>
  </r>
  <r>
    <x v="1099"/>
    <n v="58.29"/>
    <x v="755"/>
    <x v="498"/>
    <x v="17"/>
    <n v="2.82"/>
    <n v="0.24759999999999999"/>
    <x v="6"/>
    <m/>
    <n v="1"/>
    <x v="3"/>
    <x v="0"/>
    <x v="36"/>
    <x v="0"/>
    <x v="0"/>
    <x v="0"/>
  </r>
  <r>
    <x v="1100"/>
    <n v="58.65"/>
    <x v="756"/>
    <x v="717"/>
    <x v="16"/>
    <n v="2.1800000000000002"/>
    <n v="7.0900000000000005E-2"/>
    <x v="6"/>
    <m/>
    <n v="1"/>
    <x v="3"/>
    <x v="0"/>
    <x v="36"/>
    <x v="0"/>
    <x v="0"/>
    <x v="1"/>
  </r>
  <r>
    <x v="1101"/>
    <n v="58.94"/>
    <x v="757"/>
    <x v="718"/>
    <x v="36"/>
    <n v="2.06"/>
    <n v="2.2100000000000002E-2"/>
    <x v="6"/>
    <m/>
    <n v="1"/>
    <x v="3"/>
    <x v="0"/>
    <x v="36"/>
    <x v="1"/>
    <x v="0"/>
    <x v="1"/>
  </r>
  <r>
    <x v="1102"/>
    <n v="58.94"/>
    <x v="3"/>
    <x v="3"/>
    <x v="1"/>
    <n v="2.38"/>
    <n v="0.12889999999999999"/>
    <x v="6"/>
    <m/>
    <n v="0"/>
    <x v="3"/>
    <x v="0"/>
    <x v="36"/>
    <x v="1"/>
    <x v="2"/>
    <x v="0"/>
  </r>
  <r>
    <x v="1103"/>
    <n v="58.94"/>
    <x v="3"/>
    <x v="3"/>
    <x v="3"/>
    <n v="2.27"/>
    <n v="5.3E-3"/>
    <x v="6"/>
    <m/>
    <n v="0"/>
    <x v="3"/>
    <x v="0"/>
    <x v="36"/>
    <x v="0"/>
    <x v="2"/>
    <x v="1"/>
  </r>
  <r>
    <x v="1104"/>
    <n v="57.54"/>
    <x v="204"/>
    <x v="719"/>
    <x v="7"/>
    <n v="2.86"/>
    <n v="0.32169999999999999"/>
    <x v="6"/>
    <m/>
    <n v="1"/>
    <x v="3"/>
    <x v="0"/>
    <x v="36"/>
    <x v="0"/>
    <x v="1"/>
    <x v="0"/>
  </r>
  <r>
    <x v="1105"/>
    <n v="57.31"/>
    <x v="758"/>
    <x v="720"/>
    <x v="27"/>
    <n v="2.4"/>
    <n v="0.2258"/>
    <x v="6"/>
    <m/>
    <n v="1"/>
    <x v="3"/>
    <x v="0"/>
    <x v="36"/>
    <x v="0"/>
    <x v="1"/>
    <x v="0"/>
  </r>
  <r>
    <x v="1106"/>
    <n v="59.06"/>
    <x v="759"/>
    <x v="277"/>
    <x v="19"/>
    <n v="2.56"/>
    <n v="0.1825"/>
    <x v="6"/>
    <m/>
    <n v="1"/>
    <x v="3"/>
    <x v="0"/>
    <x v="36"/>
    <x v="0"/>
    <x v="0"/>
    <x v="0"/>
  </r>
  <r>
    <x v="1107"/>
    <n v="59.33"/>
    <x v="760"/>
    <x v="721"/>
    <x v="43"/>
    <n v="2.8"/>
    <n v="0.25540000000000002"/>
    <x v="6"/>
    <m/>
    <n v="1"/>
    <x v="3"/>
    <x v="0"/>
    <x v="36"/>
    <x v="0"/>
    <x v="0"/>
    <x v="0"/>
  </r>
  <r>
    <x v="1108"/>
    <n v="59.24"/>
    <x v="761"/>
    <x v="722"/>
    <x v="0"/>
    <n v="2.04"/>
    <n v="-2.64E-2"/>
    <x v="6"/>
    <m/>
    <n v="1"/>
    <x v="3"/>
    <x v="0"/>
    <x v="36"/>
    <x v="1"/>
    <x v="1"/>
    <x v="1"/>
  </r>
  <r>
    <x v="1109"/>
    <n v="59.24"/>
    <x v="3"/>
    <x v="3"/>
    <x v="11"/>
    <n v="2.39"/>
    <n v="0.1106"/>
    <x v="6"/>
    <m/>
    <n v="0"/>
    <x v="3"/>
    <x v="0"/>
    <x v="36"/>
    <x v="1"/>
    <x v="2"/>
    <x v="0"/>
  </r>
  <r>
    <x v="1110"/>
    <n v="59.24"/>
    <x v="3"/>
    <x v="3"/>
    <x v="13"/>
    <n v="2.7"/>
    <n v="6.2E-2"/>
    <x v="6"/>
    <m/>
    <n v="0"/>
    <x v="3"/>
    <x v="0"/>
    <x v="36"/>
    <x v="0"/>
    <x v="2"/>
    <x v="1"/>
  </r>
  <r>
    <x v="1111"/>
    <n v="59.26"/>
    <x v="762"/>
    <x v="723"/>
    <x v="17"/>
    <n v="2.42"/>
    <n v="0.18679999999999999"/>
    <x v="6"/>
    <m/>
    <n v="1"/>
    <x v="3"/>
    <x v="0"/>
    <x v="36"/>
    <x v="0"/>
    <x v="0"/>
    <x v="0"/>
  </r>
  <r>
    <x v="1112"/>
    <n v="58.38"/>
    <x v="763"/>
    <x v="724"/>
    <x v="5"/>
    <n v="2.2999999999999998"/>
    <n v="2.6599999999999999E-2"/>
    <x v="6"/>
    <m/>
    <n v="1"/>
    <x v="3"/>
    <x v="0"/>
    <x v="36"/>
    <x v="0"/>
    <x v="1"/>
    <x v="1"/>
  </r>
  <r>
    <x v="1113"/>
    <n v="59.91"/>
    <x v="764"/>
    <x v="725"/>
    <x v="17"/>
    <n v="2.16"/>
    <n v="-2.0999999999999999E-3"/>
    <x v="6"/>
    <m/>
    <n v="1"/>
    <x v="3"/>
    <x v="0"/>
    <x v="36"/>
    <x v="0"/>
    <x v="0"/>
    <x v="1"/>
  </r>
  <r>
    <x v="1114"/>
    <n v="61.03"/>
    <x v="765"/>
    <x v="717"/>
    <x v="12"/>
    <n v="2.4500000000000002"/>
    <n v="0.20419999999999999"/>
    <x v="6"/>
    <m/>
    <n v="1"/>
    <x v="3"/>
    <x v="0"/>
    <x v="36"/>
    <x v="0"/>
    <x v="0"/>
    <x v="0"/>
  </r>
  <r>
    <x v="1115"/>
    <n v="61.31"/>
    <x v="766"/>
    <x v="726"/>
    <x v="3"/>
    <n v="3.16"/>
    <n v="0.26910000000000001"/>
    <x v="6"/>
    <m/>
    <n v="1"/>
    <x v="3"/>
    <x v="1"/>
    <x v="37"/>
    <x v="1"/>
    <x v="0"/>
    <x v="0"/>
  </r>
  <r>
    <x v="1116"/>
    <n v="61.31"/>
    <x v="3"/>
    <x v="3"/>
    <x v="32"/>
    <n v="2.81"/>
    <n v="0.2127"/>
    <x v="6"/>
    <m/>
    <n v="0"/>
    <x v="3"/>
    <x v="1"/>
    <x v="37"/>
    <x v="1"/>
    <x v="2"/>
    <x v="0"/>
  </r>
  <r>
    <x v="1117"/>
    <n v="61.31"/>
    <x v="3"/>
    <x v="3"/>
    <x v="0"/>
    <n v="2.57"/>
    <n v="0.25840000000000002"/>
    <x v="6"/>
    <m/>
    <n v="0"/>
    <x v="3"/>
    <x v="1"/>
    <x v="37"/>
    <x v="0"/>
    <x v="2"/>
    <x v="0"/>
  </r>
  <r>
    <x v="1118"/>
    <n v="60.33"/>
    <x v="767"/>
    <x v="727"/>
    <x v="28"/>
    <n v="2.76"/>
    <n v="0.2286"/>
    <x v="6"/>
    <m/>
    <n v="1"/>
    <x v="3"/>
    <x v="1"/>
    <x v="37"/>
    <x v="0"/>
    <x v="1"/>
    <x v="0"/>
  </r>
  <r>
    <x v="1119"/>
    <n v="63.48"/>
    <x v="768"/>
    <x v="728"/>
    <x v="28"/>
    <n v="2.61"/>
    <n v="0.15260000000000001"/>
    <x v="6"/>
    <m/>
    <n v="1"/>
    <x v="3"/>
    <x v="1"/>
    <x v="37"/>
    <x v="0"/>
    <x v="0"/>
    <x v="0"/>
  </r>
  <r>
    <x v="1120"/>
    <n v="63.91"/>
    <x v="769"/>
    <x v="729"/>
    <x v="11"/>
    <n v="3.14"/>
    <n v="0.27629999999999999"/>
    <x v="6"/>
    <m/>
    <n v="1"/>
    <x v="3"/>
    <x v="1"/>
    <x v="37"/>
    <x v="0"/>
    <x v="0"/>
    <x v="0"/>
  </r>
  <r>
    <x v="1121"/>
    <n v="63.19"/>
    <x v="770"/>
    <x v="730"/>
    <x v="102"/>
    <n v="3"/>
    <n v="0.25590000000000002"/>
    <x v="6"/>
    <m/>
    <n v="1"/>
    <x v="3"/>
    <x v="1"/>
    <x v="37"/>
    <x v="0"/>
    <x v="1"/>
    <x v="0"/>
  </r>
  <r>
    <x v="1122"/>
    <n v="63.27"/>
    <x v="771"/>
    <x v="731"/>
    <x v="37"/>
    <n v="3.41"/>
    <n v="0.32469999999999999"/>
    <x v="6"/>
    <m/>
    <n v="1"/>
    <x v="3"/>
    <x v="1"/>
    <x v="37"/>
    <x v="1"/>
    <x v="1"/>
    <x v="0"/>
  </r>
  <r>
    <x v="1123"/>
    <n v="63.27"/>
    <x v="3"/>
    <x v="3"/>
    <x v="38"/>
    <n v="2.68"/>
    <n v="0.34289999999999998"/>
    <x v="6"/>
    <m/>
    <n v="0"/>
    <x v="3"/>
    <x v="1"/>
    <x v="37"/>
    <x v="1"/>
    <x v="2"/>
    <x v="0"/>
  </r>
  <r>
    <x v="1124"/>
    <n v="63.27"/>
    <x v="3"/>
    <x v="3"/>
    <x v="7"/>
    <n v="2.91"/>
    <n v="0.1757"/>
    <x v="6"/>
    <m/>
    <n v="0"/>
    <x v="3"/>
    <x v="1"/>
    <x v="37"/>
    <x v="0"/>
    <x v="2"/>
    <x v="0"/>
  </r>
  <r>
    <x v="1125"/>
    <n v="62.7"/>
    <x v="772"/>
    <x v="732"/>
    <x v="5"/>
    <n v="3.03"/>
    <n v="0.25740000000000002"/>
    <x v="6"/>
    <m/>
    <n v="1"/>
    <x v="3"/>
    <x v="1"/>
    <x v="37"/>
    <x v="0"/>
    <x v="1"/>
    <x v="0"/>
  </r>
  <r>
    <x v="1126"/>
    <n v="62.49"/>
    <x v="773"/>
    <x v="584"/>
    <x v="1"/>
    <n v="3.11"/>
    <n v="0.3034"/>
    <x v="6"/>
    <m/>
    <n v="1"/>
    <x v="3"/>
    <x v="1"/>
    <x v="37"/>
    <x v="0"/>
    <x v="1"/>
    <x v="0"/>
  </r>
  <r>
    <x v="1127"/>
    <n v="62.98"/>
    <x v="774"/>
    <x v="733"/>
    <x v="32"/>
    <n v="2.5"/>
    <n v="8.2799999999999999E-2"/>
    <x v="6"/>
    <m/>
    <n v="1"/>
    <x v="3"/>
    <x v="1"/>
    <x v="37"/>
    <x v="0"/>
    <x v="1"/>
    <x v="1"/>
  </r>
  <r>
    <x v="1128"/>
    <n v="63.38"/>
    <x v="775"/>
    <x v="516"/>
    <x v="17"/>
    <n v="2.4"/>
    <n v="-5.11E-2"/>
    <x v="6"/>
    <m/>
    <n v="1"/>
    <x v="3"/>
    <x v="1"/>
    <x v="37"/>
    <x v="0"/>
    <x v="0"/>
    <x v="1"/>
  </r>
  <r>
    <x v="1129"/>
    <n v="62.83"/>
    <x v="776"/>
    <x v="734"/>
    <x v="18"/>
    <n v="2.65"/>
    <n v="0.19700000000000001"/>
    <x v="6"/>
    <m/>
    <n v="1"/>
    <x v="3"/>
    <x v="1"/>
    <x v="37"/>
    <x v="1"/>
    <x v="1"/>
    <x v="0"/>
  </r>
  <r>
    <x v="1130"/>
    <n v="62.83"/>
    <x v="3"/>
    <x v="3"/>
    <x v="12"/>
    <n v="2.81"/>
    <n v="0.20069999999999999"/>
    <x v="6"/>
    <m/>
    <n v="0"/>
    <x v="3"/>
    <x v="1"/>
    <x v="37"/>
    <x v="1"/>
    <x v="2"/>
    <x v="0"/>
  </r>
  <r>
    <x v="1131"/>
    <n v="62.83"/>
    <x v="3"/>
    <x v="3"/>
    <x v="16"/>
    <n v="2.5299999999999998"/>
    <n v="0.19170000000000001"/>
    <x v="6"/>
    <m/>
    <n v="0"/>
    <x v="3"/>
    <x v="1"/>
    <x v="37"/>
    <x v="0"/>
    <x v="2"/>
    <x v="0"/>
  </r>
  <r>
    <x v="1132"/>
    <n v="63.8"/>
    <x v="777"/>
    <x v="595"/>
    <x v="2"/>
    <n v="2.79"/>
    <n v="0.214"/>
    <x v="6"/>
    <m/>
    <n v="1"/>
    <x v="3"/>
    <x v="1"/>
    <x v="37"/>
    <x v="0"/>
    <x v="0"/>
    <x v="0"/>
  </r>
  <r>
    <x v="1133"/>
    <n v="63.9"/>
    <x v="778"/>
    <x v="735"/>
    <x v="19"/>
    <n v="2.6"/>
    <n v="0.1318"/>
    <x v="6"/>
    <m/>
    <n v="1"/>
    <x v="3"/>
    <x v="1"/>
    <x v="37"/>
    <x v="0"/>
    <x v="0"/>
    <x v="0"/>
  </r>
  <r>
    <x v="1134"/>
    <n v="62.51"/>
    <x v="779"/>
    <x v="736"/>
    <x v="28"/>
    <n v="2.65"/>
    <n v="2.18E-2"/>
    <x v="6"/>
    <m/>
    <n v="1"/>
    <x v="3"/>
    <x v="1"/>
    <x v="37"/>
    <x v="0"/>
    <x v="1"/>
    <x v="1"/>
  </r>
  <r>
    <x v="1135"/>
    <n v="65.319999999999993"/>
    <x v="780"/>
    <x v="737"/>
    <x v="12"/>
    <n v="2.64"/>
    <n v="0.22770000000000001"/>
    <x v="6"/>
    <m/>
    <n v="1"/>
    <x v="3"/>
    <x v="1"/>
    <x v="37"/>
    <x v="0"/>
    <x v="0"/>
    <x v="0"/>
  </r>
  <r>
    <x v="1136"/>
    <n v="66.48"/>
    <x v="781"/>
    <x v="738"/>
    <x v="2"/>
    <n v="2.82"/>
    <n v="0.19800000000000001"/>
    <x v="6"/>
    <m/>
    <n v="1"/>
    <x v="3"/>
    <x v="1"/>
    <x v="37"/>
    <x v="1"/>
    <x v="0"/>
    <x v="0"/>
  </r>
  <r>
    <x v="1137"/>
    <n v="66.48"/>
    <x v="3"/>
    <x v="3"/>
    <x v="5"/>
    <n v="2.76"/>
    <n v="0.30230000000000001"/>
    <x v="6"/>
    <m/>
    <n v="0"/>
    <x v="3"/>
    <x v="1"/>
    <x v="37"/>
    <x v="1"/>
    <x v="2"/>
    <x v="0"/>
  </r>
  <r>
    <x v="1138"/>
    <n v="66.48"/>
    <x v="3"/>
    <x v="3"/>
    <x v="10"/>
    <n v="2.44"/>
    <n v="0.19969999999999999"/>
    <x v="6"/>
    <m/>
    <n v="0"/>
    <x v="3"/>
    <x v="1"/>
    <x v="37"/>
    <x v="0"/>
    <x v="2"/>
    <x v="0"/>
  </r>
  <r>
    <x v="1139"/>
    <n v="67.17"/>
    <x v="782"/>
    <x v="739"/>
    <x v="7"/>
    <n v="3.2"/>
    <n v="0.16869999999999999"/>
    <x v="6"/>
    <m/>
    <n v="1"/>
    <x v="3"/>
    <x v="1"/>
    <x v="37"/>
    <x v="0"/>
    <x v="0"/>
    <x v="0"/>
  </r>
  <r>
    <x v="1140"/>
    <n v="66.849999999999994"/>
    <x v="783"/>
    <x v="740"/>
    <x v="38"/>
    <n v="3.03"/>
    <n v="0.28689999999999999"/>
    <x v="6"/>
    <m/>
    <n v="1"/>
    <x v="3"/>
    <x v="1"/>
    <x v="37"/>
    <x v="0"/>
    <x v="1"/>
    <x v="0"/>
  </r>
  <r>
    <x v="1141"/>
    <n v="66.290000000000006"/>
    <x v="784"/>
    <x v="741"/>
    <x v="3"/>
    <n v="2.75"/>
    <n v="0.1389"/>
    <x v="6"/>
    <m/>
    <n v="1"/>
    <x v="3"/>
    <x v="1"/>
    <x v="37"/>
    <x v="0"/>
    <x v="1"/>
    <x v="0"/>
  </r>
  <r>
    <x v="1142"/>
    <n v="67.400000000000006"/>
    <x v="785"/>
    <x v="742"/>
    <x v="18"/>
    <n v="2.42"/>
    <n v="-3.4500000000000003E-2"/>
    <x v="6"/>
    <m/>
    <n v="1"/>
    <x v="3"/>
    <x v="1"/>
    <x v="37"/>
    <x v="0"/>
    <x v="0"/>
    <x v="1"/>
  </r>
  <r>
    <x v="1143"/>
    <n v="69.03"/>
    <x v="786"/>
    <x v="743"/>
    <x v="27"/>
    <n v="2.1"/>
    <n v="0.23330000000000001"/>
    <x v="6"/>
    <m/>
    <n v="1"/>
    <x v="3"/>
    <x v="1"/>
    <x v="37"/>
    <x v="1"/>
    <x v="0"/>
    <x v="0"/>
  </r>
  <r>
    <x v="1144"/>
    <n v="69.03"/>
    <x v="3"/>
    <x v="3"/>
    <x v="1"/>
    <n v="2.78"/>
    <n v="0.13020000000000001"/>
    <x v="6"/>
    <m/>
    <n v="0"/>
    <x v="3"/>
    <x v="1"/>
    <x v="37"/>
    <x v="1"/>
    <x v="2"/>
    <x v="0"/>
  </r>
  <r>
    <x v="1145"/>
    <n v="69.03"/>
    <x v="3"/>
    <x v="3"/>
    <x v="18"/>
    <n v="2.58"/>
    <n v="0.12920000000000001"/>
    <x v="6"/>
    <m/>
    <n v="0"/>
    <x v="3"/>
    <x v="1"/>
    <x v="37"/>
    <x v="0"/>
    <x v="2"/>
    <x v="0"/>
  </r>
  <r>
    <x v="1146"/>
    <n v="68.12"/>
    <x v="787"/>
    <x v="744"/>
    <x v="102"/>
    <n v="3.04"/>
    <n v="0.21659999999999999"/>
    <x v="6"/>
    <m/>
    <n v="1"/>
    <x v="3"/>
    <x v="2"/>
    <x v="38"/>
    <x v="0"/>
    <x v="1"/>
    <x v="0"/>
  </r>
  <r>
    <x v="1147"/>
    <n v="67.77"/>
    <x v="788"/>
    <x v="307"/>
    <x v="27"/>
    <n v="2.87"/>
    <n v="0.27439999999999998"/>
    <x v="6"/>
    <m/>
    <n v="1"/>
    <x v="3"/>
    <x v="2"/>
    <x v="38"/>
    <x v="0"/>
    <x v="1"/>
    <x v="0"/>
  </r>
  <r>
    <x v="1148"/>
    <n v="68.83"/>
    <x v="789"/>
    <x v="745"/>
    <x v="3"/>
    <n v="2.4500000000000002"/>
    <n v="6.3100000000000003E-2"/>
    <x v="6"/>
    <m/>
    <n v="1"/>
    <x v="3"/>
    <x v="2"/>
    <x v="38"/>
    <x v="0"/>
    <x v="0"/>
    <x v="1"/>
  </r>
  <r>
    <x v="1149"/>
    <n v="66.84"/>
    <x v="790"/>
    <x v="746"/>
    <x v="8"/>
    <n v="2.29"/>
    <n v="5.6500000000000002E-2"/>
    <x v="6"/>
    <m/>
    <n v="1"/>
    <x v="3"/>
    <x v="2"/>
    <x v="38"/>
    <x v="0"/>
    <x v="1"/>
    <x v="1"/>
  </r>
  <r>
    <x v="1150"/>
    <n v="64.569999999999993"/>
    <x v="791"/>
    <x v="747"/>
    <x v="103"/>
    <n v="3.09"/>
    <n v="0.23089999999999999"/>
    <x v="6"/>
    <m/>
    <n v="1"/>
    <x v="3"/>
    <x v="2"/>
    <x v="38"/>
    <x v="1"/>
    <x v="1"/>
    <x v="0"/>
  </r>
  <r>
    <x v="1151"/>
    <n v="64.569999999999993"/>
    <x v="3"/>
    <x v="3"/>
    <x v="38"/>
    <n v="2.81"/>
    <n v="0.15670000000000001"/>
    <x v="6"/>
    <m/>
    <n v="0"/>
    <x v="3"/>
    <x v="2"/>
    <x v="38"/>
    <x v="1"/>
    <x v="2"/>
    <x v="0"/>
  </r>
  <r>
    <x v="1152"/>
    <n v="64.569999999999993"/>
    <x v="3"/>
    <x v="3"/>
    <x v="10"/>
    <n v="2.82"/>
    <n v="9.3700000000000006E-2"/>
    <x v="6"/>
    <m/>
    <n v="0"/>
    <x v="3"/>
    <x v="2"/>
    <x v="38"/>
    <x v="0"/>
    <x v="2"/>
    <x v="1"/>
  </r>
  <r>
    <x v="1153"/>
    <n v="65.14"/>
    <x v="792"/>
    <x v="748"/>
    <x v="38"/>
    <n v="3.19"/>
    <n v="0.25069999999999998"/>
    <x v="6"/>
    <m/>
    <n v="1"/>
    <x v="3"/>
    <x v="2"/>
    <x v="38"/>
    <x v="0"/>
    <x v="0"/>
    <x v="0"/>
  </r>
  <r>
    <x v="1154"/>
    <n v="65.599999999999994"/>
    <x v="793"/>
    <x v="704"/>
    <x v="19"/>
    <n v="2.67"/>
    <n v="0.1462"/>
    <x v="6"/>
    <m/>
    <n v="1"/>
    <x v="3"/>
    <x v="2"/>
    <x v="38"/>
    <x v="0"/>
    <x v="0"/>
    <x v="0"/>
  </r>
  <r>
    <x v="1155"/>
    <n v="64.69"/>
    <x v="794"/>
    <x v="749"/>
    <x v="0"/>
    <n v="2.39"/>
    <n v="0.1323"/>
    <x v="6"/>
    <m/>
    <n v="1"/>
    <x v="3"/>
    <x v="2"/>
    <x v="38"/>
    <x v="0"/>
    <x v="1"/>
    <x v="0"/>
  </r>
  <r>
    <x v="1156"/>
    <n v="65.760000000000005"/>
    <x v="795"/>
    <x v="640"/>
    <x v="102"/>
    <n v="2.56"/>
    <n v="0.11119999999999999"/>
    <x v="6"/>
    <m/>
    <n v="1"/>
    <x v="3"/>
    <x v="2"/>
    <x v="38"/>
    <x v="0"/>
    <x v="0"/>
    <x v="0"/>
  </r>
  <r>
    <x v="1157"/>
    <n v="68.260000000000005"/>
    <x v="796"/>
    <x v="750"/>
    <x v="41"/>
    <n v="2.61"/>
    <n v="0.27689999999999998"/>
    <x v="6"/>
    <m/>
    <n v="1"/>
    <x v="3"/>
    <x v="2"/>
    <x v="38"/>
    <x v="1"/>
    <x v="0"/>
    <x v="0"/>
  </r>
  <r>
    <x v="1158"/>
    <n v="68.260000000000005"/>
    <x v="3"/>
    <x v="3"/>
    <x v="1"/>
    <n v="2.54"/>
    <n v="1.5299999999999999E-2"/>
    <x v="6"/>
    <m/>
    <n v="0"/>
    <x v="3"/>
    <x v="2"/>
    <x v="38"/>
    <x v="1"/>
    <x v="2"/>
    <x v="1"/>
  </r>
  <r>
    <x v="1159"/>
    <n v="68.260000000000005"/>
    <x v="3"/>
    <x v="3"/>
    <x v="13"/>
    <n v="2.2200000000000002"/>
    <n v="1.34E-2"/>
    <x v="6"/>
    <m/>
    <n v="0"/>
    <x v="3"/>
    <x v="2"/>
    <x v="38"/>
    <x v="0"/>
    <x v="2"/>
    <x v="1"/>
  </r>
  <r>
    <x v="1160"/>
    <n v="67.930000000000007"/>
    <x v="797"/>
    <x v="351"/>
    <x v="4"/>
    <n v="2.78"/>
    <n v="0.1237"/>
    <x v="6"/>
    <m/>
    <n v="1"/>
    <x v="3"/>
    <x v="2"/>
    <x v="38"/>
    <x v="0"/>
    <x v="1"/>
    <x v="0"/>
  </r>
  <r>
    <x v="1161"/>
    <n v="68.739999999999995"/>
    <x v="798"/>
    <x v="703"/>
    <x v="18"/>
    <n v="2.54"/>
    <n v="0.26679999999999998"/>
    <x v="6"/>
    <m/>
    <n v="1"/>
    <x v="3"/>
    <x v="2"/>
    <x v="38"/>
    <x v="0"/>
    <x v="0"/>
    <x v="0"/>
  </r>
  <r>
    <x v="1162"/>
    <n v="69.17"/>
    <x v="799"/>
    <x v="751"/>
    <x v="26"/>
    <n v="2.52"/>
    <n v="6.2700000000000006E-2"/>
    <x v="6"/>
    <m/>
    <n v="1"/>
    <x v="3"/>
    <x v="2"/>
    <x v="38"/>
    <x v="0"/>
    <x v="0"/>
    <x v="1"/>
  </r>
  <r>
    <x v="1163"/>
    <n v="68.2"/>
    <x v="800"/>
    <x v="752"/>
    <x v="18"/>
    <n v="2.38"/>
    <n v="0.26390000000000002"/>
    <x v="6"/>
    <m/>
    <n v="1"/>
    <x v="3"/>
    <x v="2"/>
    <x v="38"/>
    <x v="0"/>
    <x v="1"/>
    <x v="0"/>
  </r>
  <r>
    <x v="1164"/>
    <n v="67.88"/>
    <x v="801"/>
    <x v="753"/>
    <x v="16"/>
    <n v="2.63"/>
    <n v="0.13700000000000001"/>
    <x v="6"/>
    <m/>
    <n v="1"/>
    <x v="3"/>
    <x v="2"/>
    <x v="38"/>
    <x v="1"/>
    <x v="1"/>
    <x v="0"/>
  </r>
  <r>
    <x v="1165"/>
    <n v="67.88"/>
    <x v="3"/>
    <x v="3"/>
    <x v="16"/>
    <n v="2.71"/>
    <n v="0.1163"/>
    <x v="6"/>
    <m/>
    <n v="0"/>
    <x v="3"/>
    <x v="2"/>
    <x v="38"/>
    <x v="1"/>
    <x v="2"/>
    <x v="0"/>
  </r>
  <r>
    <x v="1166"/>
    <n v="67.88"/>
    <x v="3"/>
    <x v="3"/>
    <x v="2"/>
    <n v="3.06"/>
    <n v="0.1487"/>
    <x v="6"/>
    <m/>
    <n v="0"/>
    <x v="3"/>
    <x v="2"/>
    <x v="38"/>
    <x v="0"/>
    <x v="2"/>
    <x v="0"/>
  </r>
  <r>
    <x v="1167"/>
    <n v="65.92"/>
    <x v="802"/>
    <x v="754"/>
    <x v="5"/>
    <n v="2.21"/>
    <n v="3.5400000000000001E-2"/>
    <x v="6"/>
    <m/>
    <n v="1"/>
    <x v="3"/>
    <x v="2"/>
    <x v="38"/>
    <x v="0"/>
    <x v="1"/>
    <x v="1"/>
  </r>
  <r>
    <x v="1168"/>
    <n v="65.41"/>
    <x v="803"/>
    <x v="755"/>
    <x v="1"/>
    <n v="2.65"/>
    <n v="9.6799999999999997E-2"/>
    <x v="6"/>
    <m/>
    <n v="1"/>
    <x v="3"/>
    <x v="2"/>
    <x v="38"/>
    <x v="0"/>
    <x v="1"/>
    <x v="1"/>
  </r>
  <r>
    <x v="1169"/>
    <n v="65.83"/>
    <x v="804"/>
    <x v="756"/>
    <x v="36"/>
    <n v="2.97"/>
    <n v="0.15440000000000001"/>
    <x v="6"/>
    <m/>
    <n v="1"/>
    <x v="3"/>
    <x v="2"/>
    <x v="38"/>
    <x v="1"/>
    <x v="0"/>
    <x v="0"/>
  </r>
  <r>
    <x v="1170"/>
    <n v="65.83"/>
    <x v="3"/>
    <x v="3"/>
    <x v="37"/>
    <n v="2.4700000000000002"/>
    <n v="0.12640000000000001"/>
    <x v="6"/>
    <m/>
    <n v="0"/>
    <x v="3"/>
    <x v="2"/>
    <x v="38"/>
    <x v="0"/>
    <x v="2"/>
    <x v="0"/>
  </r>
  <r>
    <x v="1171"/>
    <n v="66.56"/>
    <x v="805"/>
    <x v="752"/>
    <x v="15"/>
    <n v="2.62"/>
    <n v="-2.4899999999999999E-2"/>
    <x v="6"/>
    <m/>
    <n v="1"/>
    <x v="3"/>
    <x v="2"/>
    <x v="38"/>
    <x v="1"/>
    <x v="1"/>
    <x v="1"/>
  </r>
  <r>
    <x v="1172"/>
    <n v="66.56"/>
    <x v="3"/>
    <x v="3"/>
    <x v="41"/>
    <n v="3.02"/>
    <n v="0.28100000000000003"/>
    <x v="6"/>
    <m/>
    <n v="0"/>
    <x v="3"/>
    <x v="2"/>
    <x v="38"/>
    <x v="1"/>
    <x v="2"/>
    <x v="0"/>
  </r>
  <r>
    <x v="1173"/>
    <n v="66.56"/>
    <x v="3"/>
    <x v="3"/>
    <x v="7"/>
    <n v="2.6"/>
    <n v="0.19059999999999999"/>
    <x v="6"/>
    <m/>
    <n v="0"/>
    <x v="3"/>
    <x v="2"/>
    <x v="38"/>
    <x v="0"/>
    <x v="2"/>
    <x v="0"/>
  </r>
  <r>
    <x v="1174"/>
    <n v="66.38"/>
    <x v="806"/>
    <x v="757"/>
    <x v="6"/>
    <n v="2.4500000000000002"/>
    <n v="5.2400000000000002E-2"/>
    <x v="6"/>
    <m/>
    <n v="1"/>
    <x v="3"/>
    <x v="2"/>
    <x v="38"/>
    <x v="0"/>
    <x v="0"/>
    <x v="1"/>
  </r>
  <r>
    <x v="1175"/>
    <n v="64.19"/>
    <x v="807"/>
    <x v="758"/>
    <x v="6"/>
    <n v="2.79"/>
    <n v="0.1227"/>
    <x v="6"/>
    <m/>
    <n v="1"/>
    <x v="3"/>
    <x v="2"/>
    <x v="38"/>
    <x v="0"/>
    <x v="1"/>
    <x v="0"/>
  </r>
  <r>
    <x v="1176"/>
    <n v="61.78"/>
    <x v="808"/>
    <x v="759"/>
    <x v="18"/>
    <n v="2.69"/>
    <n v="0.1419"/>
    <x v="6"/>
    <m/>
    <n v="1"/>
    <x v="3"/>
    <x v="3"/>
    <x v="39"/>
    <x v="0"/>
    <x v="1"/>
    <x v="0"/>
  </r>
  <r>
    <x v="1177"/>
    <n v="61.65"/>
    <x v="809"/>
    <x v="760"/>
    <x v="1"/>
    <n v="2"/>
    <n v="7.5200000000000003E-2"/>
    <x v="6"/>
    <m/>
    <n v="1"/>
    <x v="3"/>
    <x v="3"/>
    <x v="39"/>
    <x v="0"/>
    <x v="1"/>
    <x v="1"/>
  </r>
  <r>
    <x v="1178"/>
    <n v="60.21"/>
    <x v="810"/>
    <x v="761"/>
    <x v="5"/>
    <n v="2.27"/>
    <n v="2.0799999999999999E-2"/>
    <x v="6"/>
    <m/>
    <n v="1"/>
    <x v="3"/>
    <x v="3"/>
    <x v="39"/>
    <x v="1"/>
    <x v="1"/>
    <x v="1"/>
  </r>
  <r>
    <x v="1179"/>
    <n v="60.21"/>
    <x v="3"/>
    <x v="3"/>
    <x v="20"/>
    <n v="2.4"/>
    <n v="0.1144"/>
    <x v="6"/>
    <m/>
    <n v="0"/>
    <x v="3"/>
    <x v="3"/>
    <x v="39"/>
    <x v="1"/>
    <x v="2"/>
    <x v="0"/>
  </r>
  <r>
    <x v="1180"/>
    <n v="60.21"/>
    <x v="3"/>
    <x v="3"/>
    <x v="2"/>
    <n v="2.41"/>
    <n v="0.11210000000000001"/>
    <x v="6"/>
    <m/>
    <n v="0"/>
    <x v="3"/>
    <x v="3"/>
    <x v="39"/>
    <x v="0"/>
    <x v="2"/>
    <x v="0"/>
  </r>
  <r>
    <x v="1181"/>
    <n v="61.27"/>
    <x v="811"/>
    <x v="762"/>
    <x v="7"/>
    <n v="2.74"/>
    <n v="0.1181"/>
    <x v="6"/>
    <m/>
    <n v="1"/>
    <x v="3"/>
    <x v="3"/>
    <x v="39"/>
    <x v="0"/>
    <x v="0"/>
    <x v="0"/>
  </r>
  <r>
    <x v="1182"/>
    <n v="62.56"/>
    <x v="812"/>
    <x v="623"/>
    <x v="26"/>
    <n v="2.48"/>
    <n v="7.0300000000000001E-2"/>
    <x v="6"/>
    <m/>
    <n v="1"/>
    <x v="3"/>
    <x v="3"/>
    <x v="39"/>
    <x v="0"/>
    <x v="0"/>
    <x v="1"/>
  </r>
  <r>
    <x v="1183"/>
    <n v="62.81"/>
    <x v="813"/>
    <x v="763"/>
    <x v="2"/>
    <n v="2.74"/>
    <n v="0.2329"/>
    <x v="6"/>
    <m/>
    <n v="1"/>
    <x v="3"/>
    <x v="3"/>
    <x v="39"/>
    <x v="0"/>
    <x v="1"/>
    <x v="0"/>
  </r>
  <r>
    <x v="1184"/>
    <n v="61.1"/>
    <x v="814"/>
    <x v="764"/>
    <x v="10"/>
    <n v="2.72"/>
    <n v="0.25419999999999998"/>
    <x v="6"/>
    <m/>
    <n v="1"/>
    <x v="3"/>
    <x v="3"/>
    <x v="39"/>
    <x v="0"/>
    <x v="1"/>
    <x v="0"/>
  </r>
  <r>
    <x v="1185"/>
    <n v="61.17"/>
    <x v="815"/>
    <x v="765"/>
    <x v="6"/>
    <n v="2.5499999999999998"/>
    <n v="0.21659999999999999"/>
    <x v="6"/>
    <m/>
    <n v="1"/>
    <x v="3"/>
    <x v="3"/>
    <x v="39"/>
    <x v="1"/>
    <x v="1"/>
    <x v="0"/>
  </r>
  <r>
    <x v="1186"/>
    <n v="61.17"/>
    <x v="3"/>
    <x v="3"/>
    <x v="7"/>
    <n v="2.29"/>
    <n v="0.26079999999999998"/>
    <x v="6"/>
    <m/>
    <n v="0"/>
    <x v="3"/>
    <x v="3"/>
    <x v="39"/>
    <x v="1"/>
    <x v="2"/>
    <x v="0"/>
  </r>
  <r>
    <x v="1187"/>
    <n v="61.17"/>
    <x v="3"/>
    <x v="3"/>
    <x v="12"/>
    <n v="2.81"/>
    <n v="0.2893"/>
    <x v="6"/>
    <m/>
    <n v="0"/>
    <x v="3"/>
    <x v="3"/>
    <x v="39"/>
    <x v="0"/>
    <x v="2"/>
    <x v="0"/>
  </r>
  <r>
    <x v="1188"/>
    <n v="60.46"/>
    <x v="816"/>
    <x v="766"/>
    <x v="1"/>
    <n v="2.46"/>
    <n v="2.0299999999999999E-2"/>
    <x v="6"/>
    <m/>
    <n v="1"/>
    <x v="3"/>
    <x v="3"/>
    <x v="39"/>
    <x v="0"/>
    <x v="1"/>
    <x v="1"/>
  </r>
  <r>
    <x v="1189"/>
    <n v="59.8"/>
    <x v="817"/>
    <x v="767"/>
    <x v="48"/>
    <n v="3.07"/>
    <n v="0.19819999999999999"/>
    <x v="6"/>
    <m/>
    <n v="1"/>
    <x v="3"/>
    <x v="3"/>
    <x v="39"/>
    <x v="0"/>
    <x v="1"/>
    <x v="0"/>
  </r>
  <r>
    <x v="1190"/>
    <n v="60.5"/>
    <x v="818"/>
    <x v="768"/>
    <x v="17"/>
    <n v="3.13"/>
    <n v="0.26219999999999999"/>
    <x v="6"/>
    <m/>
    <n v="1"/>
    <x v="3"/>
    <x v="3"/>
    <x v="39"/>
    <x v="0"/>
    <x v="0"/>
    <x v="0"/>
  </r>
  <r>
    <x v="1191"/>
    <n v="59.11"/>
    <x v="819"/>
    <x v="769"/>
    <x v="32"/>
    <n v="2.96"/>
    <n v="0.15579999999999999"/>
    <x v="6"/>
    <m/>
    <n v="1"/>
    <x v="3"/>
    <x v="3"/>
    <x v="39"/>
    <x v="0"/>
    <x v="1"/>
    <x v="0"/>
  </r>
  <r>
    <x v="1192"/>
    <n v="58.67"/>
    <x v="820"/>
    <x v="770"/>
    <x v="1"/>
    <n v="2.38"/>
    <n v="0.17829999999999999"/>
    <x v="6"/>
    <m/>
    <n v="1"/>
    <x v="3"/>
    <x v="3"/>
    <x v="39"/>
    <x v="1"/>
    <x v="1"/>
    <x v="0"/>
  </r>
  <r>
    <x v="1193"/>
    <n v="58.67"/>
    <x v="3"/>
    <x v="3"/>
    <x v="11"/>
    <n v="2.63"/>
    <n v="0.1976"/>
    <x v="6"/>
    <m/>
    <n v="0"/>
    <x v="3"/>
    <x v="3"/>
    <x v="39"/>
    <x v="1"/>
    <x v="2"/>
    <x v="0"/>
  </r>
  <r>
    <x v="1194"/>
    <n v="58.67"/>
    <x v="3"/>
    <x v="3"/>
    <x v="2"/>
    <n v="2.15"/>
    <n v="0.14929999999999999"/>
    <x v="6"/>
    <m/>
    <n v="0"/>
    <x v="3"/>
    <x v="3"/>
    <x v="39"/>
    <x v="0"/>
    <x v="2"/>
    <x v="0"/>
  </r>
  <r>
    <x v="1195"/>
    <n v="59.37"/>
    <x v="821"/>
    <x v="771"/>
    <x v="32"/>
    <n v="2.27"/>
    <n v="0.17910000000000001"/>
    <x v="6"/>
    <m/>
    <n v="1"/>
    <x v="3"/>
    <x v="3"/>
    <x v="39"/>
    <x v="0"/>
    <x v="0"/>
    <x v="0"/>
  </r>
  <r>
    <x v="1196"/>
    <n v="60.49"/>
    <x v="822"/>
    <x v="772"/>
    <x v="20"/>
    <n v="2.65"/>
    <n v="0.12540000000000001"/>
    <x v="6"/>
    <m/>
    <n v="1"/>
    <x v="3"/>
    <x v="3"/>
    <x v="39"/>
    <x v="0"/>
    <x v="0"/>
    <x v="0"/>
  </r>
  <r>
    <x v="1197"/>
    <n v="61.42"/>
    <x v="823"/>
    <x v="773"/>
    <x v="7"/>
    <n v="2.89"/>
    <n v="0.247"/>
    <x v="6"/>
    <m/>
    <n v="1"/>
    <x v="3"/>
    <x v="3"/>
    <x v="39"/>
    <x v="0"/>
    <x v="0"/>
    <x v="0"/>
  </r>
  <r>
    <x v="1198"/>
    <n v="61.41"/>
    <x v="824"/>
    <x v="774"/>
    <x v="41"/>
    <n v="2.83"/>
    <n v="0.26889999999999997"/>
    <x v="6"/>
    <m/>
    <n v="1"/>
    <x v="3"/>
    <x v="3"/>
    <x v="39"/>
    <x v="1"/>
    <x v="1"/>
    <x v="0"/>
  </r>
  <r>
    <x v="1199"/>
    <n v="61.41"/>
    <x v="3"/>
    <x v="3"/>
    <x v="1"/>
    <n v="2.62"/>
    <n v="0.17430000000000001"/>
    <x v="6"/>
    <m/>
    <n v="0"/>
    <x v="3"/>
    <x v="3"/>
    <x v="39"/>
    <x v="1"/>
    <x v="2"/>
    <x v="0"/>
  </r>
  <r>
    <x v="1200"/>
    <n v="61.41"/>
    <x v="3"/>
    <x v="3"/>
    <x v="34"/>
    <n v="2.84"/>
    <n v="0.27479999999999999"/>
    <x v="6"/>
    <m/>
    <n v="0"/>
    <x v="3"/>
    <x v="3"/>
    <x v="39"/>
    <x v="1"/>
    <x v="2"/>
    <x v="0"/>
  </r>
  <r>
    <x v="1201"/>
    <n v="61.41"/>
    <x v="3"/>
    <x v="3"/>
    <x v="19"/>
    <n v="3.37"/>
    <n v="0.34100000000000003"/>
    <x v="6"/>
    <m/>
    <n v="0"/>
    <x v="3"/>
    <x v="3"/>
    <x v="39"/>
    <x v="0"/>
    <x v="2"/>
    <x v="0"/>
  </r>
  <r>
    <x v="1202"/>
    <n v="61.31"/>
    <x v="825"/>
    <x v="775"/>
    <x v="50"/>
    <n v="2.69"/>
    <n v="0.27610000000000001"/>
    <x v="6"/>
    <m/>
    <n v="1"/>
    <x v="3"/>
    <x v="3"/>
    <x v="39"/>
    <x v="0"/>
    <x v="1"/>
    <x v="0"/>
  </r>
  <r>
    <x v="1203"/>
    <n v="61.07"/>
    <x v="826"/>
    <x v="776"/>
    <x v="3"/>
    <n v="3.02"/>
    <n v="0.25380000000000003"/>
    <x v="6"/>
    <m/>
    <n v="1"/>
    <x v="3"/>
    <x v="3"/>
    <x v="39"/>
    <x v="0"/>
    <x v="1"/>
    <x v="0"/>
  </r>
  <r>
    <x v="1204"/>
    <n v="61.05"/>
    <x v="827"/>
    <x v="777"/>
    <x v="1"/>
    <n v="2.97"/>
    <n v="0.26669999999999999"/>
    <x v="6"/>
    <m/>
    <n v="1"/>
    <x v="3"/>
    <x v="3"/>
    <x v="39"/>
    <x v="0"/>
    <x v="1"/>
    <x v="0"/>
  </r>
  <r>
    <x v="1205"/>
    <n v="61.21"/>
    <x v="828"/>
    <x v="778"/>
    <x v="28"/>
    <n v="2.63"/>
    <n v="0.1862"/>
    <x v="6"/>
    <m/>
    <n v="1"/>
    <x v="3"/>
    <x v="3"/>
    <x v="39"/>
    <x v="0"/>
    <x v="1"/>
    <x v="0"/>
  </r>
  <r>
    <x v="1206"/>
    <n v="60.24"/>
    <x v="829"/>
    <x v="779"/>
    <x v="3"/>
    <n v="3.18"/>
    <n v="0.30819999999999997"/>
    <x v="6"/>
    <m/>
    <n v="1"/>
    <x v="3"/>
    <x v="3"/>
    <x v="39"/>
    <x v="1"/>
    <x v="1"/>
    <x v="0"/>
  </r>
  <r>
    <x v="1207"/>
    <n v="60.24"/>
    <x v="3"/>
    <x v="3"/>
    <x v="8"/>
    <n v="2.88"/>
    <n v="0.28110000000000002"/>
    <x v="6"/>
    <m/>
    <n v="0"/>
    <x v="4"/>
    <x v="4"/>
    <x v="40"/>
    <x v="1"/>
    <x v="2"/>
    <x v="0"/>
  </r>
  <r>
    <x v="1208"/>
    <n v="60.24"/>
    <x v="3"/>
    <x v="3"/>
    <x v="4"/>
    <n v="2.52"/>
    <n v="0.1132"/>
    <x v="6"/>
    <m/>
    <n v="0"/>
    <x v="4"/>
    <x v="4"/>
    <x v="40"/>
    <x v="0"/>
    <x v="2"/>
    <x v="0"/>
  </r>
  <r>
    <x v="1209"/>
    <n v="59.74"/>
    <x v="830"/>
    <x v="780"/>
    <x v="20"/>
    <n v="2.88"/>
    <n v="0.311"/>
    <x v="6"/>
    <m/>
    <n v="1"/>
    <x v="4"/>
    <x v="4"/>
    <x v="40"/>
    <x v="0"/>
    <x v="1"/>
    <x v="0"/>
  </r>
  <r>
    <x v="1210"/>
    <n v="59.12"/>
    <x v="831"/>
    <x v="781"/>
    <x v="41"/>
    <n v="2.9"/>
    <n v="0.2014"/>
    <x v="6"/>
    <m/>
    <n v="1"/>
    <x v="4"/>
    <x v="4"/>
    <x v="40"/>
    <x v="0"/>
    <x v="1"/>
    <x v="0"/>
  </r>
  <r>
    <x v="1211"/>
    <n v="56.75"/>
    <x v="832"/>
    <x v="782"/>
    <x v="26"/>
    <n v="2.67"/>
    <n v="0.189"/>
    <x v="6"/>
    <m/>
    <n v="1"/>
    <x v="4"/>
    <x v="4"/>
    <x v="40"/>
    <x v="0"/>
    <x v="1"/>
    <x v="0"/>
  </r>
  <r>
    <x v="1212"/>
    <n v="55.33"/>
    <x v="833"/>
    <x v="783"/>
    <x v="17"/>
    <n v="2.96"/>
    <n v="0.1986"/>
    <x v="6"/>
    <m/>
    <n v="1"/>
    <x v="4"/>
    <x v="4"/>
    <x v="40"/>
    <x v="0"/>
    <x v="1"/>
    <x v="0"/>
  </r>
  <r>
    <x v="1213"/>
    <n v="54.11"/>
    <x v="834"/>
    <x v="784"/>
    <x v="26"/>
    <n v="2.76"/>
    <n v="0.1726"/>
    <x v="6"/>
    <m/>
    <n v="1"/>
    <x v="4"/>
    <x v="4"/>
    <x v="40"/>
    <x v="1"/>
    <x v="1"/>
    <x v="0"/>
  </r>
  <r>
    <x v="1214"/>
    <n v="54.11"/>
    <x v="3"/>
    <x v="3"/>
    <x v="19"/>
    <n v="2.88"/>
    <n v="0.14829999999999999"/>
    <x v="6"/>
    <m/>
    <n v="0"/>
    <x v="4"/>
    <x v="4"/>
    <x v="40"/>
    <x v="1"/>
    <x v="2"/>
    <x v="0"/>
  </r>
  <r>
    <x v="1215"/>
    <n v="54.11"/>
    <x v="3"/>
    <x v="3"/>
    <x v="12"/>
    <n v="2.98"/>
    <n v="0.1565"/>
    <x v="6"/>
    <m/>
    <n v="0"/>
    <x v="4"/>
    <x v="4"/>
    <x v="40"/>
    <x v="0"/>
    <x v="2"/>
    <x v="0"/>
  </r>
  <r>
    <x v="1216"/>
    <n v="53.99"/>
    <x v="835"/>
    <x v="785"/>
    <x v="41"/>
    <n v="3"/>
    <n v="0.35049999999999998"/>
    <x v="6"/>
    <m/>
    <n v="1"/>
    <x v="4"/>
    <x v="4"/>
    <x v="40"/>
    <x v="0"/>
    <x v="0"/>
    <x v="0"/>
  </r>
  <r>
    <x v="1217"/>
    <n v="54.08"/>
    <x v="836"/>
    <x v="786"/>
    <x v="4"/>
    <n v="3.24"/>
    <n v="0.2853"/>
    <x v="6"/>
    <m/>
    <n v="1"/>
    <x v="4"/>
    <x v="4"/>
    <x v="40"/>
    <x v="0"/>
    <x v="0"/>
    <x v="0"/>
  </r>
  <r>
    <x v="1218"/>
    <n v="53.72"/>
    <x v="837"/>
    <x v="787"/>
    <x v="7"/>
    <n v="3.14"/>
    <n v="0.1237"/>
    <x v="6"/>
    <m/>
    <n v="1"/>
    <x v="4"/>
    <x v="4"/>
    <x v="40"/>
    <x v="0"/>
    <x v="1"/>
    <x v="0"/>
  </r>
  <r>
    <x v="1219"/>
    <n v="51.92"/>
    <x v="838"/>
    <x v="788"/>
    <x v="13"/>
    <n v="3"/>
    <n v="5.3999999999999999E-2"/>
    <x v="6"/>
    <m/>
    <n v="1"/>
    <x v="4"/>
    <x v="4"/>
    <x v="40"/>
    <x v="0"/>
    <x v="1"/>
    <x v="1"/>
  </r>
  <r>
    <x v="1220"/>
    <n v="52.57"/>
    <x v="839"/>
    <x v="789"/>
    <x v="3"/>
    <n v="2.77"/>
    <n v="0.16470000000000001"/>
    <x v="6"/>
    <m/>
    <n v="1"/>
    <x v="4"/>
    <x v="4"/>
    <x v="40"/>
    <x v="1"/>
    <x v="0"/>
    <x v="0"/>
  </r>
  <r>
    <x v="1221"/>
    <n v="52.57"/>
    <x v="3"/>
    <x v="3"/>
    <x v="37"/>
    <n v="3.03"/>
    <n v="0.26979999999999998"/>
    <x v="6"/>
    <m/>
    <n v="0"/>
    <x v="4"/>
    <x v="4"/>
    <x v="40"/>
    <x v="1"/>
    <x v="2"/>
    <x v="0"/>
  </r>
  <r>
    <x v="1222"/>
    <n v="52.57"/>
    <x v="3"/>
    <x v="3"/>
    <x v="3"/>
    <n v="2.59"/>
    <n v="1.15E-2"/>
    <x v="6"/>
    <m/>
    <n v="0"/>
    <x v="4"/>
    <x v="4"/>
    <x v="40"/>
    <x v="1"/>
    <x v="2"/>
    <x v="1"/>
  </r>
  <r>
    <x v="1223"/>
    <n v="52.57"/>
    <x v="3"/>
    <x v="3"/>
    <x v="26"/>
    <n v="2.69"/>
    <n v="0.23039999999999999"/>
    <x v="6"/>
    <m/>
    <n v="0"/>
    <x v="4"/>
    <x v="4"/>
    <x v="40"/>
    <x v="0"/>
    <x v="2"/>
    <x v="0"/>
  </r>
  <r>
    <x v="1224"/>
    <n v="51.08"/>
    <x v="840"/>
    <x v="790"/>
    <x v="13"/>
    <n v="2.85"/>
    <n v="0.33250000000000002"/>
    <x v="6"/>
    <m/>
    <n v="1"/>
    <x v="4"/>
    <x v="4"/>
    <x v="40"/>
    <x v="0"/>
    <x v="1"/>
    <x v="0"/>
  </r>
  <r>
    <x v="1225"/>
    <n v="51.59"/>
    <x v="841"/>
    <x v="791"/>
    <x v="16"/>
    <n v="2.63"/>
    <n v="-2.8000000000000001E-2"/>
    <x v="6"/>
    <m/>
    <n v="1"/>
    <x v="4"/>
    <x v="4"/>
    <x v="40"/>
    <x v="0"/>
    <x v="0"/>
    <x v="1"/>
  </r>
  <r>
    <x v="1226"/>
    <n v="50.83"/>
    <x v="842"/>
    <x v="792"/>
    <x v="41"/>
    <n v="2.68"/>
    <n v="0.31490000000000001"/>
    <x v="6"/>
    <m/>
    <n v="1"/>
    <x v="4"/>
    <x v="4"/>
    <x v="40"/>
    <x v="0"/>
    <x v="1"/>
    <x v="0"/>
  </r>
  <r>
    <x v="1227"/>
    <n v="39.75"/>
    <x v="843"/>
    <x v="793"/>
    <x v="4"/>
    <n v="2.91"/>
    <n v="0.13650000000000001"/>
    <x v="6"/>
    <m/>
    <n v="1"/>
    <x v="4"/>
    <x v="4"/>
    <x v="40"/>
    <x v="1"/>
    <x v="1"/>
    <x v="0"/>
  </r>
  <r>
    <x v="1228"/>
    <n v="39.75"/>
    <x v="3"/>
    <x v="3"/>
    <x v="36"/>
    <n v="3.33"/>
    <n v="0.41660000000000003"/>
    <x v="6"/>
    <m/>
    <n v="0"/>
    <x v="4"/>
    <x v="4"/>
    <x v="40"/>
    <x v="1"/>
    <x v="2"/>
    <x v="0"/>
  </r>
  <r>
    <x v="1229"/>
    <n v="39.75"/>
    <x v="3"/>
    <x v="3"/>
    <x v="33"/>
    <n v="2.76"/>
    <n v="0.2515"/>
    <x v="6"/>
    <m/>
    <n v="0"/>
    <x v="4"/>
    <x v="4"/>
    <x v="40"/>
    <x v="0"/>
    <x v="2"/>
    <x v="0"/>
  </r>
  <r>
    <x v="1230"/>
    <n v="38.72"/>
    <x v="844"/>
    <x v="536"/>
    <x v="26"/>
    <n v="2.5"/>
    <n v="0.14319999999999999"/>
    <x v="6"/>
    <m/>
    <n v="1"/>
    <x v="4"/>
    <x v="4"/>
    <x v="40"/>
    <x v="0"/>
    <x v="0"/>
    <x v="0"/>
  </r>
  <r>
    <x v="1231"/>
    <n v="36.64"/>
    <x v="845"/>
    <x v="71"/>
    <x v="4"/>
    <n v="2.33"/>
    <n v="0.1948"/>
    <x v="6"/>
    <m/>
    <n v="1"/>
    <x v="4"/>
    <x v="4"/>
    <x v="40"/>
    <x v="0"/>
    <x v="1"/>
    <x v="0"/>
  </r>
  <r>
    <x v="1232"/>
    <n v="35.97"/>
    <x v="846"/>
    <x v="794"/>
    <x v="13"/>
    <n v="2.38"/>
    <n v="0.1295"/>
    <x v="6"/>
    <m/>
    <n v="1"/>
    <x v="4"/>
    <x v="4"/>
    <x v="40"/>
    <x v="0"/>
    <x v="1"/>
    <x v="0"/>
  </r>
  <r>
    <x v="1233"/>
    <n v="38.67"/>
    <x v="847"/>
    <x v="795"/>
    <x v="32"/>
    <n v="2.46"/>
    <n v="3.8199999999999998E-2"/>
    <x v="6"/>
    <m/>
    <n v="1"/>
    <x v="4"/>
    <x v="4"/>
    <x v="40"/>
    <x v="0"/>
    <x v="0"/>
    <x v="1"/>
  </r>
  <r>
    <x v="1234"/>
    <n v="38.44"/>
    <x v="848"/>
    <x v="796"/>
    <x v="20"/>
    <n v="2.72"/>
    <n v="0.20230000000000001"/>
    <x v="6"/>
    <m/>
    <n v="1"/>
    <x v="4"/>
    <x v="4"/>
    <x v="40"/>
    <x v="1"/>
    <x v="1"/>
    <x v="0"/>
  </r>
  <r>
    <x v="1235"/>
    <n v="38.44"/>
    <x v="3"/>
    <x v="3"/>
    <x v="19"/>
    <n v="2.42"/>
    <n v="0.26029999999999998"/>
    <x v="6"/>
    <m/>
    <n v="0"/>
    <x v="4"/>
    <x v="4"/>
    <x v="40"/>
    <x v="1"/>
    <x v="2"/>
    <x v="0"/>
  </r>
  <r>
    <x v="1236"/>
    <n v="38.44"/>
    <x v="3"/>
    <x v="3"/>
    <x v="3"/>
    <n v="2.8"/>
    <n v="0.1019"/>
    <x v="6"/>
    <m/>
    <n v="0"/>
    <x v="4"/>
    <x v="4"/>
    <x v="40"/>
    <x v="0"/>
    <x v="2"/>
    <x v="0"/>
  </r>
  <r>
    <x v="1237"/>
    <n v="42.71"/>
    <x v="849"/>
    <x v="797"/>
    <x v="32"/>
    <n v="2.87"/>
    <n v="0.27379999999999999"/>
    <x v="6"/>
    <m/>
    <n v="1"/>
    <x v="4"/>
    <x v="4"/>
    <x v="40"/>
    <x v="0"/>
    <x v="0"/>
    <x v="0"/>
  </r>
  <r>
    <x v="1238"/>
    <n v="45.71"/>
    <x v="850"/>
    <x v="798"/>
    <x v="28"/>
    <n v="3"/>
    <n v="0.13"/>
    <x v="6"/>
    <m/>
    <n v="1"/>
    <x v="4"/>
    <x v="5"/>
    <x v="41"/>
    <x v="0"/>
    <x v="0"/>
    <x v="0"/>
  </r>
  <r>
    <x v="1239"/>
    <n v="42.95"/>
    <x v="851"/>
    <x v="799"/>
    <x v="41"/>
    <n v="2.56"/>
    <n v="0.17860000000000001"/>
    <x v="6"/>
    <m/>
    <n v="1"/>
    <x v="4"/>
    <x v="5"/>
    <x v="41"/>
    <x v="0"/>
    <x v="1"/>
    <x v="0"/>
  </r>
  <r>
    <x v="1240"/>
    <n v="40.56"/>
    <x v="852"/>
    <x v="800"/>
    <x v="12"/>
    <n v="3"/>
    <n v="0.34560000000000002"/>
    <x v="6"/>
    <m/>
    <n v="1"/>
    <x v="4"/>
    <x v="5"/>
    <x v="41"/>
    <x v="0"/>
    <x v="1"/>
    <x v="0"/>
  </r>
  <r>
    <x v="1241"/>
    <n v="41.02"/>
    <x v="853"/>
    <x v="801"/>
    <x v="27"/>
    <n v="2.97"/>
    <n v="0.14299999999999999"/>
    <x v="6"/>
    <m/>
    <n v="1"/>
    <x v="4"/>
    <x v="5"/>
    <x v="41"/>
    <x v="1"/>
    <x v="0"/>
    <x v="0"/>
  </r>
  <r>
    <x v="1242"/>
    <n v="41.02"/>
    <x v="3"/>
    <x v="3"/>
    <x v="38"/>
    <n v="2.97"/>
    <n v="0.12039999999999999"/>
    <x v="6"/>
    <m/>
    <n v="0"/>
    <x v="4"/>
    <x v="5"/>
    <x v="41"/>
    <x v="1"/>
    <x v="2"/>
    <x v="0"/>
  </r>
  <r>
    <x v="1243"/>
    <n v="41.02"/>
    <x v="3"/>
    <x v="3"/>
    <x v="40"/>
    <n v="2.79"/>
    <n v="0.15240000000000001"/>
    <x v="6"/>
    <m/>
    <n v="0"/>
    <x v="4"/>
    <x v="5"/>
    <x v="41"/>
    <x v="0"/>
    <x v="2"/>
    <x v="0"/>
  </r>
  <r>
    <x v="1244"/>
    <n v="40.21"/>
    <x v="854"/>
    <x v="802"/>
    <x v="41"/>
    <n v="2.56"/>
    <n v="0.1066"/>
    <x v="6"/>
    <m/>
    <n v="1"/>
    <x v="4"/>
    <x v="5"/>
    <x v="41"/>
    <x v="0"/>
    <x v="1"/>
    <x v="0"/>
  </r>
  <r>
    <x v="1245"/>
    <n v="40.35"/>
    <x v="855"/>
    <x v="803"/>
    <x v="19"/>
    <n v="2.88"/>
    <n v="0.31850000000000001"/>
    <x v="6"/>
    <m/>
    <n v="1"/>
    <x v="4"/>
    <x v="5"/>
    <x v="41"/>
    <x v="0"/>
    <x v="0"/>
    <x v="0"/>
  </r>
  <r>
    <x v="1246"/>
    <n v="41.29"/>
    <x v="856"/>
    <x v="804"/>
    <x v="13"/>
    <n v="2.82"/>
    <n v="0.2089"/>
    <x v="6"/>
    <m/>
    <n v="1"/>
    <x v="4"/>
    <x v="5"/>
    <x v="41"/>
    <x v="0"/>
    <x v="0"/>
    <x v="0"/>
  </r>
  <r>
    <x v="1247"/>
    <n v="40.630000000000003"/>
    <x v="857"/>
    <x v="805"/>
    <x v="13"/>
    <n v="3"/>
    <n v="0.23780000000000001"/>
    <x v="6"/>
    <m/>
    <n v="1"/>
    <x v="4"/>
    <x v="5"/>
    <x v="41"/>
    <x v="0"/>
    <x v="0"/>
    <x v="0"/>
  </r>
  <r>
    <x v="1248"/>
    <n v="39.130000000000003"/>
    <x v="858"/>
    <x v="806"/>
    <x v="1"/>
    <n v="3.24"/>
    <n v="0.25600000000000001"/>
    <x v="6"/>
    <m/>
    <n v="1"/>
    <x v="4"/>
    <x v="5"/>
    <x v="41"/>
    <x v="1"/>
    <x v="1"/>
    <x v="0"/>
  </r>
  <r>
    <x v="1249"/>
    <n v="39.130000000000003"/>
    <x v="3"/>
    <x v="3"/>
    <x v="1"/>
    <n v="2.5099999999999998"/>
    <n v="9.2100000000000001E-2"/>
    <x v="6"/>
    <m/>
    <n v="0"/>
    <x v="4"/>
    <x v="5"/>
    <x v="41"/>
    <x v="1"/>
    <x v="2"/>
    <x v="1"/>
  </r>
  <r>
    <x v="1250"/>
    <n v="39.130000000000003"/>
    <x v="3"/>
    <x v="3"/>
    <x v="26"/>
    <n v="2.67"/>
    <n v="0.2298"/>
    <x v="6"/>
    <m/>
    <n v="0"/>
    <x v="4"/>
    <x v="5"/>
    <x v="41"/>
    <x v="0"/>
    <x v="2"/>
    <x v="0"/>
  </r>
  <r>
    <x v="1251"/>
    <n v="39.659999999999997"/>
    <x v="859"/>
    <x v="420"/>
    <x v="10"/>
    <n v="2.67"/>
    <n v="0.19670000000000001"/>
    <x v="6"/>
    <m/>
    <n v="1"/>
    <x v="4"/>
    <x v="5"/>
    <x v="41"/>
    <x v="0"/>
    <x v="0"/>
    <x v="0"/>
  </r>
  <r>
    <x v="1252"/>
    <n v="40.75"/>
    <x v="578"/>
    <x v="807"/>
    <x v="13"/>
    <n v="2.75"/>
    <n v="0.32540000000000002"/>
    <x v="6"/>
    <m/>
    <n v="1"/>
    <x v="4"/>
    <x v="5"/>
    <x v="41"/>
    <x v="0"/>
    <x v="0"/>
    <x v="0"/>
  </r>
  <r>
    <x v="1253"/>
    <n v="39.81"/>
    <x v="860"/>
    <x v="808"/>
    <x v="26"/>
    <n v="2.5499999999999998"/>
    <n v="1.03E-2"/>
    <x v="6"/>
    <m/>
    <n v="1"/>
    <x v="4"/>
    <x v="5"/>
    <x v="41"/>
    <x v="0"/>
    <x v="1"/>
    <x v="1"/>
  </r>
  <r>
    <x v="1254"/>
    <n v="38.67"/>
    <x v="861"/>
    <x v="809"/>
    <x v="19"/>
    <n v="2.21"/>
    <n v="0.06"/>
    <x v="6"/>
    <m/>
    <n v="1"/>
    <x v="4"/>
    <x v="5"/>
    <x v="41"/>
    <x v="0"/>
    <x v="1"/>
    <x v="1"/>
  </r>
  <r>
    <x v="1255"/>
    <n v="39.130000000000003"/>
    <x v="862"/>
    <x v="810"/>
    <x v="42"/>
    <n v="2.65"/>
    <n v="0.21010000000000001"/>
    <x v="6"/>
    <m/>
    <n v="1"/>
    <x v="4"/>
    <x v="5"/>
    <x v="41"/>
    <x v="1"/>
    <x v="1"/>
    <x v="0"/>
  </r>
  <r>
    <x v="1256"/>
    <n v="39.130000000000003"/>
    <x v="3"/>
    <x v="3"/>
    <x v="44"/>
    <n v="2.4300000000000002"/>
    <n v="9.7900000000000001E-2"/>
    <x v="6"/>
    <m/>
    <n v="0"/>
    <x v="4"/>
    <x v="5"/>
    <x v="41"/>
    <x v="1"/>
    <x v="2"/>
    <x v="1"/>
  </r>
  <r>
    <x v="1257"/>
    <n v="39.130000000000003"/>
    <x v="3"/>
    <x v="3"/>
    <x v="23"/>
    <n v="2.96"/>
    <n v="0.27700000000000002"/>
    <x v="6"/>
    <m/>
    <n v="0"/>
    <x v="4"/>
    <x v="5"/>
    <x v="41"/>
    <x v="1"/>
    <x v="2"/>
    <x v="0"/>
  </r>
  <r>
    <x v="1258"/>
    <n v="39.130000000000003"/>
    <x v="3"/>
    <x v="3"/>
    <x v="12"/>
    <n v="2.89"/>
    <n v="0.35139999999999999"/>
    <x v="6"/>
    <m/>
    <n v="0"/>
    <x v="4"/>
    <x v="5"/>
    <x v="41"/>
    <x v="0"/>
    <x v="2"/>
    <x v="0"/>
  </r>
  <r>
    <x v="1259"/>
    <n v="37.74"/>
    <x v="863"/>
    <x v="811"/>
    <x v="35"/>
    <n v="1.9"/>
    <n v="4.4299999999999999E-2"/>
    <x v="6"/>
    <m/>
    <n v="1"/>
    <x v="4"/>
    <x v="5"/>
    <x v="41"/>
    <x v="0"/>
    <x v="1"/>
    <x v="1"/>
  </r>
  <r>
    <x v="1260"/>
    <n v="36.75"/>
    <x v="864"/>
    <x v="812"/>
    <x v="40"/>
    <n v="2.5099999999999998"/>
    <n v="9.69E-2"/>
    <x v="6"/>
    <m/>
    <n v="1"/>
    <x v="4"/>
    <x v="5"/>
    <x v="41"/>
    <x v="0"/>
    <x v="1"/>
    <x v="1"/>
  </r>
  <r>
    <x v="1261"/>
    <n v="39"/>
    <x v="865"/>
    <x v="813"/>
    <x v="59"/>
    <n v="2.3199999999999998"/>
    <n v="0.11310000000000001"/>
    <x v="6"/>
    <m/>
    <n v="1"/>
    <x v="4"/>
    <x v="5"/>
    <x v="41"/>
    <x v="0"/>
    <x v="0"/>
    <x v="0"/>
  </r>
  <r>
    <x v="1262"/>
    <n v="39.08"/>
    <x v="866"/>
    <x v="814"/>
    <x v="42"/>
    <n v="2.5"/>
    <n v="8.8300000000000003E-2"/>
    <x v="6"/>
    <m/>
    <n v="1"/>
    <x v="4"/>
    <x v="5"/>
    <x v="41"/>
    <x v="1"/>
    <x v="0"/>
    <x v="1"/>
  </r>
  <r>
    <x v="1263"/>
    <n v="39.08"/>
    <x v="3"/>
    <x v="3"/>
    <x v="23"/>
    <n v="2.84"/>
    <n v="0.18990000000000001"/>
    <x v="6"/>
    <m/>
    <n v="0"/>
    <x v="4"/>
    <x v="5"/>
    <x v="41"/>
    <x v="1"/>
    <x v="2"/>
    <x v="0"/>
  </r>
  <r>
    <x v="1264"/>
    <n v="39.08"/>
    <x v="3"/>
    <x v="3"/>
    <x v="51"/>
    <n v="2.64"/>
    <n v="0.1988"/>
    <x v="6"/>
    <m/>
    <n v="0"/>
    <x v="4"/>
    <x v="5"/>
    <x v="41"/>
    <x v="0"/>
    <x v="2"/>
    <x v="0"/>
  </r>
  <r>
    <x v="1265"/>
    <n v="39.450000000000003"/>
    <x v="867"/>
    <x v="815"/>
    <x v="7"/>
    <n v="2.54"/>
    <n v="2.3800000000000002E-2"/>
    <x v="6"/>
    <m/>
    <n v="1"/>
    <x v="4"/>
    <x v="5"/>
    <x v="41"/>
    <x v="0"/>
    <x v="0"/>
    <x v="1"/>
  </r>
  <r>
    <x v="1266"/>
    <n v="38.619999999999997"/>
    <x v="868"/>
    <x v="816"/>
    <x v="40"/>
    <n v="2.5099999999999998"/>
    <n v="0.1047"/>
    <x v="6"/>
    <m/>
    <n v="1"/>
    <x v="4"/>
    <x v="6"/>
    <x v="42"/>
    <x v="0"/>
    <x v="1"/>
    <x v="0"/>
  </r>
  <r>
    <x v="1267"/>
    <n v="38"/>
    <x v="869"/>
    <x v="817"/>
    <x v="16"/>
    <n v="2.42"/>
    <n v="0.18809999999999999"/>
    <x v="6"/>
    <m/>
    <n v="1"/>
    <x v="4"/>
    <x v="6"/>
    <x v="42"/>
    <x v="0"/>
    <x v="1"/>
    <x v="0"/>
  </r>
  <r>
    <x v="1268"/>
    <n v="36.81"/>
    <x v="870"/>
    <x v="818"/>
    <x v="7"/>
    <n v="2.71"/>
    <n v="5.5500000000000001E-2"/>
    <x v="6"/>
    <m/>
    <n v="1"/>
    <x v="4"/>
    <x v="6"/>
    <x v="42"/>
    <x v="0"/>
    <x v="1"/>
    <x v="1"/>
  </r>
  <r>
    <x v="1269"/>
    <n v="36.17"/>
    <x v="871"/>
    <x v="819"/>
    <x v="1"/>
    <n v="2.7"/>
    <n v="0.1119"/>
    <x v="6"/>
    <m/>
    <n v="1"/>
    <x v="4"/>
    <x v="6"/>
    <x v="42"/>
    <x v="1"/>
    <x v="1"/>
    <x v="0"/>
  </r>
  <r>
    <x v="1270"/>
    <n v="36.17"/>
    <x v="3"/>
    <x v="3"/>
    <x v="38"/>
    <n v="2.48"/>
    <n v="0.17130000000000001"/>
    <x v="6"/>
    <m/>
    <n v="0"/>
    <x v="4"/>
    <x v="6"/>
    <x v="42"/>
    <x v="1"/>
    <x v="2"/>
    <x v="0"/>
  </r>
  <r>
    <x v="1271"/>
    <n v="36.17"/>
    <x v="3"/>
    <x v="3"/>
    <x v="26"/>
    <n v="2.62"/>
    <n v="0.27450000000000002"/>
    <x v="6"/>
    <m/>
    <n v="0"/>
    <x v="4"/>
    <x v="6"/>
    <x v="42"/>
    <x v="0"/>
    <x v="2"/>
    <x v="0"/>
  </r>
  <r>
    <x v="1272"/>
    <n v="35.03"/>
    <x v="872"/>
    <x v="820"/>
    <x v="17"/>
    <n v="2.71"/>
    <n v="0.25040000000000001"/>
    <x v="6"/>
    <m/>
    <n v="1"/>
    <x v="4"/>
    <x v="6"/>
    <x v="42"/>
    <x v="0"/>
    <x v="1"/>
    <x v="0"/>
  </r>
  <r>
    <x v="1273"/>
    <n v="34.18"/>
    <x v="873"/>
    <x v="821"/>
    <x v="13"/>
    <n v="2.72"/>
    <n v="0.1482"/>
    <x v="6"/>
    <m/>
    <n v="1"/>
    <x v="4"/>
    <x v="6"/>
    <x v="42"/>
    <x v="0"/>
    <x v="1"/>
    <x v="0"/>
  </r>
  <r>
    <x v="1274"/>
    <n v="35.880000000000003"/>
    <x v="874"/>
    <x v="822"/>
    <x v="6"/>
    <n v="2.79"/>
    <n v="9.3899999999999997E-2"/>
    <x v="6"/>
    <m/>
    <n v="1"/>
    <x v="4"/>
    <x v="6"/>
    <x v="42"/>
    <x v="0"/>
    <x v="0"/>
    <x v="1"/>
  </r>
  <r>
    <x v="1275"/>
    <n v="35.68"/>
    <x v="875"/>
    <x v="686"/>
    <x v="16"/>
    <n v="2.84"/>
    <n v="0.29399999999999998"/>
    <x v="6"/>
    <m/>
    <n v="1"/>
    <x v="4"/>
    <x v="6"/>
    <x v="42"/>
    <x v="0"/>
    <x v="0"/>
    <x v="0"/>
  </r>
  <r>
    <x v="1276"/>
    <n v="34.03"/>
    <x v="876"/>
    <x v="823"/>
    <x v="16"/>
    <n v="2.63"/>
    <n v="0.19120000000000001"/>
    <x v="6"/>
    <m/>
    <n v="1"/>
    <x v="4"/>
    <x v="6"/>
    <x v="42"/>
    <x v="1"/>
    <x v="1"/>
    <x v="0"/>
  </r>
  <r>
    <x v="1277"/>
    <n v="34.03"/>
    <x v="3"/>
    <x v="3"/>
    <x v="5"/>
    <n v="2.21"/>
    <n v="3.56E-2"/>
    <x v="6"/>
    <m/>
    <n v="0"/>
    <x v="4"/>
    <x v="6"/>
    <x v="42"/>
    <x v="1"/>
    <x v="2"/>
    <x v="1"/>
  </r>
  <r>
    <x v="1278"/>
    <n v="34.03"/>
    <x v="3"/>
    <x v="3"/>
    <x v="26"/>
    <n v="3.19"/>
    <n v="0.31619999999999998"/>
    <x v="6"/>
    <m/>
    <n v="0"/>
    <x v="4"/>
    <x v="6"/>
    <x v="42"/>
    <x v="0"/>
    <x v="2"/>
    <x v="0"/>
  </r>
  <r>
    <x v="1279"/>
    <n v="33.1"/>
    <x v="877"/>
    <x v="824"/>
    <x v="22"/>
    <n v="3.54"/>
    <n v="0.27089999999999997"/>
    <x v="6"/>
    <m/>
    <n v="1"/>
    <x v="4"/>
    <x v="6"/>
    <x v="42"/>
    <x v="0"/>
    <x v="1"/>
    <x v="0"/>
  </r>
  <r>
    <x v="1280"/>
    <n v="34.380000000000003"/>
    <x v="878"/>
    <x v="825"/>
    <x v="30"/>
    <n v="3.25"/>
    <n v="0.30549999999999999"/>
    <x v="6"/>
    <m/>
    <n v="1"/>
    <x v="4"/>
    <x v="6"/>
    <x v="42"/>
    <x v="0"/>
    <x v="0"/>
    <x v="0"/>
  </r>
  <r>
    <x v="1281"/>
    <n v="35.75"/>
    <x v="879"/>
    <x v="826"/>
    <x v="23"/>
    <n v="3"/>
    <n v="0.3024"/>
    <x v="6"/>
    <m/>
    <n v="1"/>
    <x v="4"/>
    <x v="6"/>
    <x v="42"/>
    <x v="0"/>
    <x v="0"/>
    <x v="0"/>
  </r>
  <r>
    <x v="1282"/>
    <n v="37.14"/>
    <x v="880"/>
    <x v="827"/>
    <x v="17"/>
    <n v="2.5299999999999998"/>
    <n v="0.12640000000000001"/>
    <x v="6"/>
    <m/>
    <n v="1"/>
    <x v="4"/>
    <x v="6"/>
    <x v="42"/>
    <x v="0"/>
    <x v="0"/>
    <x v="0"/>
  </r>
  <r>
    <x v="1283"/>
    <n v="38.06"/>
    <x v="881"/>
    <x v="828"/>
    <x v="3"/>
    <n v="2.89"/>
    <n v="0.34200000000000003"/>
    <x v="6"/>
    <m/>
    <n v="1"/>
    <x v="4"/>
    <x v="6"/>
    <x v="42"/>
    <x v="1"/>
    <x v="0"/>
    <x v="0"/>
  </r>
  <r>
    <x v="1284"/>
    <n v="38.06"/>
    <x v="3"/>
    <x v="3"/>
    <x v="28"/>
    <n v="2.84"/>
    <n v="0.2291"/>
    <x v="6"/>
    <m/>
    <n v="0"/>
    <x v="4"/>
    <x v="6"/>
    <x v="42"/>
    <x v="1"/>
    <x v="2"/>
    <x v="0"/>
  </r>
  <r>
    <x v="1285"/>
    <n v="38.06"/>
    <x v="3"/>
    <x v="3"/>
    <x v="23"/>
    <n v="2.4500000000000002"/>
    <n v="0.152"/>
    <x v="6"/>
    <m/>
    <n v="0"/>
    <x v="4"/>
    <x v="6"/>
    <x v="42"/>
    <x v="0"/>
    <x v="2"/>
    <x v="0"/>
  </r>
  <r>
    <x v="1286"/>
    <n v="37.46"/>
    <x v="882"/>
    <x v="488"/>
    <x v="23"/>
    <n v="2.4"/>
    <n v="0.1691"/>
    <x v="6"/>
    <m/>
    <n v="1"/>
    <x v="4"/>
    <x v="6"/>
    <x v="42"/>
    <x v="0"/>
    <x v="1"/>
    <x v="0"/>
  </r>
  <r>
    <x v="1287"/>
    <n v="38.29"/>
    <x v="883"/>
    <x v="829"/>
    <x v="16"/>
    <n v="2.84"/>
    <n v="0.18149999999999999"/>
    <x v="6"/>
    <m/>
    <n v="1"/>
    <x v="4"/>
    <x v="6"/>
    <x v="42"/>
    <x v="0"/>
    <x v="0"/>
    <x v="0"/>
  </r>
  <r>
    <x v="1288"/>
    <n v="37.450000000000003"/>
    <x v="884"/>
    <x v="830"/>
    <x v="16"/>
    <n v="2.84"/>
    <n v="0.26319999999999999"/>
    <x v="6"/>
    <m/>
    <n v="1"/>
    <x v="4"/>
    <x v="6"/>
    <x v="42"/>
    <x v="0"/>
    <x v="1"/>
    <x v="0"/>
  </r>
  <r>
    <x v="1289"/>
    <n v="37.57"/>
    <x v="885"/>
    <x v="831"/>
    <x v="13"/>
    <n v="3"/>
    <n v="0.17649999999999999"/>
    <x v="6"/>
    <m/>
    <n v="1"/>
    <x v="4"/>
    <x v="6"/>
    <x v="42"/>
    <x v="0"/>
    <x v="1"/>
    <x v="0"/>
  </r>
  <r>
    <x v="1290"/>
    <n v="37.380000000000003"/>
    <x v="886"/>
    <x v="832"/>
    <x v="16"/>
    <n v="2.2400000000000002"/>
    <n v="-2.6599999999999999E-2"/>
    <x v="6"/>
    <m/>
    <n v="1"/>
    <x v="4"/>
    <x v="6"/>
    <x v="42"/>
    <x v="1"/>
    <x v="1"/>
    <x v="1"/>
  </r>
  <r>
    <x v="1291"/>
    <n v="37.380000000000003"/>
    <x v="3"/>
    <x v="3"/>
    <x v="16"/>
    <n v="2.66"/>
    <n v="0.26119999999999999"/>
    <x v="6"/>
    <m/>
    <n v="0"/>
    <x v="4"/>
    <x v="6"/>
    <x v="42"/>
    <x v="1"/>
    <x v="2"/>
    <x v="0"/>
  </r>
  <r>
    <x v="1292"/>
    <n v="37.380000000000003"/>
    <x v="3"/>
    <x v="3"/>
    <x v="32"/>
    <n v="2.75"/>
    <n v="0.16669999999999999"/>
    <x v="6"/>
    <m/>
    <n v="0"/>
    <x v="4"/>
    <x v="6"/>
    <x v="42"/>
    <x v="0"/>
    <x v="2"/>
    <x v="0"/>
  </r>
  <r>
    <x v="1293"/>
    <n v="37.85"/>
    <x v="887"/>
    <x v="833"/>
    <x v="16"/>
    <n v="3.05"/>
    <n v="0.1885"/>
    <x v="6"/>
    <m/>
    <n v="1"/>
    <x v="4"/>
    <x v="6"/>
    <x v="42"/>
    <x v="0"/>
    <x v="0"/>
    <x v="0"/>
  </r>
  <r>
    <x v="1294"/>
    <n v="39.18"/>
    <x v="888"/>
    <x v="834"/>
    <x v="16"/>
    <n v="2.5499999999999998"/>
    <n v="0.10730000000000001"/>
    <x v="6"/>
    <m/>
    <n v="1"/>
    <x v="4"/>
    <x v="6"/>
    <x v="42"/>
    <x v="0"/>
    <x v="0"/>
    <x v="0"/>
  </r>
  <r>
    <x v="1295"/>
    <n v="38.15"/>
    <x v="889"/>
    <x v="835"/>
    <x v="13"/>
    <n v="3.08"/>
    <n v="0.28399999999999997"/>
    <x v="6"/>
    <m/>
    <n v="1"/>
    <x v="4"/>
    <x v="6"/>
    <x v="42"/>
    <x v="0"/>
    <x v="1"/>
    <x v="0"/>
  </r>
  <r>
    <x v="1296"/>
    <n v="37.46"/>
    <x v="890"/>
    <x v="836"/>
    <x v="41"/>
    <n v="2.85"/>
    <n v="0.1706"/>
    <x v="6"/>
    <m/>
    <n v="1"/>
    <x v="4"/>
    <x v="6"/>
    <x v="42"/>
    <x v="0"/>
    <x v="1"/>
    <x v="0"/>
  </r>
  <r>
    <x v="1297"/>
    <n v="37.35"/>
    <x v="891"/>
    <x v="837"/>
    <x v="6"/>
    <n v="2.97"/>
    <n v="0.22600000000000001"/>
    <x v="6"/>
    <m/>
    <n v="1"/>
    <x v="4"/>
    <x v="7"/>
    <x v="43"/>
    <x v="1"/>
    <x v="1"/>
    <x v="0"/>
  </r>
  <r>
    <x v="1298"/>
    <n v="37.35"/>
    <x v="3"/>
    <x v="3"/>
    <x v="8"/>
    <n v="3.08"/>
    <n v="0.35859999999999997"/>
    <x v="6"/>
    <m/>
    <n v="0"/>
    <x v="4"/>
    <x v="7"/>
    <x v="43"/>
    <x v="1"/>
    <x v="2"/>
    <x v="0"/>
  </r>
  <r>
    <x v="1299"/>
    <n v="37.35"/>
    <x v="3"/>
    <x v="3"/>
    <x v="11"/>
    <n v="2.73"/>
    <n v="4.3400000000000001E-2"/>
    <x v="6"/>
    <m/>
    <n v="0"/>
    <x v="4"/>
    <x v="7"/>
    <x v="43"/>
    <x v="0"/>
    <x v="2"/>
    <x v="1"/>
  </r>
  <r>
    <x v="1300"/>
    <n v="39.15"/>
    <x v="892"/>
    <x v="838"/>
    <x v="1"/>
    <n v="2.81"/>
    <n v="0.16980000000000001"/>
    <x v="6"/>
    <m/>
    <n v="1"/>
    <x v="4"/>
    <x v="7"/>
    <x v="43"/>
    <x v="0"/>
    <x v="0"/>
    <x v="0"/>
  </r>
  <r>
    <x v="1301"/>
    <n v="38.01"/>
    <x v="893"/>
    <x v="839"/>
    <x v="13"/>
    <n v="2.88"/>
    <n v="0.32569999999999999"/>
    <x v="6"/>
    <m/>
    <n v="1"/>
    <x v="4"/>
    <x v="7"/>
    <x v="43"/>
    <x v="0"/>
    <x v="1"/>
    <x v="0"/>
  </r>
  <r>
    <x v="1302"/>
    <n v="36.83"/>
    <x v="894"/>
    <x v="715"/>
    <x v="13"/>
    <n v="2.9"/>
    <n v="0.3115"/>
    <x v="6"/>
    <m/>
    <n v="1"/>
    <x v="4"/>
    <x v="7"/>
    <x v="43"/>
    <x v="0"/>
    <x v="1"/>
    <x v="0"/>
  </r>
  <r>
    <x v="1303"/>
    <n v="36.22"/>
    <x v="895"/>
    <x v="840"/>
    <x v="5"/>
    <n v="2.94"/>
    <n v="0.24629999999999999"/>
    <x v="6"/>
    <m/>
    <n v="1"/>
    <x v="4"/>
    <x v="7"/>
    <x v="43"/>
    <x v="0"/>
    <x v="1"/>
    <x v="0"/>
  </r>
  <r>
    <x v="1304"/>
    <n v="35.590000000000003"/>
    <x v="896"/>
    <x v="841"/>
    <x v="5"/>
    <n v="2.82"/>
    <n v="0.15790000000000001"/>
    <x v="6"/>
    <m/>
    <n v="1"/>
    <x v="4"/>
    <x v="7"/>
    <x v="43"/>
    <x v="1"/>
    <x v="1"/>
    <x v="0"/>
  </r>
  <r>
    <x v="1305"/>
    <n v="35.590000000000003"/>
    <x v="3"/>
    <x v="3"/>
    <x v="13"/>
    <n v="2.5"/>
    <n v="0.1754"/>
    <x v="6"/>
    <m/>
    <n v="0"/>
    <x v="4"/>
    <x v="7"/>
    <x v="43"/>
    <x v="1"/>
    <x v="2"/>
    <x v="0"/>
  </r>
  <r>
    <x v="1306"/>
    <n v="35.590000000000003"/>
    <x v="3"/>
    <x v="3"/>
    <x v="8"/>
    <n v="2.98"/>
    <n v="0.26529999999999998"/>
    <x v="6"/>
    <m/>
    <n v="0"/>
    <x v="4"/>
    <x v="7"/>
    <x v="43"/>
    <x v="0"/>
    <x v="2"/>
    <x v="0"/>
  </r>
  <r>
    <x v="1307"/>
    <n v="34.799999999999997"/>
    <x v="897"/>
    <x v="842"/>
    <x v="12"/>
    <n v="3.09"/>
    <n v="0.1794"/>
    <x v="6"/>
    <m/>
    <n v="1"/>
    <x v="4"/>
    <x v="7"/>
    <x v="43"/>
    <x v="0"/>
    <x v="1"/>
    <x v="0"/>
  </r>
  <r>
    <x v="1308"/>
    <n v="34.409999999999997"/>
    <x v="898"/>
    <x v="843"/>
    <x v="26"/>
    <n v="2.86"/>
    <n v="0.20830000000000001"/>
    <x v="6"/>
    <m/>
    <n v="1"/>
    <x v="4"/>
    <x v="7"/>
    <x v="43"/>
    <x v="0"/>
    <x v="1"/>
    <x v="0"/>
  </r>
  <r>
    <x v="1309"/>
    <n v="35.04"/>
    <x v="899"/>
    <x v="91"/>
    <x v="1"/>
    <n v="2.65"/>
    <n v="0.15790000000000001"/>
    <x v="6"/>
    <m/>
    <n v="1"/>
    <x v="4"/>
    <x v="7"/>
    <x v="43"/>
    <x v="0"/>
    <x v="0"/>
    <x v="0"/>
  </r>
  <r>
    <x v="1310"/>
    <n v="34.11"/>
    <x v="900"/>
    <x v="844"/>
    <x v="18"/>
    <n v="2.96"/>
    <n v="0.26290000000000002"/>
    <x v="6"/>
    <m/>
    <n v="1"/>
    <x v="4"/>
    <x v="7"/>
    <x v="43"/>
    <x v="1"/>
    <x v="1"/>
    <x v="0"/>
  </r>
  <r>
    <x v="1311"/>
    <n v="34.11"/>
    <x v="3"/>
    <x v="3"/>
    <x v="32"/>
    <n v="3.02"/>
    <n v="0.21149999999999999"/>
    <x v="6"/>
    <m/>
    <n v="0"/>
    <x v="4"/>
    <x v="7"/>
    <x v="43"/>
    <x v="1"/>
    <x v="2"/>
    <x v="0"/>
  </r>
  <r>
    <x v="1312"/>
    <n v="34.11"/>
    <x v="3"/>
    <x v="3"/>
    <x v="19"/>
    <n v="3.7"/>
    <n v="0.44790000000000002"/>
    <x v="6"/>
    <m/>
    <n v="0"/>
    <x v="4"/>
    <x v="7"/>
    <x v="43"/>
    <x v="1"/>
    <x v="2"/>
    <x v="0"/>
  </r>
  <r>
    <x v="1313"/>
    <n v="34.11"/>
    <x v="3"/>
    <x v="3"/>
    <x v="10"/>
    <n v="2.59"/>
    <n v="0.154"/>
    <x v="6"/>
    <m/>
    <n v="0"/>
    <x v="4"/>
    <x v="7"/>
    <x v="43"/>
    <x v="0"/>
    <x v="2"/>
    <x v="0"/>
  </r>
  <r>
    <x v="1314"/>
    <n v="33.79"/>
    <x v="901"/>
    <x v="845"/>
    <x v="16"/>
    <n v="2.84"/>
    <n v="0.255"/>
    <x v="6"/>
    <m/>
    <n v="1"/>
    <x v="4"/>
    <x v="7"/>
    <x v="43"/>
    <x v="0"/>
    <x v="1"/>
    <x v="0"/>
  </r>
  <r>
    <x v="1315"/>
    <n v="34.86"/>
    <x v="902"/>
    <x v="846"/>
    <x v="32"/>
    <n v="2.65"/>
    <n v="0.20699999999999999"/>
    <x v="6"/>
    <m/>
    <n v="1"/>
    <x v="4"/>
    <x v="7"/>
    <x v="43"/>
    <x v="0"/>
    <x v="0"/>
    <x v="0"/>
  </r>
  <r>
    <x v="1316"/>
    <n v="22.62"/>
    <x v="903"/>
    <x v="847"/>
    <x v="51"/>
    <n v="2.69"/>
    <n v="0.18690000000000001"/>
    <x v="6"/>
    <m/>
    <n v="1"/>
    <x v="4"/>
    <x v="7"/>
    <x v="43"/>
    <x v="0"/>
    <x v="1"/>
    <x v="0"/>
  </r>
  <r>
    <x v="1317"/>
    <n v="21.82"/>
    <x v="904"/>
    <x v="848"/>
    <x v="34"/>
    <n v="2.64"/>
    <n v="0.26960000000000001"/>
    <x v="6"/>
    <m/>
    <n v="1"/>
    <x v="4"/>
    <x v="7"/>
    <x v="43"/>
    <x v="0"/>
    <x v="1"/>
    <x v="0"/>
  </r>
  <r>
    <x v="1318"/>
    <n v="21.55"/>
    <x v="905"/>
    <x v="849"/>
    <x v="1"/>
    <n v="2.4300000000000002"/>
    <n v="0.22819999999999999"/>
    <x v="6"/>
    <m/>
    <n v="1"/>
    <x v="4"/>
    <x v="7"/>
    <x v="43"/>
    <x v="1"/>
    <x v="1"/>
    <x v="0"/>
  </r>
  <r>
    <x v="1319"/>
    <n v="21.55"/>
    <x v="3"/>
    <x v="3"/>
    <x v="28"/>
    <n v="2.39"/>
    <n v="0.1396"/>
    <x v="6"/>
    <m/>
    <n v="0"/>
    <x v="4"/>
    <x v="7"/>
    <x v="43"/>
    <x v="1"/>
    <x v="2"/>
    <x v="0"/>
  </r>
  <r>
    <x v="1320"/>
    <n v="21.55"/>
    <x v="3"/>
    <x v="3"/>
    <x v="47"/>
    <n v="2.5299999999999998"/>
    <n v="0.15240000000000001"/>
    <x v="6"/>
    <m/>
    <n v="0"/>
    <x v="4"/>
    <x v="7"/>
    <x v="43"/>
    <x v="0"/>
    <x v="2"/>
    <x v="0"/>
  </r>
  <r>
    <x v="1321"/>
    <n v="20.99"/>
    <x v="906"/>
    <x v="850"/>
    <x v="17"/>
    <n v="2.13"/>
    <n v="0.14180000000000001"/>
    <x v="6"/>
    <m/>
    <n v="1"/>
    <x v="4"/>
    <x v="7"/>
    <x v="43"/>
    <x v="0"/>
    <x v="1"/>
    <x v="0"/>
  </r>
  <r>
    <x v="1322"/>
    <n v="19.84"/>
    <x v="907"/>
    <x v="576"/>
    <x v="13"/>
    <n v="2.2200000000000002"/>
    <n v="0.12909999999999999"/>
    <x v="6"/>
    <m/>
    <n v="1"/>
    <x v="4"/>
    <x v="7"/>
    <x v="43"/>
    <x v="0"/>
    <x v="1"/>
    <x v="0"/>
  </r>
  <r>
    <x v="1323"/>
    <n v="18.850000000000001"/>
    <x v="908"/>
    <x v="195"/>
    <x v="16"/>
    <n v="3.03"/>
    <n v="0.21440000000000001"/>
    <x v="6"/>
    <m/>
    <n v="1"/>
    <x v="4"/>
    <x v="7"/>
    <x v="43"/>
    <x v="0"/>
    <x v="1"/>
    <x v="0"/>
  </r>
  <r>
    <x v="1324"/>
    <n v="19.95"/>
    <x v="909"/>
    <x v="851"/>
    <x v="27"/>
    <n v="2.4700000000000002"/>
    <n v="0.16839999999999999"/>
    <x v="6"/>
    <m/>
    <n v="1"/>
    <x v="4"/>
    <x v="7"/>
    <x v="43"/>
    <x v="0"/>
    <x v="0"/>
    <x v="0"/>
  </r>
  <r>
    <x v="1325"/>
    <n v="19.04"/>
    <x v="910"/>
    <x v="852"/>
    <x v="5"/>
    <n v="2.79"/>
    <n v="0.1502"/>
    <x v="6"/>
    <m/>
    <n v="1"/>
    <x v="4"/>
    <x v="7"/>
    <x v="43"/>
    <x v="1"/>
    <x v="1"/>
    <x v="0"/>
  </r>
  <r>
    <x v="1326"/>
    <n v="19.04"/>
    <x v="3"/>
    <x v="3"/>
    <x v="16"/>
    <n v="2.66"/>
    <n v="8.9700000000000002E-2"/>
    <x v="6"/>
    <m/>
    <n v="0"/>
    <x v="4"/>
    <x v="7"/>
    <x v="43"/>
    <x v="1"/>
    <x v="2"/>
    <x v="1"/>
  </r>
  <r>
    <x v="1327"/>
    <n v="19.04"/>
    <x v="3"/>
    <x v="3"/>
    <x v="13"/>
    <n v="2.78"/>
    <n v="0.27729999999999999"/>
    <x v="6"/>
    <m/>
    <n v="0"/>
    <x v="4"/>
    <x v="8"/>
    <x v="44"/>
    <x v="0"/>
    <x v="2"/>
    <x v="0"/>
  </r>
  <r>
    <x v="1328"/>
    <n v="19.95"/>
    <x v="911"/>
    <x v="853"/>
    <x v="11"/>
    <n v="2.63"/>
    <n v="0.1255"/>
    <x v="6"/>
    <m/>
    <n v="1"/>
    <x v="4"/>
    <x v="8"/>
    <x v="44"/>
    <x v="0"/>
    <x v="0"/>
    <x v="0"/>
  </r>
  <r>
    <x v="1329"/>
    <n v="19.989999999999998"/>
    <x v="912"/>
    <x v="854"/>
    <x v="1"/>
    <n v="2.86"/>
    <n v="0.20150000000000001"/>
    <x v="6"/>
    <m/>
    <n v="1"/>
    <x v="4"/>
    <x v="8"/>
    <x v="44"/>
    <x v="0"/>
    <x v="0"/>
    <x v="0"/>
  </r>
  <r>
    <x v="1330"/>
    <n v="20.399999999999999"/>
    <x v="913"/>
    <x v="855"/>
    <x v="2"/>
    <n v="3.03"/>
    <n v="0.27160000000000001"/>
    <x v="6"/>
    <m/>
    <n v="1"/>
    <x v="4"/>
    <x v="8"/>
    <x v="44"/>
    <x v="0"/>
    <x v="0"/>
    <x v="0"/>
  </r>
  <r>
    <x v="1331"/>
    <n v="18.829999999999998"/>
    <x v="914"/>
    <x v="856"/>
    <x v="3"/>
    <n v="2.75"/>
    <n v="0.36059999999999998"/>
    <x v="6"/>
    <m/>
    <n v="1"/>
    <x v="4"/>
    <x v="8"/>
    <x v="44"/>
    <x v="0"/>
    <x v="1"/>
    <x v="0"/>
  </r>
  <r>
    <x v="1332"/>
    <n v="18.100000000000001"/>
    <x v="915"/>
    <x v="857"/>
    <x v="6"/>
    <n v="2.97"/>
    <n v="0.31640000000000001"/>
    <x v="6"/>
    <m/>
    <n v="1"/>
    <x v="4"/>
    <x v="8"/>
    <x v="44"/>
    <x v="1"/>
    <x v="1"/>
    <x v="0"/>
  </r>
  <r>
    <x v="1333"/>
    <n v="18.100000000000001"/>
    <x v="3"/>
    <x v="3"/>
    <x v="12"/>
    <n v="2.38"/>
    <n v="0.1817"/>
    <x v="6"/>
    <m/>
    <n v="0"/>
    <x v="4"/>
    <x v="8"/>
    <x v="44"/>
    <x v="1"/>
    <x v="2"/>
    <x v="0"/>
  </r>
  <r>
    <x v="1334"/>
    <n v="18.100000000000001"/>
    <x v="3"/>
    <x v="3"/>
    <x v="17"/>
    <n v="2.27"/>
    <n v="0.18"/>
    <x v="6"/>
    <m/>
    <n v="0"/>
    <x v="4"/>
    <x v="8"/>
    <x v="44"/>
    <x v="0"/>
    <x v="2"/>
    <x v="0"/>
  </r>
  <r>
    <x v="1335"/>
    <n v="17.309999999999999"/>
    <x v="916"/>
    <x v="858"/>
    <x v="37"/>
    <n v="3.06"/>
    <n v="0.1799"/>
    <x v="6"/>
    <m/>
    <n v="1"/>
    <x v="4"/>
    <x v="8"/>
    <x v="44"/>
    <x v="0"/>
    <x v="1"/>
    <x v="0"/>
  </r>
  <r>
    <x v="1336"/>
    <n v="17.77"/>
    <x v="917"/>
    <x v="311"/>
    <x v="5"/>
    <n v="2.33"/>
    <n v="0.1212"/>
    <x v="6"/>
    <m/>
    <n v="1"/>
    <x v="4"/>
    <x v="8"/>
    <x v="44"/>
    <x v="0"/>
    <x v="0"/>
    <x v="0"/>
  </r>
  <r>
    <x v="1337"/>
    <n v="16.64"/>
    <x v="918"/>
    <x v="859"/>
    <x v="17"/>
    <n v="2.64"/>
    <n v="6.9000000000000006E-2"/>
    <x v="6"/>
    <m/>
    <n v="1"/>
    <x v="4"/>
    <x v="8"/>
    <x v="44"/>
    <x v="0"/>
    <x v="1"/>
    <x v="1"/>
  </r>
  <r>
    <x v="1338"/>
    <n v="17.43"/>
    <x v="919"/>
    <x v="860"/>
    <x v="4"/>
    <n v="2.78"/>
    <n v="0.17469999999999999"/>
    <x v="6"/>
    <m/>
    <n v="1"/>
    <x v="4"/>
    <x v="8"/>
    <x v="44"/>
    <x v="0"/>
    <x v="0"/>
    <x v="0"/>
  </r>
  <r>
    <x v="1339"/>
    <n v="18.760000000000002"/>
    <x v="920"/>
    <x v="861"/>
    <x v="1"/>
    <n v="2.78"/>
    <n v="0.21990000000000001"/>
    <x v="6"/>
    <m/>
    <n v="1"/>
    <x v="4"/>
    <x v="8"/>
    <x v="44"/>
    <x v="1"/>
    <x v="0"/>
    <x v="0"/>
  </r>
  <r>
    <x v="1340"/>
    <n v="18.760000000000002"/>
    <x v="3"/>
    <x v="3"/>
    <x v="19"/>
    <n v="3.14"/>
    <n v="0.2278"/>
    <x v="6"/>
    <m/>
    <n v="0"/>
    <x v="4"/>
    <x v="8"/>
    <x v="44"/>
    <x v="1"/>
    <x v="2"/>
    <x v="0"/>
  </r>
  <r>
    <x v="1341"/>
    <n v="18.760000000000002"/>
    <x v="3"/>
    <x v="3"/>
    <x v="34"/>
    <n v="2.77"/>
    <n v="0.19450000000000001"/>
    <x v="6"/>
    <m/>
    <n v="0"/>
    <x v="4"/>
    <x v="8"/>
    <x v="44"/>
    <x v="0"/>
    <x v="2"/>
    <x v="0"/>
  </r>
  <r>
    <x v="1342"/>
    <n v="18.649999999999999"/>
    <x v="921"/>
    <x v="862"/>
    <x v="7"/>
    <n v="2.4900000000000002"/>
    <n v="0.1187"/>
    <x v="6"/>
    <m/>
    <n v="1"/>
    <x v="4"/>
    <x v="8"/>
    <x v="44"/>
    <x v="0"/>
    <x v="1"/>
    <x v="0"/>
  </r>
  <r>
    <x v="1343"/>
    <n v="19.059999999999999"/>
    <x v="922"/>
    <x v="863"/>
    <x v="13"/>
    <n v="3.12"/>
    <n v="0.1812"/>
    <x v="6"/>
    <m/>
    <n v="1"/>
    <x v="4"/>
    <x v="8"/>
    <x v="44"/>
    <x v="0"/>
    <x v="0"/>
    <x v="0"/>
  </r>
  <r>
    <x v="1344"/>
    <n v="17.72"/>
    <x v="923"/>
    <x v="864"/>
    <x v="18"/>
    <n v="2.65"/>
    <n v="0.21290000000000001"/>
    <x v="6"/>
    <m/>
    <n v="1"/>
    <x v="4"/>
    <x v="8"/>
    <x v="44"/>
    <x v="0"/>
    <x v="1"/>
    <x v="0"/>
  </r>
  <r>
    <x v="1345"/>
    <n v="18.350000000000001"/>
    <x v="924"/>
    <x v="865"/>
    <x v="37"/>
    <n v="2.69"/>
    <n v="0.1071"/>
    <x v="6"/>
    <m/>
    <n v="1"/>
    <x v="4"/>
    <x v="8"/>
    <x v="44"/>
    <x v="0"/>
    <x v="0"/>
    <x v="0"/>
  </r>
  <r>
    <x v="1346"/>
    <n v="18.64"/>
    <x v="105"/>
    <x v="866"/>
    <x v="38"/>
    <n v="2.4500000000000002"/>
    <n v="0.1409"/>
    <x v="6"/>
    <m/>
    <n v="1"/>
    <x v="4"/>
    <x v="8"/>
    <x v="44"/>
    <x v="1"/>
    <x v="0"/>
    <x v="0"/>
  </r>
  <r>
    <x v="1347"/>
    <n v="18.64"/>
    <x v="3"/>
    <x v="3"/>
    <x v="12"/>
    <n v="2.85"/>
    <n v="0.2253"/>
    <x v="6"/>
    <m/>
    <n v="0"/>
    <x v="4"/>
    <x v="8"/>
    <x v="44"/>
    <x v="1"/>
    <x v="2"/>
    <x v="0"/>
  </r>
  <r>
    <x v="1348"/>
    <n v="18.64"/>
    <x v="3"/>
    <x v="3"/>
    <x v="17"/>
    <n v="2.38"/>
    <n v="0.1731"/>
    <x v="6"/>
    <m/>
    <n v="0"/>
    <x v="4"/>
    <x v="8"/>
    <x v="44"/>
    <x v="0"/>
    <x v="2"/>
    <x v="0"/>
  </r>
  <r>
    <x v="1349"/>
    <n v="18.739999999999998"/>
    <x v="925"/>
    <x v="867"/>
    <x v="16"/>
    <n v="2.66"/>
    <n v="0.10009999999999999"/>
    <x v="6"/>
    <m/>
    <n v="1"/>
    <x v="4"/>
    <x v="8"/>
    <x v="44"/>
    <x v="0"/>
    <x v="0"/>
    <x v="0"/>
  </r>
  <r>
    <x v="1350"/>
    <n v="18.03"/>
    <x v="926"/>
    <x v="868"/>
    <x v="1"/>
    <n v="2.3199999999999998"/>
    <n v="0.14149999999999999"/>
    <x v="6"/>
    <m/>
    <n v="1"/>
    <x v="4"/>
    <x v="8"/>
    <x v="44"/>
    <x v="0"/>
    <x v="1"/>
    <x v="0"/>
  </r>
  <r>
    <x v="1351"/>
    <n v="18.78"/>
    <x v="927"/>
    <x v="869"/>
    <x v="36"/>
    <n v="3"/>
    <n v="0.23319999999999999"/>
    <x v="6"/>
    <m/>
    <n v="1"/>
    <x v="4"/>
    <x v="8"/>
    <x v="44"/>
    <x v="0"/>
    <x v="0"/>
    <x v="0"/>
  </r>
  <r>
    <x v="1352"/>
    <n v="19.14"/>
    <x v="928"/>
    <x v="870"/>
    <x v="4"/>
    <n v="2.83"/>
    <n v="8.5300000000000001E-2"/>
    <x v="6"/>
    <m/>
    <n v="1"/>
    <x v="4"/>
    <x v="8"/>
    <x v="44"/>
    <x v="0"/>
    <x v="0"/>
    <x v="1"/>
  </r>
  <r>
    <x v="1353"/>
    <n v="19.52"/>
    <x v="929"/>
    <x v="129"/>
    <x v="10"/>
    <n v="2.54"/>
    <n v="0.18770000000000001"/>
    <x v="6"/>
    <m/>
    <n v="1"/>
    <x v="4"/>
    <x v="8"/>
    <x v="44"/>
    <x v="1"/>
    <x v="0"/>
    <x v="0"/>
  </r>
  <r>
    <x v="1354"/>
    <n v="19.52"/>
    <x v="3"/>
    <x v="3"/>
    <x v="49"/>
    <n v="2.5099999999999998"/>
    <n v="8.6599999999999996E-2"/>
    <x v="6"/>
    <m/>
    <n v="0"/>
    <x v="4"/>
    <x v="8"/>
    <x v="44"/>
    <x v="1"/>
    <x v="2"/>
    <x v="1"/>
  </r>
  <r>
    <x v="1355"/>
    <n v="19.52"/>
    <x v="3"/>
    <x v="3"/>
    <x v="35"/>
    <n v="3.06"/>
    <n v="0.11310000000000001"/>
    <x v="6"/>
    <m/>
    <n v="0"/>
    <x v="4"/>
    <x v="8"/>
    <x v="44"/>
    <x v="1"/>
    <x v="2"/>
    <x v="0"/>
  </r>
  <r>
    <x v="1356"/>
    <n v="19.52"/>
    <x v="3"/>
    <x v="3"/>
    <x v="41"/>
    <n v="2.29"/>
    <n v="0.1658"/>
    <x v="6"/>
    <m/>
    <n v="0"/>
    <x v="4"/>
    <x v="8"/>
    <x v="44"/>
    <x v="0"/>
    <x v="2"/>
    <x v="0"/>
  </r>
  <r>
    <x v="1357"/>
    <n v="19.739999999999998"/>
    <x v="930"/>
    <x v="618"/>
    <x v="19"/>
    <n v="2.74"/>
    <n v="0.15579999999999999"/>
    <x v="6"/>
    <m/>
    <n v="1"/>
    <x v="4"/>
    <x v="8"/>
    <x v="44"/>
    <x v="0"/>
    <x v="0"/>
    <x v="0"/>
  </r>
  <r>
    <x v="1358"/>
    <n v="19.29"/>
    <x v="931"/>
    <x v="871"/>
    <x v="40"/>
    <n v="2.81"/>
    <n v="0.24249999999999999"/>
    <x v="6"/>
    <m/>
    <n v="1"/>
    <x v="4"/>
    <x v="9"/>
    <x v="45"/>
    <x v="0"/>
    <x v="1"/>
    <x v="0"/>
  </r>
  <r>
    <x v="1359"/>
    <n v="20.51"/>
    <x v="932"/>
    <x v="872"/>
    <x v="24"/>
    <n v="3.1"/>
    <n v="0.14480000000000001"/>
    <x v="6"/>
    <m/>
    <n v="1"/>
    <x v="4"/>
    <x v="9"/>
    <x v="45"/>
    <x v="0"/>
    <x v="0"/>
    <x v="0"/>
  </r>
  <r>
    <x v="1360"/>
    <n v="19.899999999999999"/>
    <x v="933"/>
    <x v="873"/>
    <x v="1"/>
    <n v="2.81"/>
    <n v="0.1951"/>
    <x v="6"/>
    <m/>
    <n v="1"/>
    <x v="4"/>
    <x v="9"/>
    <x v="45"/>
    <x v="1"/>
    <x v="1"/>
    <x v="0"/>
  </r>
  <r>
    <x v="1361"/>
    <n v="19.899999999999999"/>
    <x v="3"/>
    <x v="3"/>
    <x v="7"/>
    <n v="2.86"/>
    <n v="0.22720000000000001"/>
    <x v="6"/>
    <m/>
    <n v="0"/>
    <x v="4"/>
    <x v="9"/>
    <x v="45"/>
    <x v="1"/>
    <x v="2"/>
    <x v="0"/>
  </r>
  <r>
    <x v="1362"/>
    <n v="19.899999999999999"/>
    <x v="3"/>
    <x v="3"/>
    <x v="40"/>
    <n v="3.11"/>
    <n v="0.19889999999999999"/>
    <x v="6"/>
    <m/>
    <n v="0"/>
    <x v="4"/>
    <x v="9"/>
    <x v="45"/>
    <x v="0"/>
    <x v="2"/>
    <x v="0"/>
  </r>
  <r>
    <x v="1363"/>
    <n v="19.71"/>
    <x v="934"/>
    <x v="874"/>
    <x v="5"/>
    <n v="3.21"/>
    <n v="0.22140000000000001"/>
    <x v="6"/>
    <m/>
    <n v="1"/>
    <x v="4"/>
    <x v="9"/>
    <x v="45"/>
    <x v="0"/>
    <x v="1"/>
    <x v="0"/>
  </r>
  <r>
    <x v="1364"/>
    <n v="19.86"/>
    <x v="935"/>
    <x v="875"/>
    <x v="12"/>
    <n v="2.77"/>
    <n v="0.1469"/>
    <x v="6"/>
    <m/>
    <n v="1"/>
    <x v="4"/>
    <x v="9"/>
    <x v="45"/>
    <x v="0"/>
    <x v="0"/>
    <x v="0"/>
  </r>
  <r>
    <x v="1365"/>
    <n v="20.28"/>
    <x v="936"/>
    <x v="876"/>
    <x v="7"/>
    <n v="2.4"/>
    <n v="0.1837"/>
    <x v="6"/>
    <m/>
    <n v="1"/>
    <x v="4"/>
    <x v="9"/>
    <x v="45"/>
    <x v="0"/>
    <x v="0"/>
    <x v="0"/>
  </r>
  <r>
    <x v="1366"/>
    <n v="19.28"/>
    <x v="937"/>
    <x v="877"/>
    <x v="6"/>
    <n v="2.86"/>
    <n v="0.2"/>
    <x v="6"/>
    <m/>
    <n v="1"/>
    <x v="4"/>
    <x v="9"/>
    <x v="45"/>
    <x v="0"/>
    <x v="1"/>
    <x v="0"/>
  </r>
  <r>
    <x v="1367"/>
    <n v="18.29"/>
    <x v="938"/>
    <x v="878"/>
    <x v="27"/>
    <n v="3.27"/>
    <n v="0.29820000000000002"/>
    <x v="6"/>
    <m/>
    <n v="1"/>
    <x v="4"/>
    <x v="9"/>
    <x v="45"/>
    <x v="1"/>
    <x v="0"/>
    <x v="0"/>
  </r>
  <r>
    <x v="1368"/>
    <n v="18.29"/>
    <x v="3"/>
    <x v="3"/>
    <x v="26"/>
    <n v="2.93"/>
    <n v="0.30830000000000002"/>
    <x v="6"/>
    <m/>
    <n v="0"/>
    <x v="4"/>
    <x v="9"/>
    <x v="45"/>
    <x v="1"/>
    <x v="2"/>
    <x v="0"/>
  </r>
  <r>
    <x v="1369"/>
    <n v="18.29"/>
    <x v="3"/>
    <x v="3"/>
    <x v="7"/>
    <n v="2.77"/>
    <n v="0.2984"/>
    <x v="6"/>
    <m/>
    <n v="0"/>
    <x v="4"/>
    <x v="9"/>
    <x v="45"/>
    <x v="0"/>
    <x v="2"/>
    <x v="0"/>
  </r>
  <r>
    <x v="1370"/>
    <n v="16.97"/>
    <x v="939"/>
    <x v="879"/>
    <x v="36"/>
    <n v="2.75"/>
    <n v="0.17469999999999999"/>
    <x v="6"/>
    <m/>
    <n v="1"/>
    <x v="4"/>
    <x v="9"/>
    <x v="45"/>
    <x v="0"/>
    <x v="1"/>
    <x v="0"/>
  </r>
  <r>
    <x v="1371"/>
    <n v="16.75"/>
    <x v="940"/>
    <x v="880"/>
    <x v="16"/>
    <n v="2.5"/>
    <n v="0.19089999999999999"/>
    <x v="6"/>
    <m/>
    <n v="1"/>
    <x v="4"/>
    <x v="9"/>
    <x v="45"/>
    <x v="0"/>
    <x v="1"/>
    <x v="0"/>
  </r>
  <r>
    <x v="1372"/>
    <n v="18.010000000000002"/>
    <x v="941"/>
    <x v="881"/>
    <x v="2"/>
    <n v="2.82"/>
    <n v="0.2606"/>
    <x v="6"/>
    <m/>
    <n v="1"/>
    <x v="4"/>
    <x v="9"/>
    <x v="45"/>
    <x v="0"/>
    <x v="0"/>
    <x v="0"/>
  </r>
  <r>
    <x v="1373"/>
    <n v="17.329999999999998"/>
    <x v="942"/>
    <x v="882"/>
    <x v="43"/>
    <n v="3.28"/>
    <n v="0.19589999999999999"/>
    <x v="6"/>
    <m/>
    <n v="1"/>
    <x v="4"/>
    <x v="9"/>
    <x v="45"/>
    <x v="0"/>
    <x v="1"/>
    <x v="0"/>
  </r>
  <r>
    <x v="1374"/>
    <n v="17.55"/>
    <x v="943"/>
    <x v="883"/>
    <x v="41"/>
    <n v="2.2000000000000002"/>
    <n v="8.0799999999999997E-2"/>
    <x v="6"/>
    <m/>
    <n v="1"/>
    <x v="4"/>
    <x v="9"/>
    <x v="45"/>
    <x v="1"/>
    <x v="0"/>
    <x v="1"/>
  </r>
  <r>
    <x v="1375"/>
    <n v="17.55"/>
    <x v="3"/>
    <x v="3"/>
    <x v="1"/>
    <n v="2.65"/>
    <n v="0.249"/>
    <x v="6"/>
    <m/>
    <n v="0"/>
    <x v="4"/>
    <x v="9"/>
    <x v="45"/>
    <x v="1"/>
    <x v="2"/>
    <x v="0"/>
  </r>
  <r>
    <x v="1376"/>
    <n v="17.55"/>
    <x v="3"/>
    <x v="3"/>
    <x v="10"/>
    <n v="2.72"/>
    <n v="0.1431"/>
    <x v="6"/>
    <m/>
    <n v="0"/>
    <x v="4"/>
    <x v="9"/>
    <x v="45"/>
    <x v="1"/>
    <x v="2"/>
    <x v="0"/>
  </r>
  <r>
    <x v="1377"/>
    <n v="17.55"/>
    <x v="3"/>
    <x v="3"/>
    <x v="12"/>
    <n v="3.15"/>
    <n v="0.27860000000000001"/>
    <x v="6"/>
    <m/>
    <n v="0"/>
    <x v="4"/>
    <x v="9"/>
    <x v="45"/>
    <x v="0"/>
    <x v="2"/>
    <x v="0"/>
  </r>
  <r>
    <x v="1378"/>
    <n v="17.09"/>
    <x v="944"/>
    <x v="884"/>
    <x v="13"/>
    <n v="3.05"/>
    <n v="0.26500000000000001"/>
    <x v="6"/>
    <m/>
    <n v="1"/>
    <x v="4"/>
    <x v="9"/>
    <x v="45"/>
    <x v="0"/>
    <x v="1"/>
    <x v="0"/>
  </r>
  <r>
    <x v="1379"/>
    <n v="17.89"/>
    <x v="945"/>
    <x v="30"/>
    <x v="37"/>
    <n v="2.5299999999999998"/>
    <n v="9.6299999999999997E-2"/>
    <x v="6"/>
    <m/>
    <n v="1"/>
    <x v="4"/>
    <x v="9"/>
    <x v="45"/>
    <x v="0"/>
    <x v="0"/>
    <x v="1"/>
  </r>
  <r>
    <x v="1380"/>
    <n v="18.170000000000002"/>
    <x v="946"/>
    <x v="885"/>
    <x v="19"/>
    <n v="3.07"/>
    <n v="0.31030000000000002"/>
    <x v="6"/>
    <m/>
    <n v="1"/>
    <x v="4"/>
    <x v="9"/>
    <x v="45"/>
    <x v="0"/>
    <x v="0"/>
    <x v="0"/>
  </r>
  <r>
    <x v="1381"/>
    <n v="19.079999999999998"/>
    <x v="947"/>
    <x v="886"/>
    <x v="10"/>
    <n v="2.69"/>
    <n v="0.21740000000000001"/>
    <x v="6"/>
    <m/>
    <n v="1"/>
    <x v="4"/>
    <x v="9"/>
    <x v="45"/>
    <x v="1"/>
    <x v="0"/>
    <x v="0"/>
  </r>
  <r>
    <x v="1382"/>
    <n v="19.079999999999998"/>
    <x v="3"/>
    <x v="3"/>
    <x v="13"/>
    <n v="3.05"/>
    <n v="0.253"/>
    <x v="6"/>
    <m/>
    <n v="0"/>
    <x v="4"/>
    <x v="9"/>
    <x v="45"/>
    <x v="1"/>
    <x v="2"/>
    <x v="0"/>
  </r>
  <r>
    <x v="1383"/>
    <n v="19.079999999999998"/>
    <x v="3"/>
    <x v="3"/>
    <x v="42"/>
    <n v="2.98"/>
    <n v="0.3513"/>
    <x v="6"/>
    <m/>
    <n v="0"/>
    <x v="4"/>
    <x v="9"/>
    <x v="45"/>
    <x v="0"/>
    <x v="2"/>
    <x v="0"/>
  </r>
  <r>
    <x v="1384"/>
    <n v="18.91"/>
    <x v="948"/>
    <x v="887"/>
    <x v="37"/>
    <n v="2.69"/>
    <n v="0.23769999999999999"/>
    <x v="6"/>
    <m/>
    <n v="1"/>
    <x v="4"/>
    <x v="9"/>
    <x v="45"/>
    <x v="0"/>
    <x v="1"/>
    <x v="0"/>
  </r>
  <r>
    <x v="1385"/>
    <n v="17.96"/>
    <x v="949"/>
    <x v="888"/>
    <x v="17"/>
    <n v="2.5099999999999998"/>
    <n v="0.11700000000000001"/>
    <x v="6"/>
    <m/>
    <n v="1"/>
    <x v="4"/>
    <x v="9"/>
    <x v="45"/>
    <x v="0"/>
    <x v="1"/>
    <x v="0"/>
  </r>
  <r>
    <x v="1386"/>
    <n v="17.84"/>
    <x v="950"/>
    <x v="412"/>
    <x v="16"/>
    <n v="3.13"/>
    <n v="8.7900000000000006E-2"/>
    <x v="6"/>
    <m/>
    <n v="1"/>
    <x v="4"/>
    <x v="9"/>
    <x v="45"/>
    <x v="0"/>
    <x v="1"/>
    <x v="1"/>
  </r>
  <r>
    <x v="1387"/>
    <n v="17.489999999999998"/>
    <x v="951"/>
    <x v="889"/>
    <x v="3"/>
    <n v="3.14"/>
    <n v="0.4088"/>
    <x v="6"/>
    <m/>
    <n v="1"/>
    <x v="4"/>
    <x v="9"/>
    <x v="45"/>
    <x v="0"/>
    <x v="1"/>
    <x v="0"/>
  </r>
  <r>
    <x v="1388"/>
    <n v="18"/>
    <x v="952"/>
    <x v="890"/>
    <x v="17"/>
    <n v="2.62"/>
    <n v="0.2072"/>
    <x v="6"/>
    <m/>
    <n v="1"/>
    <x v="4"/>
    <x v="10"/>
    <x v="46"/>
    <x v="1"/>
    <x v="0"/>
    <x v="0"/>
  </r>
  <r>
    <x v="1389"/>
    <n v="18"/>
    <x v="3"/>
    <x v="3"/>
    <x v="32"/>
    <n v="2.94"/>
    <n v="0.34210000000000002"/>
    <x v="6"/>
    <m/>
    <n v="0"/>
    <x v="4"/>
    <x v="10"/>
    <x v="46"/>
    <x v="1"/>
    <x v="2"/>
    <x v="0"/>
  </r>
  <r>
    <x v="1390"/>
    <n v="18"/>
    <x v="3"/>
    <x v="3"/>
    <x v="2"/>
    <n v="2.74"/>
    <n v="0.12889999999999999"/>
    <x v="6"/>
    <m/>
    <n v="0"/>
    <x v="4"/>
    <x v="10"/>
    <x v="46"/>
    <x v="1"/>
    <x v="2"/>
    <x v="0"/>
  </r>
  <r>
    <x v="1391"/>
    <n v="18"/>
    <x v="3"/>
    <x v="3"/>
    <x v="10"/>
    <n v="3.21"/>
    <n v="0.20100000000000001"/>
    <x v="6"/>
    <m/>
    <n v="0"/>
    <x v="4"/>
    <x v="10"/>
    <x v="46"/>
    <x v="0"/>
    <x v="2"/>
    <x v="0"/>
  </r>
  <r>
    <x v="1392"/>
    <n v="18.59"/>
    <x v="953"/>
    <x v="891"/>
    <x v="103"/>
    <n v="2.73"/>
    <n v="0.29680000000000001"/>
    <x v="6"/>
    <m/>
    <n v="1"/>
    <x v="4"/>
    <x v="10"/>
    <x v="46"/>
    <x v="0"/>
    <x v="0"/>
    <x v="0"/>
  </r>
  <r>
    <x v="1393"/>
    <n v="18.41"/>
    <x v="954"/>
    <x v="892"/>
    <x v="12"/>
    <n v="2.72"/>
    <n v="0.1537"/>
    <x v="6"/>
    <m/>
    <n v="1"/>
    <x v="4"/>
    <x v="10"/>
    <x v="46"/>
    <x v="0"/>
    <x v="1"/>
    <x v="0"/>
  </r>
  <r>
    <x v="1394"/>
    <n v="18.93"/>
    <x v="955"/>
    <x v="453"/>
    <x v="102"/>
    <n v="2.67"/>
    <n v="0.1744"/>
    <x v="6"/>
    <m/>
    <n v="1"/>
    <x v="4"/>
    <x v="10"/>
    <x v="46"/>
    <x v="0"/>
    <x v="0"/>
    <x v="0"/>
  </r>
  <r>
    <x v="1395"/>
    <n v="18.7"/>
    <x v="956"/>
    <x v="893"/>
    <x v="28"/>
    <n v="2.82"/>
    <n v="0.18340000000000001"/>
    <x v="6"/>
    <m/>
    <n v="1"/>
    <x v="4"/>
    <x v="10"/>
    <x v="46"/>
    <x v="1"/>
    <x v="0"/>
    <x v="0"/>
  </r>
  <r>
    <x v="1396"/>
    <n v="18.7"/>
    <x v="3"/>
    <x v="3"/>
    <x v="16"/>
    <n v="3.39"/>
    <n v="0.2863"/>
    <x v="6"/>
    <m/>
    <n v="0"/>
    <x v="4"/>
    <x v="10"/>
    <x v="46"/>
    <x v="1"/>
    <x v="2"/>
    <x v="0"/>
  </r>
  <r>
    <x v="1397"/>
    <n v="18.7"/>
    <x v="3"/>
    <x v="3"/>
    <x v="7"/>
    <n v="2.89"/>
    <n v="0.16769999999999999"/>
    <x v="6"/>
    <m/>
    <n v="0"/>
    <x v="4"/>
    <x v="10"/>
    <x v="46"/>
    <x v="0"/>
    <x v="2"/>
    <x v="0"/>
  </r>
  <r>
    <x v="1398"/>
    <n v="17.73"/>
    <x v="957"/>
    <x v="894"/>
    <x v="63"/>
    <n v="2.4300000000000002"/>
    <n v="0.2041"/>
    <x v="6"/>
    <m/>
    <n v="1"/>
    <x v="4"/>
    <x v="10"/>
    <x v="46"/>
    <x v="0"/>
    <x v="1"/>
    <x v="0"/>
  </r>
  <r>
    <x v="1399"/>
    <n v="17.440000000000001"/>
    <x v="958"/>
    <x v="895"/>
    <x v="10"/>
    <n v="2.92"/>
    <n v="0.26169999999999999"/>
    <x v="6"/>
    <m/>
    <n v="1"/>
    <x v="4"/>
    <x v="10"/>
    <x v="46"/>
    <x v="0"/>
    <x v="1"/>
    <x v="0"/>
  </r>
  <r>
    <x v="1400"/>
    <n v="17.66"/>
    <x v="959"/>
    <x v="896"/>
    <x v="59"/>
    <n v="3.39"/>
    <n v="0.31819999999999998"/>
    <x v="6"/>
    <m/>
    <n v="1"/>
    <x v="4"/>
    <x v="10"/>
    <x v="46"/>
    <x v="0"/>
    <x v="0"/>
    <x v="0"/>
  </r>
  <r>
    <x v="1401"/>
    <n v="17.48"/>
    <x v="960"/>
    <x v="897"/>
    <x v="28"/>
    <n v="3.14"/>
    <n v="0.2676"/>
    <x v="6"/>
    <m/>
    <n v="1"/>
    <x v="4"/>
    <x v="10"/>
    <x v="46"/>
    <x v="0"/>
    <x v="1"/>
    <x v="0"/>
  </r>
  <r>
    <x v="1402"/>
    <n v="18.91"/>
    <x v="961"/>
    <x v="898"/>
    <x v="23"/>
    <n v="2.84"/>
    <n v="0.24879999999999999"/>
    <x v="6"/>
    <m/>
    <n v="1"/>
    <x v="4"/>
    <x v="10"/>
    <x v="46"/>
    <x v="1"/>
    <x v="0"/>
    <x v="0"/>
  </r>
  <r>
    <x v="1403"/>
    <n v="18.91"/>
    <x v="3"/>
    <x v="3"/>
    <x v="1"/>
    <n v="2.97"/>
    <n v="0.31659999999999999"/>
    <x v="6"/>
    <m/>
    <n v="0"/>
    <x v="4"/>
    <x v="10"/>
    <x v="46"/>
    <x v="1"/>
    <x v="2"/>
    <x v="0"/>
  </r>
  <r>
    <x v="1404"/>
    <n v="18.91"/>
    <x v="3"/>
    <x v="3"/>
    <x v="4"/>
    <n v="3.43"/>
    <n v="0.39960000000000001"/>
    <x v="6"/>
    <m/>
    <n v="0"/>
    <x v="4"/>
    <x v="10"/>
    <x v="46"/>
    <x v="0"/>
    <x v="2"/>
    <x v="0"/>
  </r>
  <r>
    <x v="1405"/>
    <n v="19.09"/>
    <x v="962"/>
    <x v="899"/>
    <x v="35"/>
    <n v="3.2"/>
    <n v="0.35970000000000002"/>
    <x v="6"/>
    <m/>
    <n v="1"/>
    <x v="4"/>
    <x v="10"/>
    <x v="46"/>
    <x v="0"/>
    <x v="1"/>
    <x v="0"/>
  </r>
  <r>
    <x v="1406"/>
    <n v="20.16"/>
    <x v="963"/>
    <x v="900"/>
    <x v="45"/>
    <n v="3.94"/>
    <n v="0.39689999999999998"/>
    <x v="6"/>
    <m/>
    <n v="1"/>
    <x v="4"/>
    <x v="10"/>
    <x v="46"/>
    <x v="0"/>
    <x v="0"/>
    <x v="0"/>
  </r>
  <r>
    <x v="1407"/>
    <n v="21.64"/>
    <x v="964"/>
    <x v="901"/>
    <x v="54"/>
    <n v="2.92"/>
    <n v="0.27089999999999997"/>
    <x v="6"/>
    <m/>
    <n v="1"/>
    <x v="4"/>
    <x v="10"/>
    <x v="46"/>
    <x v="0"/>
    <x v="0"/>
    <x v="0"/>
  </r>
  <r>
    <x v="1408"/>
    <n v="22.39"/>
    <x v="965"/>
    <x v="902"/>
    <x v="8"/>
    <n v="3.38"/>
    <n v="0.24440000000000001"/>
    <x v="6"/>
    <m/>
    <n v="1"/>
    <x v="4"/>
    <x v="10"/>
    <x v="46"/>
    <x v="0"/>
    <x v="0"/>
    <x v="0"/>
  </r>
  <r>
    <x v="1409"/>
    <n v="22.04"/>
    <x v="966"/>
    <x v="903"/>
    <x v="42"/>
    <n v="3.35"/>
    <n v="0.26719999999999999"/>
    <x v="6"/>
    <m/>
    <n v="1"/>
    <x v="4"/>
    <x v="10"/>
    <x v="46"/>
    <x v="1"/>
    <x v="1"/>
    <x v="0"/>
  </r>
  <r>
    <x v="1410"/>
    <n v="22.04"/>
    <x v="3"/>
    <x v="3"/>
    <x v="12"/>
    <n v="2.89"/>
    <n v="0.31590000000000001"/>
    <x v="6"/>
    <m/>
    <n v="0"/>
    <x v="4"/>
    <x v="10"/>
    <x v="46"/>
    <x v="1"/>
    <x v="2"/>
    <x v="0"/>
  </r>
  <r>
    <x v="1411"/>
    <n v="22.04"/>
    <x v="3"/>
    <x v="3"/>
    <x v="3"/>
    <n v="2.98"/>
    <n v="0.1056"/>
    <x v="6"/>
    <m/>
    <n v="0"/>
    <x v="4"/>
    <x v="10"/>
    <x v="46"/>
    <x v="0"/>
    <x v="2"/>
    <x v="0"/>
  </r>
  <r>
    <x v="1412"/>
    <n v="21.85"/>
    <x v="967"/>
    <x v="904"/>
    <x v="42"/>
    <n v="2.78"/>
    <n v="0.17530000000000001"/>
    <x v="6"/>
    <m/>
    <n v="1"/>
    <x v="4"/>
    <x v="10"/>
    <x v="46"/>
    <x v="0"/>
    <x v="1"/>
    <x v="0"/>
  </r>
  <r>
    <x v="1413"/>
    <n v="21.39"/>
    <x v="968"/>
    <x v="905"/>
    <x v="11"/>
    <n v="3.37"/>
    <n v="0.35010000000000002"/>
    <x v="6"/>
    <m/>
    <n v="1"/>
    <x v="4"/>
    <x v="10"/>
    <x v="46"/>
    <x v="0"/>
    <x v="1"/>
    <x v="0"/>
  </r>
  <r>
    <x v="1414"/>
    <n v="22.67"/>
    <x v="969"/>
    <x v="906"/>
    <x v="11"/>
    <n v="2.96"/>
    <n v="0.24690000000000001"/>
    <x v="6"/>
    <m/>
    <n v="1"/>
    <x v="4"/>
    <x v="10"/>
    <x v="46"/>
    <x v="0"/>
    <x v="0"/>
    <x v="0"/>
  </r>
  <r>
    <x v="1415"/>
    <n v="22.6"/>
    <x v="970"/>
    <x v="907"/>
    <x v="35"/>
    <n v="2.82"/>
    <n v="0.2364"/>
    <x v="6"/>
    <m/>
    <n v="1"/>
    <x v="4"/>
    <x v="10"/>
    <x v="46"/>
    <x v="0"/>
    <x v="0"/>
    <x v="0"/>
  </r>
  <r>
    <x v="1416"/>
    <n v="22.49"/>
    <x v="971"/>
    <x v="908"/>
    <x v="23"/>
    <n v="2.84"/>
    <n v="0.14729999999999999"/>
    <x v="6"/>
    <m/>
    <n v="1"/>
    <x v="4"/>
    <x v="10"/>
    <x v="46"/>
    <x v="1"/>
    <x v="0"/>
    <x v="0"/>
  </r>
  <r>
    <x v="1417"/>
    <n v="22.49"/>
    <x v="3"/>
    <x v="3"/>
    <x v="3"/>
    <n v="2.95"/>
    <n v="0.22040000000000001"/>
    <x v="6"/>
    <m/>
    <n v="0"/>
    <x v="4"/>
    <x v="10"/>
    <x v="46"/>
    <x v="1"/>
    <x v="2"/>
    <x v="0"/>
  </r>
  <r>
    <x v="1418"/>
    <n v="22.49"/>
    <x v="3"/>
    <x v="3"/>
    <x v="32"/>
    <n v="2.73"/>
    <n v="0.23710000000000001"/>
    <x v="6"/>
    <m/>
    <n v="0"/>
    <x v="4"/>
    <x v="10"/>
    <x v="46"/>
    <x v="0"/>
    <x v="2"/>
    <x v="0"/>
  </r>
  <r>
    <x v="1419"/>
    <n v="22.62"/>
    <x v="972"/>
    <x v="909"/>
    <x v="13"/>
    <n v="2.62"/>
    <n v="4.3700000000000003E-2"/>
    <x v="6"/>
    <m/>
    <n v="1"/>
    <x v="4"/>
    <x v="11"/>
    <x v="47"/>
    <x v="0"/>
    <x v="0"/>
    <x v="1"/>
  </r>
  <r>
    <x v="1420"/>
    <n v="22.14"/>
    <x v="973"/>
    <x v="910"/>
    <x v="37"/>
    <n v="2.75"/>
    <n v="8.6300000000000002E-2"/>
    <x v="6"/>
    <m/>
    <n v="1"/>
    <x v="4"/>
    <x v="11"/>
    <x v="47"/>
    <x v="0"/>
    <x v="1"/>
    <x v="1"/>
  </r>
  <r>
    <x v="1421"/>
    <n v="22.67"/>
    <x v="974"/>
    <x v="911"/>
    <x v="11"/>
    <n v="2.41"/>
    <n v="2.4299999999999999E-2"/>
    <x v="6"/>
    <m/>
    <n v="1"/>
    <x v="4"/>
    <x v="11"/>
    <x v="47"/>
    <x v="0"/>
    <x v="0"/>
    <x v="1"/>
  </r>
  <r>
    <x v="1422"/>
    <n v="22.99"/>
    <x v="975"/>
    <x v="912"/>
    <x v="14"/>
    <n v="2.92"/>
    <n v="0.1701"/>
    <x v="6"/>
    <m/>
    <n v="1"/>
    <x v="4"/>
    <x v="11"/>
    <x v="47"/>
    <x v="0"/>
    <x v="0"/>
    <x v="0"/>
  </r>
  <r>
    <x v="1423"/>
    <n v="22.68"/>
    <x v="976"/>
    <x v="913"/>
    <x v="20"/>
    <n v="2.7"/>
    <n v="0.17680000000000001"/>
    <x v="6"/>
    <m/>
    <n v="1"/>
    <x v="4"/>
    <x v="11"/>
    <x v="47"/>
    <x v="1"/>
    <x v="0"/>
    <x v="0"/>
  </r>
  <r>
    <x v="1424"/>
    <n v="22.68"/>
    <x v="3"/>
    <x v="3"/>
    <x v="16"/>
    <n v="2.58"/>
    <n v="8.7400000000000005E-2"/>
    <x v="6"/>
    <m/>
    <n v="0"/>
    <x v="4"/>
    <x v="11"/>
    <x v="47"/>
    <x v="1"/>
    <x v="2"/>
    <x v="1"/>
  </r>
  <r>
    <x v="1425"/>
    <n v="22.68"/>
    <x v="3"/>
    <x v="3"/>
    <x v="7"/>
    <n v="2.97"/>
    <n v="9.7600000000000006E-2"/>
    <x v="6"/>
    <m/>
    <n v="0"/>
    <x v="4"/>
    <x v="11"/>
    <x v="47"/>
    <x v="0"/>
    <x v="2"/>
    <x v="1"/>
  </r>
  <r>
    <x v="1426"/>
    <n v="23.35"/>
    <x v="977"/>
    <x v="914"/>
    <x v="19"/>
    <n v="2.86"/>
    <n v="0.21410000000000001"/>
    <x v="6"/>
    <m/>
    <n v="1"/>
    <x v="4"/>
    <x v="11"/>
    <x v="47"/>
    <x v="0"/>
    <x v="0"/>
    <x v="0"/>
  </r>
  <r>
    <x v="1427"/>
    <n v="22.99"/>
    <x v="978"/>
    <x v="915"/>
    <x v="41"/>
    <n v="2.85"/>
    <n v="0.1613"/>
    <x v="6"/>
    <m/>
    <n v="1"/>
    <x v="4"/>
    <x v="11"/>
    <x v="47"/>
    <x v="0"/>
    <x v="1"/>
    <x v="0"/>
  </r>
  <r>
    <x v="1428"/>
    <n v="24.41"/>
    <x v="979"/>
    <x v="916"/>
    <x v="36"/>
    <n v="2.56"/>
    <n v="0.27550000000000002"/>
    <x v="6"/>
    <m/>
    <n v="1"/>
    <x v="4"/>
    <x v="11"/>
    <x v="47"/>
    <x v="0"/>
    <x v="0"/>
    <x v="0"/>
  </r>
  <r>
    <x v="1429"/>
    <n v="24.27"/>
    <x v="980"/>
    <x v="848"/>
    <x v="12"/>
    <n v="2.83"/>
    <n v="4.3200000000000002E-2"/>
    <x v="6"/>
    <m/>
    <n v="1"/>
    <x v="4"/>
    <x v="11"/>
    <x v="47"/>
    <x v="0"/>
    <x v="1"/>
    <x v="1"/>
  </r>
  <r>
    <x v="1430"/>
    <n v="24.93"/>
    <x v="981"/>
    <x v="917"/>
    <x v="34"/>
    <n v="2.93"/>
    <n v="0.25869999999999999"/>
    <x v="6"/>
    <m/>
    <n v="1"/>
    <x v="4"/>
    <x v="11"/>
    <x v="47"/>
    <x v="1"/>
    <x v="0"/>
    <x v="0"/>
  </r>
  <r>
    <x v="1431"/>
    <n v="24.93"/>
    <x v="3"/>
    <x v="3"/>
    <x v="10"/>
    <n v="3"/>
    <n v="0.1507"/>
    <x v="6"/>
    <m/>
    <n v="0"/>
    <x v="4"/>
    <x v="11"/>
    <x v="47"/>
    <x v="1"/>
    <x v="2"/>
    <x v="0"/>
  </r>
  <r>
    <x v="1432"/>
    <n v="24.93"/>
    <x v="3"/>
    <x v="3"/>
    <x v="19"/>
    <n v="2.67"/>
    <n v="0.15540000000000001"/>
    <x v="6"/>
    <m/>
    <n v="0"/>
    <x v="4"/>
    <x v="11"/>
    <x v="47"/>
    <x v="0"/>
    <x v="2"/>
    <x v="0"/>
  </r>
  <r>
    <x v="1433"/>
    <n v="24.91"/>
    <x v="982"/>
    <x v="918"/>
    <x v="46"/>
    <n v="3.72"/>
    <n v="0.37219999999999998"/>
    <x v="6"/>
    <m/>
    <n v="1"/>
    <x v="4"/>
    <x v="11"/>
    <x v="47"/>
    <x v="0"/>
    <x v="0"/>
    <x v="0"/>
  </r>
  <r>
    <x v="1434"/>
    <n v="24.57"/>
    <x v="983"/>
    <x v="919"/>
    <x v="59"/>
    <n v="3.16"/>
    <n v="0.24790000000000001"/>
    <x v="6"/>
    <m/>
    <n v="1"/>
    <x v="4"/>
    <x v="11"/>
    <x v="47"/>
    <x v="0"/>
    <x v="1"/>
    <x v="0"/>
  </r>
  <r>
    <x v="1435"/>
    <n v="24.11"/>
    <x v="984"/>
    <x v="920"/>
    <x v="23"/>
    <n v="2.76"/>
    <n v="0.25990000000000002"/>
    <x v="6"/>
    <m/>
    <n v="1"/>
    <x v="4"/>
    <x v="11"/>
    <x v="47"/>
    <x v="0"/>
    <x v="1"/>
    <x v="0"/>
  </r>
  <r>
    <x v="1436"/>
    <n v="24.52"/>
    <x v="985"/>
    <x v="707"/>
    <x v="32"/>
    <n v="3.17"/>
    <n v="0.2969"/>
    <x v="6"/>
    <m/>
    <n v="1"/>
    <x v="4"/>
    <x v="11"/>
    <x v="47"/>
    <x v="0"/>
    <x v="0"/>
    <x v="0"/>
  </r>
  <r>
    <x v="1437"/>
    <n v="24.12"/>
    <x v="986"/>
    <x v="921"/>
    <x v="13"/>
    <n v="2.98"/>
    <n v="0.19339999999999999"/>
    <x v="6"/>
    <m/>
    <n v="1"/>
    <x v="4"/>
    <x v="11"/>
    <x v="47"/>
    <x v="1"/>
    <x v="0"/>
    <x v="0"/>
  </r>
  <r>
    <x v="1438"/>
    <n v="24.12"/>
    <x v="3"/>
    <x v="3"/>
    <x v="25"/>
    <n v="2.84"/>
    <n v="0.3251"/>
    <x v="6"/>
    <m/>
    <n v="0"/>
    <x v="4"/>
    <x v="11"/>
    <x v="47"/>
    <x v="1"/>
    <x v="2"/>
    <x v="0"/>
  </r>
  <r>
    <x v="1439"/>
    <n v="24.12"/>
    <x v="3"/>
    <x v="3"/>
    <x v="35"/>
    <n v="2.62"/>
    <n v="0.15620000000000001"/>
    <x v="6"/>
    <m/>
    <n v="0"/>
    <x v="4"/>
    <x v="11"/>
    <x v="47"/>
    <x v="0"/>
    <x v="2"/>
    <x v="0"/>
  </r>
  <r>
    <x v="1440"/>
    <n v="22.65"/>
    <x v="987"/>
    <x v="922"/>
    <x v="7"/>
    <n v="2.86"/>
    <n v="0.24840000000000001"/>
    <x v="6"/>
    <m/>
    <n v="1"/>
    <x v="4"/>
    <x v="11"/>
    <x v="47"/>
    <x v="0"/>
    <x v="1"/>
    <x v="0"/>
  </r>
  <r>
    <x v="1441"/>
    <n v="22.45"/>
    <x v="988"/>
    <x v="923"/>
    <x v="12"/>
    <n v="2.98"/>
    <n v="0.23749999999999999"/>
    <x v="6"/>
    <m/>
    <n v="1"/>
    <x v="4"/>
    <x v="11"/>
    <x v="47"/>
    <x v="0"/>
    <x v="1"/>
    <x v="0"/>
  </r>
  <r>
    <x v="1442"/>
    <n v="22.96"/>
    <x v="989"/>
    <x v="924"/>
    <x v="4"/>
    <n v="2.67"/>
    <n v="0.2223"/>
    <x v="6"/>
    <m/>
    <n v="1"/>
    <x v="4"/>
    <x v="11"/>
    <x v="47"/>
    <x v="0"/>
    <x v="0"/>
    <x v="0"/>
  </r>
  <r>
    <x v="1443"/>
    <n v="23.4"/>
    <x v="990"/>
    <x v="925"/>
    <x v="6"/>
    <n v="2.9"/>
    <n v="0.15920000000000001"/>
    <x v="6"/>
    <m/>
    <n v="1"/>
    <x v="4"/>
    <x v="11"/>
    <x v="47"/>
    <x v="0"/>
    <x v="0"/>
    <x v="0"/>
  </r>
  <r>
    <x v="1444"/>
    <n v="22.33"/>
    <x v="991"/>
    <x v="926"/>
    <x v="5"/>
    <n v="2.82"/>
    <n v="0.20169999999999999"/>
    <x v="6"/>
    <m/>
    <n v="1"/>
    <x v="4"/>
    <x v="11"/>
    <x v="47"/>
    <x v="1"/>
    <x v="1"/>
    <x v="0"/>
  </r>
  <r>
    <x v="1445"/>
    <n v="22.33"/>
    <x v="3"/>
    <x v="3"/>
    <x v="10"/>
    <n v="3.23"/>
    <n v="0.35920000000000002"/>
    <x v="6"/>
    <m/>
    <n v="0"/>
    <x v="4"/>
    <x v="11"/>
    <x v="47"/>
    <x v="1"/>
    <x v="2"/>
    <x v="0"/>
  </r>
  <r>
    <x v="1446"/>
    <n v="22.33"/>
    <x v="3"/>
    <x v="3"/>
    <x v="12"/>
    <n v="3.04"/>
    <n v="0.28960000000000002"/>
    <x v="6"/>
    <m/>
    <n v="0"/>
    <x v="4"/>
    <x v="11"/>
    <x v="47"/>
    <x v="0"/>
    <x v="2"/>
    <x v="0"/>
  </r>
  <r>
    <x v="1447"/>
    <n v="22.46"/>
    <x v="992"/>
    <x v="927"/>
    <x v="38"/>
    <n v="2.5499999999999998"/>
    <n v="0.14480000000000001"/>
    <x v="6"/>
    <m/>
    <n v="1"/>
    <x v="4"/>
    <x v="11"/>
    <x v="47"/>
    <x v="0"/>
    <x v="0"/>
    <x v="0"/>
  </r>
  <r>
    <x v="1448"/>
    <n v="22.07"/>
    <x v="993"/>
    <x v="928"/>
    <x v="2"/>
    <n v="2.59"/>
    <n v="0.1724"/>
    <x v="6"/>
    <m/>
    <n v="1"/>
    <x v="4"/>
    <x v="11"/>
    <x v="47"/>
    <x v="0"/>
    <x v="1"/>
    <x v="0"/>
  </r>
  <r>
    <x v="1449"/>
    <n v="22.36"/>
    <x v="994"/>
    <x v="929"/>
    <x v="19"/>
    <n v="2.93"/>
    <n v="0.28670000000000001"/>
    <x v="6"/>
    <m/>
    <n v="1"/>
    <x v="4"/>
    <x v="11"/>
    <x v="47"/>
    <x v="0"/>
    <x v="1"/>
    <x v="0"/>
  </r>
  <r>
    <x v="1450"/>
    <n v="23"/>
    <x v="995"/>
    <x v="930"/>
    <x v="19"/>
    <n v="2.91"/>
    <n v="0.26029999999999998"/>
    <x v="6"/>
    <m/>
    <n v="1"/>
    <x v="4"/>
    <x v="0"/>
    <x v="48"/>
    <x v="0"/>
    <x v="0"/>
    <x v="0"/>
  </r>
  <r>
    <x v="1451"/>
    <n v="22.61"/>
    <x v="996"/>
    <x v="931"/>
    <x v="26"/>
    <n v="2.31"/>
    <n v="0.1167"/>
    <x v="6"/>
    <m/>
    <n v="1"/>
    <x v="4"/>
    <x v="0"/>
    <x v="48"/>
    <x v="1"/>
    <x v="1"/>
    <x v="0"/>
  </r>
  <r>
    <x v="1452"/>
    <n v="22.61"/>
    <x v="3"/>
    <x v="3"/>
    <x v="41"/>
    <n v="2.68"/>
    <n v="0.17219999999999999"/>
    <x v="6"/>
    <m/>
    <n v="0"/>
    <x v="4"/>
    <x v="0"/>
    <x v="48"/>
    <x v="1"/>
    <x v="2"/>
    <x v="0"/>
  </r>
  <r>
    <x v="1453"/>
    <n v="22.61"/>
    <x v="3"/>
    <x v="3"/>
    <x v="17"/>
    <n v="2.71"/>
    <n v="0.313"/>
    <x v="6"/>
    <m/>
    <n v="0"/>
    <x v="4"/>
    <x v="0"/>
    <x v="48"/>
    <x v="1"/>
    <x v="2"/>
    <x v="0"/>
  </r>
  <r>
    <x v="1454"/>
    <n v="22.61"/>
    <x v="3"/>
    <x v="3"/>
    <x v="7"/>
    <n v="2.5099999999999998"/>
    <n v="7.4999999999999997E-2"/>
    <x v="6"/>
    <m/>
    <n v="0"/>
    <x v="4"/>
    <x v="0"/>
    <x v="48"/>
    <x v="0"/>
    <x v="2"/>
    <x v="1"/>
  </r>
  <r>
    <x v="1455"/>
    <n v="21.84"/>
    <x v="997"/>
    <x v="932"/>
    <x v="36"/>
    <n v="2.83"/>
    <n v="0.28260000000000002"/>
    <x v="6"/>
    <m/>
    <n v="1"/>
    <x v="4"/>
    <x v="0"/>
    <x v="48"/>
    <x v="0"/>
    <x v="1"/>
    <x v="0"/>
  </r>
  <r>
    <x v="1456"/>
    <n v="22.9"/>
    <x v="998"/>
    <x v="901"/>
    <x v="11"/>
    <n v="2.5499999999999998"/>
    <n v="0.10879999999999999"/>
    <x v="6"/>
    <m/>
    <n v="1"/>
    <x v="4"/>
    <x v="0"/>
    <x v="48"/>
    <x v="0"/>
    <x v="0"/>
    <x v="0"/>
  </r>
  <r>
    <x v="1457"/>
    <n v="22.74"/>
    <x v="999"/>
    <x v="933"/>
    <x v="16"/>
    <n v="2.34"/>
    <n v="7.8299999999999995E-2"/>
    <x v="6"/>
    <m/>
    <n v="1"/>
    <x v="4"/>
    <x v="0"/>
    <x v="48"/>
    <x v="0"/>
    <x v="0"/>
    <x v="1"/>
  </r>
  <r>
    <x v="1458"/>
    <n v="23.36"/>
    <x v="1000"/>
    <x v="107"/>
    <x v="6"/>
    <n v="2.86"/>
    <n v="0.13109999999999999"/>
    <x v="6"/>
    <m/>
    <n v="1"/>
    <x v="4"/>
    <x v="0"/>
    <x v="48"/>
    <x v="1"/>
    <x v="0"/>
    <x v="0"/>
  </r>
  <r>
    <x v="1459"/>
    <n v="23.36"/>
    <x v="3"/>
    <x v="3"/>
    <x v="15"/>
    <n v="2.58"/>
    <n v="0.28920000000000001"/>
    <x v="6"/>
    <m/>
    <n v="0"/>
    <x v="4"/>
    <x v="0"/>
    <x v="48"/>
    <x v="1"/>
    <x v="2"/>
    <x v="0"/>
  </r>
  <r>
    <x v="1460"/>
    <n v="23.36"/>
    <x v="3"/>
    <x v="3"/>
    <x v="0"/>
    <n v="2.4300000000000002"/>
    <n v="0.15440000000000001"/>
    <x v="6"/>
    <m/>
    <n v="0"/>
    <x v="4"/>
    <x v="0"/>
    <x v="48"/>
    <x v="0"/>
    <x v="2"/>
    <x v="0"/>
  </r>
  <r>
    <x v="1461"/>
    <n v="23.65"/>
    <x v="1001"/>
    <x v="934"/>
    <x v="104"/>
    <n v="2.72"/>
    <n v="0.27350000000000002"/>
    <x v="6"/>
    <m/>
    <n v="1"/>
    <x v="4"/>
    <x v="0"/>
    <x v="48"/>
    <x v="0"/>
    <x v="0"/>
    <x v="0"/>
  </r>
  <r>
    <x v="1462"/>
    <n v="21.81"/>
    <x v="1002"/>
    <x v="935"/>
    <x v="6"/>
    <n v="2.48"/>
    <n v="0.18990000000000001"/>
    <x v="6"/>
    <m/>
    <n v="1"/>
    <x v="4"/>
    <x v="0"/>
    <x v="48"/>
    <x v="0"/>
    <x v="1"/>
    <x v="0"/>
  </r>
  <r>
    <x v="1463"/>
    <n v="22.41"/>
    <x v="1003"/>
    <x v="936"/>
    <x v="27"/>
    <n v="2.5"/>
    <n v="4.7100000000000003E-2"/>
    <x v="6"/>
    <m/>
    <n v="1"/>
    <x v="4"/>
    <x v="0"/>
    <x v="48"/>
    <x v="0"/>
    <x v="0"/>
    <x v="1"/>
  </r>
  <r>
    <x v="1464"/>
    <n v="23.54"/>
    <x v="1004"/>
    <x v="937"/>
    <x v="105"/>
    <n v="2.2400000000000002"/>
    <n v="2.76E-2"/>
    <x v="6"/>
    <m/>
    <n v="1"/>
    <x v="4"/>
    <x v="0"/>
    <x v="48"/>
    <x v="0"/>
    <x v="0"/>
    <x v="1"/>
  </r>
  <r>
    <x v="1465"/>
    <n v="24.01"/>
    <x v="1005"/>
    <x v="938"/>
    <x v="18"/>
    <n v="2.31"/>
    <n v="0.23730000000000001"/>
    <x v="6"/>
    <m/>
    <n v="1"/>
    <x v="4"/>
    <x v="0"/>
    <x v="48"/>
    <x v="1"/>
    <x v="0"/>
    <x v="0"/>
  </r>
  <r>
    <x v="1466"/>
    <n v="24.01"/>
    <x v="3"/>
    <x v="3"/>
    <x v="16"/>
    <n v="3.21"/>
    <n v="0.34660000000000002"/>
    <x v="6"/>
    <m/>
    <n v="0"/>
    <x v="4"/>
    <x v="0"/>
    <x v="48"/>
    <x v="1"/>
    <x v="2"/>
    <x v="0"/>
  </r>
  <r>
    <x v="1467"/>
    <n v="24.01"/>
    <x v="3"/>
    <x v="3"/>
    <x v="38"/>
    <n v="2.61"/>
    <n v="0.1454"/>
    <x v="6"/>
    <m/>
    <n v="0"/>
    <x v="4"/>
    <x v="0"/>
    <x v="48"/>
    <x v="0"/>
    <x v="2"/>
    <x v="0"/>
  </r>
  <r>
    <x v="1468"/>
    <n v="24.36"/>
    <x v="1006"/>
    <x v="939"/>
    <x v="103"/>
    <n v="3.14"/>
    <n v="0.1565"/>
    <x v="6"/>
    <m/>
    <n v="1"/>
    <x v="4"/>
    <x v="0"/>
    <x v="48"/>
    <x v="0"/>
    <x v="1"/>
    <x v="0"/>
  </r>
  <r>
    <x v="1469"/>
    <n v="24.28"/>
    <x v="1007"/>
    <x v="940"/>
    <x v="15"/>
    <n v="2.79"/>
    <n v="8.9999999999999993E-3"/>
    <x v="6"/>
    <m/>
    <n v="1"/>
    <x v="4"/>
    <x v="0"/>
    <x v="48"/>
    <x v="0"/>
    <x v="0"/>
    <x v="1"/>
  </r>
  <r>
    <x v="1470"/>
    <n v="23.69"/>
    <x v="1008"/>
    <x v="941"/>
    <x v="18"/>
    <n v="2.15"/>
    <n v="0.1198"/>
    <x v="6"/>
    <m/>
    <n v="1"/>
    <x v="4"/>
    <x v="0"/>
    <x v="48"/>
    <x v="0"/>
    <x v="1"/>
    <x v="0"/>
  </r>
  <r>
    <x v="1471"/>
    <n v="23.7"/>
    <x v="1009"/>
    <x v="942"/>
    <x v="6"/>
    <n v="2.41"/>
    <n v="1.9900000000000001E-2"/>
    <x v="6"/>
    <m/>
    <n v="1"/>
    <x v="4"/>
    <x v="0"/>
    <x v="48"/>
    <x v="0"/>
    <x v="0"/>
    <x v="1"/>
  </r>
  <r>
    <x v="1472"/>
    <n v="22.64"/>
    <x v="1010"/>
    <x v="943"/>
    <x v="9"/>
    <n v="2.7"/>
    <n v="0.29630000000000001"/>
    <x v="6"/>
    <m/>
    <n v="1"/>
    <x v="4"/>
    <x v="0"/>
    <x v="48"/>
    <x v="1"/>
    <x v="1"/>
    <x v="0"/>
  </r>
  <r>
    <x v="1473"/>
    <n v="22.64"/>
    <x v="3"/>
    <x v="3"/>
    <x v="41"/>
    <n v="2.2200000000000002"/>
    <n v="6.0100000000000001E-2"/>
    <x v="6"/>
    <m/>
    <n v="0"/>
    <x v="4"/>
    <x v="0"/>
    <x v="48"/>
    <x v="1"/>
    <x v="2"/>
    <x v="1"/>
  </r>
  <r>
    <x v="1474"/>
    <n v="22.64"/>
    <x v="3"/>
    <x v="3"/>
    <x v="10"/>
    <n v="3.33"/>
    <n v="0.29039999999999999"/>
    <x v="6"/>
    <m/>
    <n v="0"/>
    <x v="4"/>
    <x v="0"/>
    <x v="48"/>
    <x v="0"/>
    <x v="2"/>
    <x v="0"/>
  </r>
  <r>
    <x v="1475"/>
    <n v="22.41"/>
    <x v="1011"/>
    <x v="944"/>
    <x v="15"/>
    <n v="2.88"/>
    <n v="0.21579999999999999"/>
    <x v="6"/>
    <m/>
    <n v="1"/>
    <x v="4"/>
    <x v="0"/>
    <x v="48"/>
    <x v="0"/>
    <x v="1"/>
    <x v="0"/>
  </r>
  <r>
    <x v="1476"/>
    <n v="22.44"/>
    <x v="1012"/>
    <x v="945"/>
    <x v="38"/>
    <n v="3"/>
    <n v="0.1696"/>
    <x v="6"/>
    <m/>
    <n v="1"/>
    <x v="4"/>
    <x v="0"/>
    <x v="48"/>
    <x v="0"/>
    <x v="1"/>
    <x v="0"/>
  </r>
  <r>
    <x v="1477"/>
    <n v="24.52"/>
    <x v="1013"/>
    <x v="946"/>
    <x v="7"/>
    <n v="2.57"/>
    <n v="0.15229999999999999"/>
    <x v="6"/>
    <m/>
    <n v="1"/>
    <x v="4"/>
    <x v="0"/>
    <x v="48"/>
    <x v="0"/>
    <x v="0"/>
    <x v="0"/>
  </r>
  <r>
    <x v="1478"/>
    <n v="23.97"/>
    <x v="1014"/>
    <x v="947"/>
    <x v="6"/>
    <n v="3.1"/>
    <n v="0.27550000000000002"/>
    <x v="6"/>
    <m/>
    <n v="1"/>
    <x v="4"/>
    <x v="0"/>
    <x v="48"/>
    <x v="0"/>
    <x v="1"/>
    <x v="0"/>
  </r>
  <r>
    <x v="1479"/>
    <n v="23.54"/>
    <x v="1015"/>
    <x v="694"/>
    <x v="26"/>
    <n v="2.6"/>
    <n v="0.1729"/>
    <x v="6"/>
    <m/>
    <n v="1"/>
    <x v="4"/>
    <x v="0"/>
    <x v="48"/>
    <x v="1"/>
    <x v="1"/>
    <x v="0"/>
  </r>
  <r>
    <x v="1480"/>
    <n v="23.54"/>
    <x v="3"/>
    <x v="3"/>
    <x v="10"/>
    <n v="2.92"/>
    <n v="0.1769"/>
    <x v="6"/>
    <m/>
    <n v="0"/>
    <x v="4"/>
    <x v="1"/>
    <x v="49"/>
    <x v="1"/>
    <x v="2"/>
    <x v="0"/>
  </r>
  <r>
    <x v="1481"/>
    <n v="23.54"/>
    <x v="3"/>
    <x v="3"/>
    <x v="27"/>
    <n v="3.07"/>
    <n v="0.2732"/>
    <x v="6"/>
    <m/>
    <n v="0"/>
    <x v="4"/>
    <x v="1"/>
    <x v="49"/>
    <x v="0"/>
    <x v="2"/>
    <x v="0"/>
  </r>
  <r>
    <x v="1482"/>
    <n v="23.9"/>
    <x v="1016"/>
    <x v="948"/>
    <x v="43"/>
    <n v="3.04"/>
    <n v="0.2482"/>
    <x v="6"/>
    <m/>
    <n v="1"/>
    <x v="4"/>
    <x v="1"/>
    <x v="49"/>
    <x v="0"/>
    <x v="0"/>
    <x v="0"/>
  </r>
  <r>
    <x v="1483"/>
    <n v="24.07"/>
    <x v="1017"/>
    <x v="949"/>
    <x v="37"/>
    <n v="2.88"/>
    <n v="0.31569999999999998"/>
    <x v="6"/>
    <m/>
    <n v="1"/>
    <x v="4"/>
    <x v="1"/>
    <x v="49"/>
    <x v="0"/>
    <x v="1"/>
    <x v="0"/>
  </r>
  <r>
    <x v="1484"/>
    <n v="23.67"/>
    <x v="1018"/>
    <x v="109"/>
    <x v="102"/>
    <n v="2.15"/>
    <n v="-0.14349999999999999"/>
    <x v="6"/>
    <m/>
    <n v="1"/>
    <x v="4"/>
    <x v="1"/>
    <x v="49"/>
    <x v="0"/>
    <x v="1"/>
    <x v="2"/>
  </r>
  <r>
    <x v="1485"/>
    <n v="24"/>
    <x v="1019"/>
    <x v="950"/>
    <x v="39"/>
    <n v="2.2400000000000002"/>
    <n v="0.1106"/>
    <x v="6"/>
    <m/>
    <n v="1"/>
    <x v="4"/>
    <x v="1"/>
    <x v="49"/>
    <x v="0"/>
    <x v="0"/>
    <x v="0"/>
  </r>
  <r>
    <x v="1486"/>
    <n v="22.48"/>
    <x v="1020"/>
    <x v="951"/>
    <x v="1"/>
    <n v="2.4300000000000002"/>
    <n v="6.0400000000000002E-2"/>
    <x v="6"/>
    <m/>
    <n v="1"/>
    <x v="4"/>
    <x v="1"/>
    <x v="49"/>
    <x v="1"/>
    <x v="1"/>
    <x v="1"/>
  </r>
  <r>
    <x v="1487"/>
    <n v="22.48"/>
    <x v="3"/>
    <x v="3"/>
    <x v="102"/>
    <n v="2.41"/>
    <n v="0.25640000000000002"/>
    <x v="6"/>
    <m/>
    <n v="0"/>
    <x v="4"/>
    <x v="1"/>
    <x v="49"/>
    <x v="1"/>
    <x v="2"/>
    <x v="0"/>
  </r>
  <r>
    <x v="1488"/>
    <n v="22.48"/>
    <x v="3"/>
    <x v="3"/>
    <x v="26"/>
    <n v="2.69"/>
    <n v="0.29759999999999998"/>
    <x v="6"/>
    <m/>
    <n v="0"/>
    <x v="4"/>
    <x v="1"/>
    <x v="49"/>
    <x v="0"/>
    <x v="2"/>
    <x v="0"/>
  </r>
  <r>
    <x v="1489"/>
    <n v="23"/>
    <x v="1021"/>
    <x v="952"/>
    <x v="41"/>
    <n v="2.83"/>
    <n v="0.1071"/>
    <x v="6"/>
    <m/>
    <n v="1"/>
    <x v="4"/>
    <x v="1"/>
    <x v="49"/>
    <x v="0"/>
    <x v="0"/>
    <x v="0"/>
  </r>
  <r>
    <x v="1490"/>
    <n v="21.43"/>
    <x v="1022"/>
    <x v="953"/>
    <x v="37"/>
    <n v="2.88"/>
    <n v="0.31009999999999999"/>
    <x v="6"/>
    <m/>
    <n v="1"/>
    <x v="4"/>
    <x v="1"/>
    <x v="49"/>
    <x v="0"/>
    <x v="1"/>
    <x v="0"/>
  </r>
  <r>
    <x v="1491"/>
    <n v="22.09"/>
    <x v="1023"/>
    <x v="954"/>
    <x v="38"/>
    <n v="2.71"/>
    <n v="0.21229999999999999"/>
    <x v="6"/>
    <m/>
    <n v="1"/>
    <x v="4"/>
    <x v="1"/>
    <x v="49"/>
    <x v="0"/>
    <x v="0"/>
    <x v="0"/>
  </r>
  <r>
    <x v="1492"/>
    <n v="23.25"/>
    <x v="1024"/>
    <x v="955"/>
    <x v="15"/>
    <n v="2.88"/>
    <n v="0.22489999999999999"/>
    <x v="6"/>
    <m/>
    <n v="1"/>
    <x v="4"/>
    <x v="1"/>
    <x v="49"/>
    <x v="0"/>
    <x v="0"/>
    <x v="0"/>
  </r>
  <r>
    <x v="1493"/>
    <n v="23"/>
    <x v="1025"/>
    <x v="956"/>
    <x v="0"/>
    <n v="2.14"/>
    <n v="-5.9200000000000003E-2"/>
    <x v="6"/>
    <m/>
    <n v="1"/>
    <x v="4"/>
    <x v="1"/>
    <x v="49"/>
    <x v="1"/>
    <x v="1"/>
    <x v="1"/>
  </r>
  <r>
    <x v="1494"/>
    <n v="23"/>
    <x v="3"/>
    <x v="3"/>
    <x v="102"/>
    <n v="2.59"/>
    <n v="0.28910000000000002"/>
    <x v="6"/>
    <m/>
    <n v="0"/>
    <x v="4"/>
    <x v="1"/>
    <x v="49"/>
    <x v="1"/>
    <x v="2"/>
    <x v="0"/>
  </r>
  <r>
    <x v="1495"/>
    <n v="23"/>
    <x v="3"/>
    <x v="3"/>
    <x v="0"/>
    <n v="2.82"/>
    <n v="0.2535"/>
    <x v="6"/>
    <m/>
    <n v="0"/>
    <x v="4"/>
    <x v="1"/>
    <x v="49"/>
    <x v="0"/>
    <x v="2"/>
    <x v="0"/>
  </r>
  <r>
    <x v="1496"/>
    <n v="24.51"/>
    <x v="1026"/>
    <x v="957"/>
    <x v="0"/>
    <n v="2.25"/>
    <n v="6.6199999999999995E-2"/>
    <x v="6"/>
    <m/>
    <n v="1"/>
    <x v="4"/>
    <x v="1"/>
    <x v="49"/>
    <x v="0"/>
    <x v="0"/>
    <x v="1"/>
  </r>
  <r>
    <x v="1497"/>
    <n v="24.09"/>
    <x v="1027"/>
    <x v="958"/>
    <x v="5"/>
    <n v="2.48"/>
    <n v="0.11840000000000001"/>
    <x v="6"/>
    <m/>
    <n v="1"/>
    <x v="4"/>
    <x v="1"/>
    <x v="49"/>
    <x v="0"/>
    <x v="1"/>
    <x v="0"/>
  </r>
  <r>
    <x v="1498"/>
    <n v="27.24"/>
    <x v="1028"/>
    <x v="959"/>
    <x v="102"/>
    <n v="3.48"/>
    <n v="0.3044"/>
    <x v="6"/>
    <m/>
    <n v="1"/>
    <x v="4"/>
    <x v="1"/>
    <x v="49"/>
    <x v="0"/>
    <x v="0"/>
    <x v="0"/>
  </r>
  <r>
    <x v="1499"/>
    <n v="26.82"/>
    <x v="1029"/>
    <x v="960"/>
    <x v="26"/>
    <n v="3.29"/>
    <n v="0.26"/>
    <x v="6"/>
    <m/>
    <n v="1"/>
    <x v="4"/>
    <x v="1"/>
    <x v="49"/>
    <x v="0"/>
    <x v="1"/>
    <x v="0"/>
  </r>
  <r>
    <x v="1500"/>
    <n v="28.96"/>
    <x v="1030"/>
    <x v="961"/>
    <x v="39"/>
    <n v="3.05"/>
    <n v="9.01E-2"/>
    <x v="6"/>
    <m/>
    <n v="1"/>
    <x v="4"/>
    <x v="1"/>
    <x v="49"/>
    <x v="1"/>
    <x v="0"/>
    <x v="1"/>
  </r>
  <r>
    <x v="1501"/>
    <n v="28.96"/>
    <x v="3"/>
    <x v="3"/>
    <x v="19"/>
    <n v="3.12"/>
    <n v="0.1547"/>
    <x v="6"/>
    <m/>
    <n v="0"/>
    <x v="4"/>
    <x v="1"/>
    <x v="49"/>
    <x v="1"/>
    <x v="2"/>
    <x v="0"/>
  </r>
  <r>
    <x v="1502"/>
    <n v="28.96"/>
    <x v="3"/>
    <x v="3"/>
    <x v="16"/>
    <n v="2.3199999999999998"/>
    <n v="0.1023"/>
    <x v="6"/>
    <m/>
    <n v="0"/>
    <x v="4"/>
    <x v="1"/>
    <x v="49"/>
    <x v="0"/>
    <x v="2"/>
    <x v="0"/>
  </r>
  <r>
    <x v="1503"/>
    <n v="28.25"/>
    <x v="1031"/>
    <x v="962"/>
    <x v="0"/>
    <n v="2.68"/>
    <n v="0.25750000000000001"/>
    <x v="6"/>
    <m/>
    <n v="1"/>
    <x v="4"/>
    <x v="1"/>
    <x v="49"/>
    <x v="0"/>
    <x v="1"/>
    <x v="0"/>
  </r>
  <r>
    <x v="1504"/>
    <n v="29.1"/>
    <x v="1032"/>
    <x v="963"/>
    <x v="9"/>
    <n v="2.57"/>
    <n v="0.1923"/>
    <x v="6"/>
    <m/>
    <n v="1"/>
    <x v="4"/>
    <x v="1"/>
    <x v="49"/>
    <x v="0"/>
    <x v="0"/>
    <x v="0"/>
  </r>
  <r>
    <x v="1505"/>
    <n v="29.86"/>
    <x v="1033"/>
    <x v="964"/>
    <x v="36"/>
    <n v="2.94"/>
    <n v="6.6299999999999998E-2"/>
    <x v="6"/>
    <m/>
    <n v="1"/>
    <x v="4"/>
    <x v="1"/>
    <x v="49"/>
    <x v="0"/>
    <x v="0"/>
    <x v="1"/>
  </r>
  <r>
    <x v="1506"/>
    <n v="29.69"/>
    <x v="1034"/>
    <x v="124"/>
    <x v="2"/>
    <n v="3.03"/>
    <n v="0.25690000000000002"/>
    <x v="6"/>
    <m/>
    <n v="1"/>
    <x v="4"/>
    <x v="1"/>
    <x v="49"/>
    <x v="0"/>
    <x v="1"/>
    <x v="0"/>
  </r>
  <r>
    <x v="1507"/>
    <n v="29.57"/>
    <x v="1035"/>
    <x v="965"/>
    <x v="0"/>
    <n v="2.89"/>
    <n v="0.12189999999999999"/>
    <x v="6"/>
    <m/>
    <n v="1"/>
    <x v="4"/>
    <x v="1"/>
    <x v="49"/>
    <x v="1"/>
    <x v="1"/>
    <x v="0"/>
  </r>
  <r>
    <x v="1508"/>
    <n v="29.57"/>
    <x v="3"/>
    <x v="3"/>
    <x v="5"/>
    <n v="2"/>
    <n v="3.0999999999999999E-3"/>
    <x v="6"/>
    <m/>
    <n v="0"/>
    <x v="4"/>
    <x v="1"/>
    <x v="49"/>
    <x v="1"/>
    <x v="2"/>
    <x v="1"/>
  </r>
  <r>
    <x v="1509"/>
    <n v="29.57"/>
    <x v="3"/>
    <x v="3"/>
    <x v="18"/>
    <n v="2.81"/>
    <n v="-3.8E-3"/>
    <x v="6"/>
    <m/>
    <n v="0"/>
    <x v="4"/>
    <x v="1"/>
    <x v="49"/>
    <x v="0"/>
    <x v="2"/>
    <x v="1"/>
  </r>
  <r>
    <x v="1510"/>
    <n v="29.19"/>
    <x v="1036"/>
    <x v="966"/>
    <x v="6"/>
    <n v="2.2799999999999998"/>
    <n v="0.13139999999999999"/>
    <x v="6"/>
    <m/>
    <n v="1"/>
    <x v="4"/>
    <x v="1"/>
    <x v="49"/>
    <x v="0"/>
    <x v="1"/>
    <x v="0"/>
  </r>
  <r>
    <x v="1511"/>
    <n v="28.67"/>
    <x v="1037"/>
    <x v="967"/>
    <x v="102"/>
    <n v="3.19"/>
    <n v="0.14580000000000001"/>
    <x v="6"/>
    <m/>
    <n v="1"/>
    <x v="4"/>
    <x v="2"/>
    <x v="50"/>
    <x v="0"/>
    <x v="1"/>
    <x v="0"/>
  </r>
  <r>
    <x v="1512"/>
    <n v="27.3"/>
    <x v="1038"/>
    <x v="968"/>
    <x v="3"/>
    <n v="2.4300000000000002"/>
    <n v="8.0399999999999999E-2"/>
    <x v="6"/>
    <m/>
    <n v="1"/>
    <x v="4"/>
    <x v="2"/>
    <x v="50"/>
    <x v="0"/>
    <x v="1"/>
    <x v="1"/>
  </r>
  <r>
    <x v="1513"/>
    <n v="26.91"/>
    <x v="1039"/>
    <x v="529"/>
    <x v="5"/>
    <n v="2.67"/>
    <n v="0.1643"/>
    <x v="6"/>
    <m/>
    <n v="1"/>
    <x v="4"/>
    <x v="2"/>
    <x v="50"/>
    <x v="0"/>
    <x v="1"/>
    <x v="0"/>
  </r>
  <r>
    <x v="1514"/>
    <n v="26.08"/>
    <x v="1040"/>
    <x v="969"/>
    <x v="19"/>
    <n v="2.65"/>
    <n v="0.18010000000000001"/>
    <x v="6"/>
    <m/>
    <n v="1"/>
    <x v="4"/>
    <x v="2"/>
    <x v="50"/>
    <x v="1"/>
    <x v="1"/>
    <x v="0"/>
  </r>
  <r>
    <x v="1515"/>
    <n v="26.08"/>
    <x v="3"/>
    <x v="3"/>
    <x v="37"/>
    <n v="2.88"/>
    <n v="0.18440000000000001"/>
    <x v="6"/>
    <m/>
    <n v="0"/>
    <x v="4"/>
    <x v="2"/>
    <x v="50"/>
    <x v="1"/>
    <x v="2"/>
    <x v="0"/>
  </r>
  <r>
    <x v="1516"/>
    <n v="26.08"/>
    <x v="3"/>
    <x v="3"/>
    <x v="1"/>
    <n v="3.11"/>
    <n v="0.20269999999999999"/>
    <x v="6"/>
    <m/>
    <n v="0"/>
    <x v="4"/>
    <x v="2"/>
    <x v="50"/>
    <x v="0"/>
    <x v="2"/>
    <x v="0"/>
  </r>
  <r>
    <x v="1517"/>
    <n v="25.86"/>
    <x v="1041"/>
    <x v="970"/>
    <x v="103"/>
    <n v="2.73"/>
    <n v="7.1300000000000002E-2"/>
    <x v="6"/>
    <m/>
    <n v="1"/>
    <x v="4"/>
    <x v="2"/>
    <x v="50"/>
    <x v="0"/>
    <x v="1"/>
    <x v="1"/>
  </r>
  <r>
    <x v="1518"/>
    <n v="26.35"/>
    <x v="1042"/>
    <x v="971"/>
    <x v="43"/>
    <n v="2.48"/>
    <n v="0.115"/>
    <x v="6"/>
    <m/>
    <n v="1"/>
    <x v="4"/>
    <x v="2"/>
    <x v="50"/>
    <x v="0"/>
    <x v="0"/>
    <x v="0"/>
  </r>
  <r>
    <x v="1519"/>
    <n v="25.47"/>
    <x v="1043"/>
    <x v="972"/>
    <x v="102"/>
    <n v="2.63"/>
    <n v="0.1656"/>
    <x v="6"/>
    <m/>
    <n v="1"/>
    <x v="4"/>
    <x v="2"/>
    <x v="50"/>
    <x v="0"/>
    <x v="1"/>
    <x v="0"/>
  </r>
  <r>
    <x v="1520"/>
    <n v="27.5"/>
    <x v="1044"/>
    <x v="973"/>
    <x v="18"/>
    <n v="2.31"/>
    <n v="0.2823"/>
    <x v="6"/>
    <m/>
    <n v="1"/>
    <x v="4"/>
    <x v="2"/>
    <x v="50"/>
    <x v="0"/>
    <x v="0"/>
    <x v="0"/>
  </r>
  <r>
    <x v="1521"/>
    <n v="29.01"/>
    <x v="1045"/>
    <x v="974"/>
    <x v="27"/>
    <n v="2.37"/>
    <n v="9.6600000000000005E-2"/>
    <x v="6"/>
    <m/>
    <n v="1"/>
    <x v="4"/>
    <x v="2"/>
    <x v="50"/>
    <x v="1"/>
    <x v="0"/>
    <x v="1"/>
  </r>
  <r>
    <x v="1522"/>
    <n v="29.01"/>
    <x v="3"/>
    <x v="3"/>
    <x v="6"/>
    <n v="2.5499999999999998"/>
    <n v="0.1033"/>
    <x v="6"/>
    <m/>
    <n v="0"/>
    <x v="4"/>
    <x v="2"/>
    <x v="50"/>
    <x v="1"/>
    <x v="2"/>
    <x v="0"/>
  </r>
  <r>
    <x v="1523"/>
    <n v="29.01"/>
    <x v="3"/>
    <x v="3"/>
    <x v="37"/>
    <n v="3"/>
    <n v="7.0000000000000007E-2"/>
    <x v="6"/>
    <m/>
    <n v="0"/>
    <x v="4"/>
    <x v="2"/>
    <x v="50"/>
    <x v="0"/>
    <x v="2"/>
    <x v="1"/>
  </r>
  <r>
    <x v="1524"/>
    <n v="29.93"/>
    <x v="1046"/>
    <x v="975"/>
    <x v="106"/>
    <n v="2.5"/>
    <n v="0.25850000000000001"/>
    <x v="6"/>
    <m/>
    <n v="1"/>
    <x v="4"/>
    <x v="2"/>
    <x v="50"/>
    <x v="0"/>
    <x v="0"/>
    <x v="0"/>
  </r>
  <r>
    <x v="1525"/>
    <n v="31.02"/>
    <x v="1047"/>
    <x v="976"/>
    <x v="102"/>
    <n v="2.78"/>
    <n v="0.32369999999999999"/>
    <x v="6"/>
    <m/>
    <n v="1"/>
    <x v="4"/>
    <x v="2"/>
    <x v="50"/>
    <x v="0"/>
    <x v="0"/>
    <x v="0"/>
  </r>
  <r>
    <x v="1526"/>
    <n v="30.6"/>
    <x v="1048"/>
    <x v="904"/>
    <x v="47"/>
    <n v="1.93"/>
    <n v="3.0999999999999999E-3"/>
    <x v="6"/>
    <m/>
    <n v="1"/>
    <x v="4"/>
    <x v="2"/>
    <x v="50"/>
    <x v="0"/>
    <x v="1"/>
    <x v="1"/>
  </r>
  <r>
    <x v="1527"/>
    <n v="29.53"/>
    <x v="1049"/>
    <x v="977"/>
    <x v="17"/>
    <n v="1.8"/>
    <n v="-1.4E-2"/>
    <x v="6"/>
    <m/>
    <n v="1"/>
    <x v="4"/>
    <x v="2"/>
    <x v="50"/>
    <x v="0"/>
    <x v="0"/>
    <x v="1"/>
  </r>
  <r>
    <x v="1528"/>
    <n v="28.8"/>
    <x v="1050"/>
    <x v="978"/>
    <x v="42"/>
    <n v="2.2999999999999998"/>
    <n v="4.3999999999999997E-2"/>
    <x v="6"/>
    <m/>
    <n v="1"/>
    <x v="4"/>
    <x v="2"/>
    <x v="50"/>
    <x v="1"/>
    <x v="1"/>
    <x v="1"/>
  </r>
  <r>
    <x v="1529"/>
    <n v="28.8"/>
    <x v="3"/>
    <x v="3"/>
    <x v="54"/>
    <n v="1.65"/>
    <n v="-1.83E-2"/>
    <x v="6"/>
    <m/>
    <n v="0"/>
    <x v="4"/>
    <x v="2"/>
    <x v="50"/>
    <x v="1"/>
    <x v="2"/>
    <x v="1"/>
  </r>
  <r>
    <x v="1530"/>
    <n v="28.8"/>
    <x v="3"/>
    <x v="3"/>
    <x v="65"/>
    <n v="1.79"/>
    <n v="-0.14269999999999999"/>
    <x v="6"/>
    <m/>
    <n v="0"/>
    <x v="4"/>
    <x v="2"/>
    <x v="50"/>
    <x v="0"/>
    <x v="2"/>
    <x v="2"/>
  </r>
  <r>
    <x v="1531"/>
    <n v="28.5"/>
    <x v="1051"/>
    <x v="979"/>
    <x v="42"/>
    <n v="2.2000000000000002"/>
    <n v="-1.34E-2"/>
    <x v="6"/>
    <m/>
    <n v="1"/>
    <x v="4"/>
    <x v="2"/>
    <x v="50"/>
    <x v="0"/>
    <x v="1"/>
    <x v="1"/>
  </r>
  <r>
    <x v="1532"/>
    <n v="28.67"/>
    <x v="1052"/>
    <x v="202"/>
    <x v="40"/>
    <n v="1.85"/>
    <n v="-5.9799999999999999E-2"/>
    <x v="6"/>
    <m/>
    <n v="1"/>
    <x v="4"/>
    <x v="2"/>
    <x v="50"/>
    <x v="0"/>
    <x v="0"/>
    <x v="1"/>
  </r>
  <r>
    <x v="1533"/>
    <n v="29.15"/>
    <x v="1053"/>
    <x v="980"/>
    <x v="17"/>
    <n v="2.1800000000000002"/>
    <n v="2.92E-2"/>
    <x v="6"/>
    <m/>
    <n v="1"/>
    <x v="4"/>
    <x v="2"/>
    <x v="50"/>
    <x v="1"/>
    <x v="0"/>
    <x v="1"/>
  </r>
  <r>
    <x v="1534"/>
    <n v="29.15"/>
    <x v="3"/>
    <x v="3"/>
    <x v="12"/>
    <n v="2.04"/>
    <n v="-0.1139"/>
    <x v="6"/>
    <m/>
    <n v="0"/>
    <x v="4"/>
    <x v="2"/>
    <x v="50"/>
    <x v="0"/>
    <x v="2"/>
    <x v="2"/>
  </r>
  <r>
    <x v="1535"/>
    <n v="28.55"/>
    <x v="1054"/>
    <x v="981"/>
    <x v="4"/>
    <n v="1.8"/>
    <n v="-0.10249999999999999"/>
    <x v="6"/>
    <m/>
    <n v="1"/>
    <x v="4"/>
    <x v="2"/>
    <x v="50"/>
    <x v="1"/>
    <x v="1"/>
    <x v="2"/>
  </r>
  <r>
    <x v="1536"/>
    <n v="28.55"/>
    <x v="3"/>
    <x v="3"/>
    <x v="23"/>
    <n v="1.82"/>
    <n v="-9.4799999999999995E-2"/>
    <x v="6"/>
    <m/>
    <n v="0"/>
    <x v="4"/>
    <x v="2"/>
    <x v="50"/>
    <x v="1"/>
    <x v="2"/>
    <x v="1"/>
  </r>
  <r>
    <x v="1537"/>
    <n v="28.55"/>
    <x v="3"/>
    <x v="3"/>
    <x v="24"/>
    <n v="2.1"/>
    <n v="3.9399999999999998E-2"/>
    <x v="6"/>
    <m/>
    <n v="0"/>
    <x v="4"/>
    <x v="2"/>
    <x v="50"/>
    <x v="0"/>
    <x v="2"/>
    <x v="1"/>
  </r>
  <r>
    <x v="1538"/>
    <n v="28.12"/>
    <x v="1055"/>
    <x v="982"/>
    <x v="13"/>
    <n v="2.02"/>
    <n v="-0.1021"/>
    <x v="6"/>
    <m/>
    <n v="1"/>
    <x v="4"/>
    <x v="2"/>
    <x v="50"/>
    <x v="0"/>
    <x v="1"/>
    <x v="2"/>
  </r>
  <r>
    <x v="1539"/>
    <n v="28.1"/>
    <x v="1056"/>
    <x v="983"/>
    <x v="16"/>
    <n v="1.82"/>
    <n v="-0.1094"/>
    <x v="6"/>
    <m/>
    <n v="1"/>
    <x v="4"/>
    <x v="2"/>
    <x v="50"/>
    <x v="0"/>
    <x v="1"/>
    <x v="2"/>
  </r>
  <r>
    <x v="1540"/>
    <n v="30.55"/>
    <x v="1057"/>
    <x v="984"/>
    <x v="35"/>
    <n v="1.9"/>
    <n v="-1.9300000000000001E-2"/>
    <x v="6"/>
    <m/>
    <n v="1"/>
    <x v="4"/>
    <x v="2"/>
    <x v="50"/>
    <x v="0"/>
    <x v="0"/>
    <x v="1"/>
  </r>
  <r>
    <x v="1541"/>
    <n v="31.69"/>
    <x v="1058"/>
    <x v="985"/>
    <x v="12"/>
    <n v="1.98"/>
    <n v="-0.20080000000000001"/>
    <x v="6"/>
    <m/>
    <n v="1"/>
    <x v="4"/>
    <x v="3"/>
    <x v="51"/>
    <x v="0"/>
    <x v="0"/>
    <x v="2"/>
  </r>
  <r>
    <x v="1542"/>
    <n v="32.04"/>
    <x v="1059"/>
    <x v="638"/>
    <x v="13"/>
    <n v="2.12"/>
    <n v="7.7899999999999997E-2"/>
    <x v="6"/>
    <m/>
    <n v="1"/>
    <x v="4"/>
    <x v="3"/>
    <x v="51"/>
    <x v="1"/>
    <x v="0"/>
    <x v="1"/>
  </r>
  <r>
    <x v="1543"/>
    <n v="32.04"/>
    <x v="3"/>
    <x v="3"/>
    <x v="7"/>
    <n v="2.11"/>
    <n v="5.1900000000000002E-2"/>
    <x v="6"/>
    <m/>
    <n v="0"/>
    <x v="4"/>
    <x v="3"/>
    <x v="51"/>
    <x v="1"/>
    <x v="2"/>
    <x v="1"/>
  </r>
  <r>
    <x v="1544"/>
    <n v="32.04"/>
    <x v="3"/>
    <x v="3"/>
    <x v="17"/>
    <n v="1.82"/>
    <n v="4.7899999999999998E-2"/>
    <x v="6"/>
    <m/>
    <n v="0"/>
    <x v="4"/>
    <x v="3"/>
    <x v="51"/>
    <x v="0"/>
    <x v="2"/>
    <x v="1"/>
  </r>
  <r>
    <x v="1545"/>
    <n v="31.26"/>
    <x v="1060"/>
    <x v="986"/>
    <x v="17"/>
    <n v="2"/>
    <n v="-7.4399999999999994E-2"/>
    <x v="6"/>
    <m/>
    <n v="1"/>
    <x v="4"/>
    <x v="3"/>
    <x v="51"/>
    <x v="0"/>
    <x v="1"/>
    <x v="1"/>
  </r>
  <r>
    <x v="1546"/>
    <n v="30.56"/>
    <x v="1061"/>
    <x v="987"/>
    <x v="37"/>
    <n v="1.78"/>
    <n v="-7.3899999999999993E-2"/>
    <x v="6"/>
    <m/>
    <n v="1"/>
    <x v="4"/>
    <x v="3"/>
    <x v="51"/>
    <x v="0"/>
    <x v="1"/>
    <x v="1"/>
  </r>
  <r>
    <x v="1547"/>
    <n v="30.84"/>
    <x v="1062"/>
    <x v="619"/>
    <x v="19"/>
    <n v="1.81"/>
    <n v="-4.6399999999999997E-2"/>
    <x v="6"/>
    <m/>
    <n v="1"/>
    <x v="4"/>
    <x v="3"/>
    <x v="51"/>
    <x v="0"/>
    <x v="0"/>
    <x v="1"/>
  </r>
  <r>
    <x v="1548"/>
    <n v="31.03"/>
    <x v="1063"/>
    <x v="988"/>
    <x v="4"/>
    <n v="1.74"/>
    <n v="-0.1419"/>
    <x v="6"/>
    <m/>
    <n v="1"/>
    <x v="4"/>
    <x v="3"/>
    <x v="51"/>
    <x v="0"/>
    <x v="0"/>
    <x v="2"/>
  </r>
  <r>
    <x v="1549"/>
    <n v="32"/>
    <x v="1064"/>
    <x v="573"/>
    <x v="48"/>
    <n v="1.76"/>
    <n v="-0.1431"/>
    <x v="6"/>
    <m/>
    <n v="1"/>
    <x v="4"/>
    <x v="3"/>
    <x v="51"/>
    <x v="1"/>
    <x v="1"/>
    <x v="2"/>
  </r>
  <r>
    <x v="1550"/>
    <n v="32"/>
    <x v="3"/>
    <x v="3"/>
    <x v="35"/>
    <n v="2.2999999999999998"/>
    <n v="0.17369999999999999"/>
    <x v="6"/>
    <m/>
    <n v="0"/>
    <x v="4"/>
    <x v="3"/>
    <x v="51"/>
    <x v="1"/>
    <x v="2"/>
    <x v="0"/>
  </r>
  <r>
    <x v="1551"/>
    <n v="32"/>
    <x v="3"/>
    <x v="3"/>
    <x v="27"/>
    <n v="2.2000000000000002"/>
    <n v="2.3400000000000001E-2"/>
    <x v="6"/>
    <m/>
    <n v="0"/>
    <x v="4"/>
    <x v="3"/>
    <x v="51"/>
    <x v="0"/>
    <x v="2"/>
    <x v="1"/>
  </r>
  <r>
    <x v="1552"/>
    <n v="31.52"/>
    <x v="1065"/>
    <x v="989"/>
    <x v="41"/>
    <n v="2.1"/>
    <n v="-2.06E-2"/>
    <x v="6"/>
    <m/>
    <n v="1"/>
    <x v="4"/>
    <x v="3"/>
    <x v="51"/>
    <x v="0"/>
    <x v="1"/>
    <x v="1"/>
  </r>
  <r>
    <x v="1553"/>
    <n v="32.03"/>
    <x v="1066"/>
    <x v="990"/>
    <x v="19"/>
    <n v="1.81"/>
    <n v="-8.5400000000000004E-2"/>
    <x v="6"/>
    <m/>
    <n v="1"/>
    <x v="4"/>
    <x v="3"/>
    <x v="51"/>
    <x v="0"/>
    <x v="1"/>
    <x v="1"/>
  </r>
  <r>
    <x v="1554"/>
    <n v="31.78"/>
    <x v="1067"/>
    <x v="991"/>
    <x v="17"/>
    <n v="2.11"/>
    <n v="9.7900000000000001E-2"/>
    <x v="6"/>
    <m/>
    <n v="1"/>
    <x v="4"/>
    <x v="3"/>
    <x v="51"/>
    <x v="0"/>
    <x v="1"/>
    <x v="1"/>
  </r>
  <r>
    <x v="1555"/>
    <n v="29.04"/>
    <x v="1068"/>
    <x v="992"/>
    <x v="25"/>
    <n v="2.02"/>
    <n v="3.7600000000000001E-2"/>
    <x v="6"/>
    <m/>
    <n v="1"/>
    <x v="4"/>
    <x v="3"/>
    <x v="51"/>
    <x v="0"/>
    <x v="1"/>
    <x v="1"/>
  </r>
  <r>
    <x v="1556"/>
    <n v="29.07"/>
    <x v="1069"/>
    <x v="993"/>
    <x v="12"/>
    <n v="2.19"/>
    <n v="8.9899999999999994E-2"/>
    <x v="6"/>
    <m/>
    <n v="1"/>
    <x v="4"/>
    <x v="3"/>
    <x v="51"/>
    <x v="1"/>
    <x v="0"/>
    <x v="1"/>
  </r>
  <r>
    <x v="1557"/>
    <n v="29.07"/>
    <x v="3"/>
    <x v="3"/>
    <x v="10"/>
    <n v="2.38"/>
    <n v="6.54E-2"/>
    <x v="6"/>
    <m/>
    <n v="0"/>
    <x v="4"/>
    <x v="3"/>
    <x v="51"/>
    <x v="1"/>
    <x v="2"/>
    <x v="1"/>
  </r>
  <r>
    <x v="1558"/>
    <n v="29.07"/>
    <x v="3"/>
    <x v="3"/>
    <x v="1"/>
    <n v="2.59"/>
    <n v="0.17599999999999999"/>
    <x v="6"/>
    <m/>
    <n v="0"/>
    <x v="4"/>
    <x v="3"/>
    <x v="51"/>
    <x v="0"/>
    <x v="2"/>
    <x v="0"/>
  </r>
  <r>
    <x v="1559"/>
    <n v="28.83"/>
    <x v="1070"/>
    <x v="994"/>
    <x v="26"/>
    <n v="2.62"/>
    <n v="0.21049999999999999"/>
    <x v="6"/>
    <m/>
    <n v="1"/>
    <x v="4"/>
    <x v="3"/>
    <x v="51"/>
    <x v="0"/>
    <x v="1"/>
    <x v="0"/>
  </r>
  <r>
    <x v="1560"/>
    <n v="28.82"/>
    <x v="1071"/>
    <x v="995"/>
    <x v="5"/>
    <n v="2.09"/>
    <n v="5.67E-2"/>
    <x v="6"/>
    <m/>
    <n v="1"/>
    <x v="4"/>
    <x v="3"/>
    <x v="51"/>
    <x v="0"/>
    <x v="0"/>
    <x v="1"/>
  </r>
  <r>
    <x v="1561"/>
    <n v="29.8"/>
    <x v="1072"/>
    <x v="996"/>
    <x v="2"/>
    <n v="2.85"/>
    <n v="0.1236"/>
    <x v="6"/>
    <m/>
    <n v="1"/>
    <x v="4"/>
    <x v="3"/>
    <x v="51"/>
    <x v="0"/>
    <x v="0"/>
    <x v="0"/>
  </r>
  <r>
    <x v="1562"/>
    <n v="29.77"/>
    <x v="1073"/>
    <x v="280"/>
    <x v="4"/>
    <n v="2.54"/>
    <n v="0.16339999999999999"/>
    <x v="6"/>
    <m/>
    <n v="1"/>
    <x v="4"/>
    <x v="3"/>
    <x v="51"/>
    <x v="0"/>
    <x v="1"/>
    <x v="0"/>
  </r>
  <r>
    <x v="1563"/>
    <n v="29.5"/>
    <x v="1074"/>
    <x v="997"/>
    <x v="6"/>
    <n v="2.62"/>
    <n v="0.1275"/>
    <x v="6"/>
    <m/>
    <n v="1"/>
    <x v="4"/>
    <x v="3"/>
    <x v="51"/>
    <x v="1"/>
    <x v="1"/>
    <x v="0"/>
  </r>
  <r>
    <x v="1564"/>
    <n v="29.5"/>
    <x v="3"/>
    <x v="3"/>
    <x v="37"/>
    <n v="2.38"/>
    <n v="7.4099999999999999E-2"/>
    <x v="6"/>
    <m/>
    <n v="0"/>
    <x v="4"/>
    <x v="3"/>
    <x v="51"/>
    <x v="1"/>
    <x v="2"/>
    <x v="1"/>
  </r>
  <r>
    <x v="1565"/>
    <n v="29.5"/>
    <x v="3"/>
    <x v="3"/>
    <x v="27"/>
    <n v="2.83"/>
    <n v="5.8799999999999998E-2"/>
    <x v="6"/>
    <m/>
    <n v="0"/>
    <x v="4"/>
    <x v="3"/>
    <x v="51"/>
    <x v="1"/>
    <x v="2"/>
    <x v="1"/>
  </r>
  <r>
    <x v="1566"/>
    <n v="29.5"/>
    <x v="3"/>
    <x v="3"/>
    <x v="18"/>
    <n v="2.69"/>
    <n v="0.17330000000000001"/>
    <x v="6"/>
    <m/>
    <n v="0"/>
    <x v="4"/>
    <x v="3"/>
    <x v="51"/>
    <x v="0"/>
    <x v="2"/>
    <x v="0"/>
  </r>
  <r>
    <x v="1567"/>
    <n v="28.42"/>
    <x v="1075"/>
    <x v="998"/>
    <x v="2"/>
    <n v="2.3199999999999998"/>
    <n v="1.17E-2"/>
    <x v="6"/>
    <m/>
    <n v="1"/>
    <x v="4"/>
    <x v="3"/>
    <x v="51"/>
    <x v="0"/>
    <x v="1"/>
    <x v="1"/>
  </r>
  <r>
    <x v="1568"/>
    <n v="27.69"/>
    <x v="1076"/>
    <x v="999"/>
    <x v="37"/>
    <n v="3.06"/>
    <n v="0.13469999999999999"/>
    <x v="6"/>
    <m/>
    <n v="1"/>
    <x v="4"/>
    <x v="3"/>
    <x v="51"/>
    <x v="0"/>
    <x v="1"/>
    <x v="0"/>
  </r>
  <r>
    <x v="1569"/>
    <n v="29.11"/>
    <x v="1077"/>
    <x v="1000"/>
    <x v="13"/>
    <n v="2.82"/>
    <n v="0.18360000000000001"/>
    <x v="6"/>
    <m/>
    <n v="1"/>
    <x v="4"/>
    <x v="3"/>
    <x v="51"/>
    <x v="0"/>
    <x v="0"/>
    <x v="0"/>
  </r>
  <r>
    <x v="1570"/>
    <n v="29.49"/>
    <x v="1078"/>
    <x v="1001"/>
    <x v="37"/>
    <n v="2.97"/>
    <n v="0.28399999999999997"/>
    <x v="6"/>
    <m/>
    <n v="1"/>
    <x v="4"/>
    <x v="3"/>
    <x v="51"/>
    <x v="1"/>
    <x v="0"/>
    <x v="0"/>
  </r>
  <r>
    <x v="1571"/>
    <n v="29.49"/>
    <x v="3"/>
    <x v="3"/>
    <x v="2"/>
    <n v="3.09"/>
    <n v="0.2838"/>
    <x v="6"/>
    <m/>
    <n v="0"/>
    <x v="4"/>
    <x v="3"/>
    <x v="51"/>
    <x v="1"/>
    <x v="2"/>
    <x v="0"/>
  </r>
  <r>
    <x v="1572"/>
    <n v="29.49"/>
    <x v="3"/>
    <x v="3"/>
    <x v="41"/>
    <n v="2.12"/>
    <n v="-4.8300000000000003E-2"/>
    <x v="6"/>
    <m/>
    <n v="0"/>
    <x v="5"/>
    <x v="4"/>
    <x v="52"/>
    <x v="1"/>
    <x v="2"/>
    <x v="1"/>
  </r>
  <r>
    <x v="1573"/>
    <n v="29.49"/>
    <x v="3"/>
    <x v="3"/>
    <x v="0"/>
    <n v="2.61"/>
    <n v="7.5200000000000003E-2"/>
    <x v="6"/>
    <m/>
    <n v="0"/>
    <x v="5"/>
    <x v="4"/>
    <x v="52"/>
    <x v="0"/>
    <x v="2"/>
    <x v="1"/>
  </r>
  <r>
    <x v="1574"/>
    <n v="29.5"/>
    <x v="1079"/>
    <x v="578"/>
    <x v="10"/>
    <n v="2.41"/>
    <n v="0.25700000000000001"/>
    <x v="6"/>
    <m/>
    <n v="1"/>
    <x v="5"/>
    <x v="4"/>
    <x v="52"/>
    <x v="0"/>
    <x v="1"/>
    <x v="0"/>
  </r>
  <r>
    <x v="1575"/>
    <n v="30.94"/>
    <x v="1080"/>
    <x v="1002"/>
    <x v="36"/>
    <n v="2.69"/>
    <n v="4.87E-2"/>
    <x v="6"/>
    <m/>
    <n v="1"/>
    <x v="5"/>
    <x v="4"/>
    <x v="52"/>
    <x v="0"/>
    <x v="0"/>
    <x v="1"/>
  </r>
  <r>
    <x v="1576"/>
    <n v="30.97"/>
    <x v="1081"/>
    <x v="1003"/>
    <x v="37"/>
    <n v="2.97"/>
    <n v="0.2399"/>
    <x v="6"/>
    <m/>
    <n v="1"/>
    <x v="5"/>
    <x v="4"/>
    <x v="52"/>
    <x v="0"/>
    <x v="0"/>
    <x v="0"/>
  </r>
  <r>
    <x v="1577"/>
    <n v="31.56"/>
    <x v="1082"/>
    <x v="1004"/>
    <x v="37"/>
    <n v="2.5299999999999998"/>
    <n v="8.2799999999999999E-2"/>
    <x v="6"/>
    <m/>
    <n v="1"/>
    <x v="5"/>
    <x v="4"/>
    <x v="52"/>
    <x v="1"/>
    <x v="0"/>
    <x v="1"/>
  </r>
  <r>
    <x v="1578"/>
    <n v="31.56"/>
    <x v="3"/>
    <x v="3"/>
    <x v="19"/>
    <n v="2.0699999999999998"/>
    <n v="-6.6299999999999998E-2"/>
    <x v="6"/>
    <m/>
    <n v="0"/>
    <x v="5"/>
    <x v="4"/>
    <x v="52"/>
    <x v="1"/>
    <x v="2"/>
    <x v="1"/>
  </r>
  <r>
    <x v="1579"/>
    <n v="31.56"/>
    <x v="3"/>
    <x v="3"/>
    <x v="3"/>
    <n v="2.16"/>
    <n v="1.7999999999999999E-2"/>
    <x v="6"/>
    <m/>
    <n v="0"/>
    <x v="5"/>
    <x v="4"/>
    <x v="52"/>
    <x v="0"/>
    <x v="2"/>
    <x v="1"/>
  </r>
  <r>
    <x v="1580"/>
    <n v="31.52"/>
    <x v="1083"/>
    <x v="1005"/>
    <x v="12"/>
    <n v="1.87"/>
    <n v="5.5999999999999999E-3"/>
    <x v="6"/>
    <m/>
    <n v="1"/>
    <x v="5"/>
    <x v="4"/>
    <x v="52"/>
    <x v="0"/>
    <x v="1"/>
    <x v="1"/>
  </r>
  <r>
    <x v="1581"/>
    <n v="32.75"/>
    <x v="1084"/>
    <x v="1006"/>
    <x v="13"/>
    <n v="2.5"/>
    <n v="0.1163"/>
    <x v="6"/>
    <m/>
    <n v="1"/>
    <x v="5"/>
    <x v="4"/>
    <x v="52"/>
    <x v="0"/>
    <x v="0"/>
    <x v="0"/>
  </r>
  <r>
    <x v="1582"/>
    <n v="32.729999999999997"/>
    <x v="1085"/>
    <x v="1007"/>
    <x v="18"/>
    <n v="2.85"/>
    <n v="0.18940000000000001"/>
    <x v="6"/>
    <m/>
    <n v="1"/>
    <x v="5"/>
    <x v="4"/>
    <x v="52"/>
    <x v="0"/>
    <x v="0"/>
    <x v="0"/>
  </r>
  <r>
    <x v="1583"/>
    <n v="33.01"/>
    <x v="1086"/>
    <x v="1008"/>
    <x v="27"/>
    <n v="1.97"/>
    <n v="6.8599999999999994E-2"/>
    <x v="6"/>
    <m/>
    <n v="1"/>
    <x v="5"/>
    <x v="4"/>
    <x v="52"/>
    <x v="0"/>
    <x v="1"/>
    <x v="1"/>
  </r>
  <r>
    <x v="1584"/>
    <n v="33.28"/>
    <x v="1087"/>
    <x v="1009"/>
    <x v="5"/>
    <n v="2.2400000000000002"/>
    <n v="0.15570000000000001"/>
    <x v="6"/>
    <m/>
    <n v="1"/>
    <x v="5"/>
    <x v="4"/>
    <x v="52"/>
    <x v="1"/>
    <x v="0"/>
    <x v="0"/>
  </r>
  <r>
    <x v="1585"/>
    <n v="33.28"/>
    <x v="3"/>
    <x v="3"/>
    <x v="26"/>
    <n v="2.48"/>
    <n v="0.1976"/>
    <x v="6"/>
    <m/>
    <n v="0"/>
    <x v="5"/>
    <x v="4"/>
    <x v="52"/>
    <x v="1"/>
    <x v="2"/>
    <x v="0"/>
  </r>
  <r>
    <x v="1586"/>
    <n v="33.28"/>
    <x v="3"/>
    <x v="3"/>
    <x v="7"/>
    <n v="2"/>
    <n v="4.1500000000000002E-2"/>
    <x v="6"/>
    <m/>
    <n v="0"/>
    <x v="5"/>
    <x v="4"/>
    <x v="52"/>
    <x v="1"/>
    <x v="2"/>
    <x v="1"/>
  </r>
  <r>
    <x v="1587"/>
    <n v="33.28"/>
    <x v="3"/>
    <x v="3"/>
    <x v="43"/>
    <n v="3"/>
    <n v="0.46110000000000001"/>
    <x v="6"/>
    <m/>
    <n v="0"/>
    <x v="5"/>
    <x v="4"/>
    <x v="52"/>
    <x v="0"/>
    <x v="2"/>
    <x v="0"/>
  </r>
  <r>
    <x v="1588"/>
    <n v="32.619999999999997"/>
    <x v="1088"/>
    <x v="1010"/>
    <x v="5"/>
    <n v="1.94"/>
    <n v="0.1273"/>
    <x v="6"/>
    <m/>
    <n v="1"/>
    <x v="5"/>
    <x v="4"/>
    <x v="52"/>
    <x v="0"/>
    <x v="1"/>
    <x v="0"/>
  </r>
  <r>
    <x v="1589"/>
    <n v="32.630000000000003"/>
    <x v="1089"/>
    <x v="1011"/>
    <x v="43"/>
    <n v="3.24"/>
    <n v="0.3165"/>
    <x v="6"/>
    <m/>
    <n v="1"/>
    <x v="5"/>
    <x v="4"/>
    <x v="52"/>
    <x v="0"/>
    <x v="1"/>
    <x v="0"/>
  </r>
  <r>
    <x v="1590"/>
    <n v="31.58"/>
    <x v="1090"/>
    <x v="1012"/>
    <x v="38"/>
    <n v="2.3199999999999998"/>
    <n v="4.1799999999999997E-2"/>
    <x v="6"/>
    <m/>
    <n v="1"/>
    <x v="5"/>
    <x v="4"/>
    <x v="52"/>
    <x v="0"/>
    <x v="1"/>
    <x v="1"/>
  </r>
  <r>
    <x v="1591"/>
    <n v="34.25"/>
    <x v="1091"/>
    <x v="1013"/>
    <x v="18"/>
    <n v="2.5"/>
    <n v="0.128"/>
    <x v="6"/>
    <m/>
    <n v="1"/>
    <x v="5"/>
    <x v="4"/>
    <x v="52"/>
    <x v="1"/>
    <x v="0"/>
    <x v="0"/>
  </r>
  <r>
    <x v="1592"/>
    <n v="34.25"/>
    <x v="3"/>
    <x v="3"/>
    <x v="43"/>
    <n v="2.52"/>
    <n v="0.26740000000000003"/>
    <x v="6"/>
    <m/>
    <n v="0"/>
    <x v="5"/>
    <x v="4"/>
    <x v="52"/>
    <x v="1"/>
    <x v="2"/>
    <x v="0"/>
  </r>
  <r>
    <x v="1593"/>
    <n v="34.25"/>
    <x v="3"/>
    <x v="3"/>
    <x v="10"/>
    <n v="2.2599999999999998"/>
    <n v="-6.1800000000000001E-2"/>
    <x v="6"/>
    <m/>
    <n v="0"/>
    <x v="5"/>
    <x v="4"/>
    <x v="52"/>
    <x v="0"/>
    <x v="2"/>
    <x v="1"/>
  </r>
  <r>
    <x v="1594"/>
    <n v="35.74"/>
    <x v="1092"/>
    <x v="1014"/>
    <x v="102"/>
    <n v="2.74"/>
    <n v="-3.4700000000000002E-2"/>
    <x v="6"/>
    <m/>
    <n v="1"/>
    <x v="5"/>
    <x v="4"/>
    <x v="52"/>
    <x v="0"/>
    <x v="0"/>
    <x v="1"/>
  </r>
  <r>
    <x v="1595"/>
    <n v="36.380000000000003"/>
    <x v="1093"/>
    <x v="1015"/>
    <x v="37"/>
    <n v="2.69"/>
    <n v="8.2299999999999998E-2"/>
    <x v="6"/>
    <m/>
    <n v="1"/>
    <x v="5"/>
    <x v="4"/>
    <x v="52"/>
    <x v="0"/>
    <x v="0"/>
    <x v="1"/>
  </r>
  <r>
    <x v="1596"/>
    <n v="36.799999999999997"/>
    <x v="1094"/>
    <x v="1016"/>
    <x v="1"/>
    <n v="2.84"/>
    <n v="0.2757"/>
    <x v="6"/>
    <m/>
    <n v="1"/>
    <x v="5"/>
    <x v="4"/>
    <x v="52"/>
    <x v="0"/>
    <x v="0"/>
    <x v="0"/>
  </r>
  <r>
    <x v="1597"/>
    <n v="36.49"/>
    <x v="1095"/>
    <x v="1017"/>
    <x v="43"/>
    <n v="2.48"/>
    <n v="0.2329"/>
    <x v="6"/>
    <m/>
    <n v="1"/>
    <x v="5"/>
    <x v="4"/>
    <x v="52"/>
    <x v="0"/>
    <x v="1"/>
    <x v="0"/>
  </r>
  <r>
    <x v="1598"/>
    <n v="36.08"/>
    <x v="1096"/>
    <x v="1018"/>
    <x v="5"/>
    <n v="2.09"/>
    <n v="-4.2900000000000001E-2"/>
    <x v="6"/>
    <m/>
    <n v="1"/>
    <x v="5"/>
    <x v="4"/>
    <x v="52"/>
    <x v="1"/>
    <x v="1"/>
    <x v="1"/>
  </r>
  <r>
    <x v="1599"/>
    <n v="36.08"/>
    <x v="3"/>
    <x v="3"/>
    <x v="1"/>
    <n v="2.16"/>
    <n v="0.1135"/>
    <x v="6"/>
    <m/>
    <n v="0"/>
    <x v="5"/>
    <x v="4"/>
    <x v="52"/>
    <x v="1"/>
    <x v="2"/>
    <x v="0"/>
  </r>
  <r>
    <x v="1600"/>
    <n v="36.08"/>
    <x v="3"/>
    <x v="3"/>
    <x v="0"/>
    <n v="2.61"/>
    <n v="0.153"/>
    <x v="6"/>
    <m/>
    <n v="0"/>
    <x v="5"/>
    <x v="4"/>
    <x v="52"/>
    <x v="0"/>
    <x v="2"/>
    <x v="0"/>
  </r>
  <r>
    <x v="1601"/>
    <n v="35.31"/>
    <x v="1097"/>
    <x v="1019"/>
    <x v="18"/>
    <n v="2.46"/>
    <n v="0.15720000000000001"/>
    <x v="6"/>
    <m/>
    <n v="1"/>
    <x v="5"/>
    <x v="4"/>
    <x v="52"/>
    <x v="0"/>
    <x v="1"/>
    <x v="0"/>
  </r>
  <r>
    <x v="1602"/>
    <n v="35.39"/>
    <x v="1098"/>
    <x v="1020"/>
    <x v="102"/>
    <n v="2.96"/>
    <n v="5.8299999999999998E-2"/>
    <x v="6"/>
    <m/>
    <n v="1"/>
    <x v="5"/>
    <x v="4"/>
    <x v="52"/>
    <x v="0"/>
    <x v="0"/>
    <x v="1"/>
  </r>
  <r>
    <x v="1603"/>
    <n v="36.200000000000003"/>
    <x v="1099"/>
    <x v="1021"/>
    <x v="17"/>
    <n v="2.02"/>
    <n v="8.4000000000000005E-2"/>
    <x v="6"/>
    <m/>
    <n v="1"/>
    <x v="5"/>
    <x v="5"/>
    <x v="53"/>
    <x v="0"/>
    <x v="0"/>
    <x v="1"/>
  </r>
  <r>
    <x v="1604"/>
    <n v="36.69"/>
    <x v="1100"/>
    <x v="346"/>
    <x v="50"/>
    <n v="1.78"/>
    <n v="-1.4800000000000001E-2"/>
    <x v="6"/>
    <m/>
    <n v="1"/>
    <x v="5"/>
    <x v="5"/>
    <x v="53"/>
    <x v="0"/>
    <x v="0"/>
    <x v="1"/>
  </r>
  <r>
    <x v="1605"/>
    <n v="36.590000000000003"/>
    <x v="1101"/>
    <x v="1022"/>
    <x v="24"/>
    <n v="1.65"/>
    <n v="0.17180000000000001"/>
    <x v="6"/>
    <m/>
    <n v="1"/>
    <x v="5"/>
    <x v="5"/>
    <x v="53"/>
    <x v="1"/>
    <x v="0"/>
    <x v="0"/>
  </r>
  <r>
    <x v="1606"/>
    <n v="36.590000000000003"/>
    <x v="3"/>
    <x v="3"/>
    <x v="0"/>
    <n v="2.1800000000000002"/>
    <n v="0.1363"/>
    <x v="6"/>
    <m/>
    <n v="0"/>
    <x v="5"/>
    <x v="5"/>
    <x v="53"/>
    <x v="1"/>
    <x v="2"/>
    <x v="0"/>
  </r>
  <r>
    <x v="1607"/>
    <n v="36.590000000000003"/>
    <x v="3"/>
    <x v="3"/>
    <x v="19"/>
    <n v="2.33"/>
    <n v="0.20430000000000001"/>
    <x v="6"/>
    <m/>
    <n v="0"/>
    <x v="5"/>
    <x v="5"/>
    <x v="53"/>
    <x v="0"/>
    <x v="2"/>
    <x v="0"/>
  </r>
  <r>
    <x v="1608"/>
    <n v="36.15"/>
    <x v="1102"/>
    <x v="1023"/>
    <x v="107"/>
    <n v="2.2599999999999998"/>
    <n v="-0.16209999999999999"/>
    <x v="6"/>
    <m/>
    <n v="1"/>
    <x v="5"/>
    <x v="5"/>
    <x v="53"/>
    <x v="0"/>
    <x v="1"/>
    <x v="2"/>
  </r>
  <r>
    <x v="1609"/>
    <n v="36.29"/>
    <x v="1103"/>
    <x v="1024"/>
    <x v="6"/>
    <n v="2.34"/>
    <n v="0.18160000000000001"/>
    <x v="6"/>
    <m/>
    <n v="1"/>
    <x v="5"/>
    <x v="5"/>
    <x v="53"/>
    <x v="0"/>
    <x v="0"/>
    <x v="0"/>
  </r>
  <r>
    <x v="1610"/>
    <n v="36.68"/>
    <x v="1104"/>
    <x v="1025"/>
    <x v="2"/>
    <n v="2.09"/>
    <n v="-9.2700000000000005E-2"/>
    <x v="6"/>
    <m/>
    <n v="1"/>
    <x v="5"/>
    <x v="5"/>
    <x v="53"/>
    <x v="0"/>
    <x v="0"/>
    <x v="1"/>
  </r>
  <r>
    <x v="1611"/>
    <n v="36.25"/>
    <x v="1105"/>
    <x v="1026"/>
    <x v="41"/>
    <n v="1.49"/>
    <n v="-2.1000000000000001E-2"/>
    <x v="6"/>
    <m/>
    <n v="1"/>
    <x v="5"/>
    <x v="5"/>
    <x v="53"/>
    <x v="0"/>
    <x v="1"/>
    <x v="1"/>
  </r>
  <r>
    <x v="1612"/>
    <n v="34.74"/>
    <x v="1106"/>
    <x v="1027"/>
    <x v="34"/>
    <n v="1.48"/>
    <n v="0.1017"/>
    <x v="6"/>
    <m/>
    <n v="1"/>
    <x v="5"/>
    <x v="5"/>
    <x v="53"/>
    <x v="1"/>
    <x v="1"/>
    <x v="0"/>
  </r>
  <r>
    <x v="1613"/>
    <n v="34.74"/>
    <x v="3"/>
    <x v="3"/>
    <x v="22"/>
    <n v="1.83"/>
    <n v="3.4599999999999999E-2"/>
    <x v="6"/>
    <m/>
    <n v="0"/>
    <x v="5"/>
    <x v="5"/>
    <x v="53"/>
    <x v="1"/>
    <x v="2"/>
    <x v="1"/>
  </r>
  <r>
    <x v="1614"/>
    <n v="34.74"/>
    <x v="3"/>
    <x v="3"/>
    <x v="17"/>
    <n v="1.78"/>
    <n v="0.125"/>
    <x v="6"/>
    <m/>
    <n v="0"/>
    <x v="5"/>
    <x v="5"/>
    <x v="53"/>
    <x v="0"/>
    <x v="2"/>
    <x v="0"/>
  </r>
  <r>
    <x v="1615"/>
    <n v="35.86"/>
    <x v="1107"/>
    <x v="1028"/>
    <x v="10"/>
    <n v="2.2799999999999998"/>
    <n v="0.23350000000000001"/>
    <x v="6"/>
    <m/>
    <n v="1"/>
    <x v="5"/>
    <x v="5"/>
    <x v="53"/>
    <x v="0"/>
    <x v="0"/>
    <x v="0"/>
  </r>
  <r>
    <x v="1616"/>
    <n v="36"/>
    <x v="357"/>
    <x v="1029"/>
    <x v="7"/>
    <n v="1.83"/>
    <n v="-3.5299999999999998E-2"/>
    <x v="6"/>
    <m/>
    <n v="1"/>
    <x v="5"/>
    <x v="5"/>
    <x v="53"/>
    <x v="0"/>
    <x v="0"/>
    <x v="1"/>
  </r>
  <r>
    <x v="1617"/>
    <n v="36.14"/>
    <x v="1108"/>
    <x v="1030"/>
    <x v="16"/>
    <n v="2.21"/>
    <n v="8.2400000000000001E-2"/>
    <x v="6"/>
    <m/>
    <n v="1"/>
    <x v="5"/>
    <x v="5"/>
    <x v="53"/>
    <x v="0"/>
    <x v="0"/>
    <x v="1"/>
  </r>
  <r>
    <x v="1618"/>
    <n v="35.07"/>
    <x v="1109"/>
    <x v="1031"/>
    <x v="13"/>
    <n v="2.02"/>
    <n v="-7.4999999999999997E-3"/>
    <x v="6"/>
    <m/>
    <n v="1"/>
    <x v="5"/>
    <x v="5"/>
    <x v="53"/>
    <x v="0"/>
    <x v="1"/>
    <x v="1"/>
  </r>
  <r>
    <x v="1619"/>
    <n v="34.799999999999997"/>
    <x v="1110"/>
    <x v="1032"/>
    <x v="37"/>
    <n v="2.56"/>
    <n v="8.7400000000000005E-2"/>
    <x v="6"/>
    <m/>
    <n v="1"/>
    <x v="5"/>
    <x v="5"/>
    <x v="53"/>
    <x v="1"/>
    <x v="0"/>
    <x v="1"/>
  </r>
  <r>
    <x v="1620"/>
    <n v="34.799999999999997"/>
    <x v="3"/>
    <x v="3"/>
    <x v="37"/>
    <n v="2.2799999999999998"/>
    <n v="0.13250000000000001"/>
    <x v="6"/>
    <m/>
    <n v="0"/>
    <x v="5"/>
    <x v="5"/>
    <x v="53"/>
    <x v="1"/>
    <x v="2"/>
    <x v="0"/>
  </r>
  <r>
    <x v="1621"/>
    <n v="34.799999999999997"/>
    <x v="3"/>
    <x v="3"/>
    <x v="16"/>
    <n v="2.1800000000000002"/>
    <n v="0.12740000000000001"/>
    <x v="6"/>
    <m/>
    <n v="0"/>
    <x v="5"/>
    <x v="5"/>
    <x v="53"/>
    <x v="1"/>
    <x v="2"/>
    <x v="0"/>
  </r>
  <r>
    <x v="1622"/>
    <n v="34.799999999999997"/>
    <x v="3"/>
    <x v="3"/>
    <x v="9"/>
    <n v="1.57"/>
    <n v="5.1299999999999998E-2"/>
    <x v="6"/>
    <m/>
    <n v="0"/>
    <x v="5"/>
    <x v="5"/>
    <x v="53"/>
    <x v="0"/>
    <x v="2"/>
    <x v="1"/>
  </r>
  <r>
    <x v="1623"/>
    <n v="33.75"/>
    <x v="1111"/>
    <x v="1033"/>
    <x v="36"/>
    <n v="2.31"/>
    <n v="7.17E-2"/>
    <x v="6"/>
    <m/>
    <n v="1"/>
    <x v="5"/>
    <x v="5"/>
    <x v="53"/>
    <x v="0"/>
    <x v="1"/>
    <x v="1"/>
  </r>
  <r>
    <x v="1624"/>
    <n v="33.49"/>
    <x v="1112"/>
    <x v="1034"/>
    <x v="36"/>
    <n v="2.2200000000000002"/>
    <n v="0.1371"/>
    <x v="6"/>
    <m/>
    <n v="1"/>
    <x v="5"/>
    <x v="5"/>
    <x v="53"/>
    <x v="0"/>
    <x v="1"/>
    <x v="0"/>
  </r>
  <r>
    <x v="1625"/>
    <n v="32.369999999999997"/>
    <x v="1113"/>
    <x v="817"/>
    <x v="27"/>
    <n v="2.57"/>
    <n v="0.1439"/>
    <x v="6"/>
    <m/>
    <n v="1"/>
    <x v="5"/>
    <x v="5"/>
    <x v="53"/>
    <x v="0"/>
    <x v="1"/>
    <x v="0"/>
  </r>
  <r>
    <x v="1626"/>
    <n v="31.72"/>
    <x v="1114"/>
    <x v="1035"/>
    <x v="37"/>
    <n v="2.56"/>
    <n v="0.2099"/>
    <x v="6"/>
    <m/>
    <n v="1"/>
    <x v="5"/>
    <x v="5"/>
    <x v="53"/>
    <x v="1"/>
    <x v="1"/>
    <x v="0"/>
  </r>
  <r>
    <x v="1627"/>
    <n v="31.72"/>
    <x v="3"/>
    <x v="3"/>
    <x v="7"/>
    <n v="2.4900000000000002"/>
    <n v="0.214"/>
    <x v="6"/>
    <m/>
    <n v="0"/>
    <x v="5"/>
    <x v="5"/>
    <x v="53"/>
    <x v="1"/>
    <x v="2"/>
    <x v="0"/>
  </r>
  <r>
    <x v="1628"/>
    <n v="31.72"/>
    <x v="3"/>
    <x v="3"/>
    <x v="7"/>
    <n v="2.6"/>
    <n v="0.12909999999999999"/>
    <x v="6"/>
    <m/>
    <n v="0"/>
    <x v="5"/>
    <x v="5"/>
    <x v="53"/>
    <x v="0"/>
    <x v="2"/>
    <x v="0"/>
  </r>
  <r>
    <x v="1629"/>
    <n v="32.299999999999997"/>
    <x v="1115"/>
    <x v="1036"/>
    <x v="39"/>
    <n v="2.57"/>
    <n v="0.214"/>
    <x v="6"/>
    <m/>
    <n v="1"/>
    <x v="5"/>
    <x v="5"/>
    <x v="53"/>
    <x v="0"/>
    <x v="1"/>
    <x v="0"/>
  </r>
  <r>
    <x v="1630"/>
    <n v="32.21"/>
    <x v="1116"/>
    <x v="1037"/>
    <x v="39"/>
    <n v="2.19"/>
    <n v="4.9700000000000001E-2"/>
    <x v="6"/>
    <m/>
    <n v="1"/>
    <x v="5"/>
    <x v="5"/>
    <x v="53"/>
    <x v="0"/>
    <x v="1"/>
    <x v="1"/>
  </r>
  <r>
    <x v="1631"/>
    <n v="31.35"/>
    <x v="1117"/>
    <x v="1038"/>
    <x v="6"/>
    <n v="2.4500000000000002"/>
    <n v="0.13750000000000001"/>
    <x v="6"/>
    <m/>
    <n v="1"/>
    <x v="5"/>
    <x v="6"/>
    <x v="54"/>
    <x v="0"/>
    <x v="1"/>
    <x v="0"/>
  </r>
  <r>
    <x v="1632"/>
    <n v="31.19"/>
    <x v="1118"/>
    <x v="1039"/>
    <x v="18"/>
    <n v="2.65"/>
    <n v="0.2596"/>
    <x v="6"/>
    <m/>
    <n v="1"/>
    <x v="5"/>
    <x v="6"/>
    <x v="54"/>
    <x v="0"/>
    <x v="0"/>
    <x v="0"/>
  </r>
  <r>
    <x v="1633"/>
    <n v="31.52"/>
    <x v="1119"/>
    <x v="1040"/>
    <x v="107"/>
    <n v="1.95"/>
    <n v="-4.0800000000000003E-2"/>
    <x v="6"/>
    <m/>
    <n v="1"/>
    <x v="5"/>
    <x v="6"/>
    <x v="54"/>
    <x v="1"/>
    <x v="1"/>
    <x v="1"/>
  </r>
  <r>
    <x v="1634"/>
    <n v="31.52"/>
    <x v="3"/>
    <x v="3"/>
    <x v="16"/>
    <n v="2.58"/>
    <n v="0.2462"/>
    <x v="6"/>
    <m/>
    <n v="0"/>
    <x v="5"/>
    <x v="6"/>
    <x v="54"/>
    <x v="1"/>
    <x v="2"/>
    <x v="0"/>
  </r>
  <r>
    <x v="1635"/>
    <n v="31.52"/>
    <x v="3"/>
    <x v="3"/>
    <x v="13"/>
    <n v="2.4"/>
    <n v="0.13650000000000001"/>
    <x v="6"/>
    <m/>
    <n v="0"/>
    <x v="5"/>
    <x v="6"/>
    <x v="54"/>
    <x v="0"/>
    <x v="2"/>
    <x v="0"/>
  </r>
  <r>
    <x v="1636"/>
    <n v="31.2"/>
    <x v="1098"/>
    <x v="1041"/>
    <x v="43"/>
    <n v="2.2799999999999998"/>
    <n v="0.16300000000000001"/>
    <x v="6"/>
    <m/>
    <n v="1"/>
    <x v="5"/>
    <x v="6"/>
    <x v="54"/>
    <x v="0"/>
    <x v="1"/>
    <x v="0"/>
  </r>
  <r>
    <x v="1637"/>
    <n v="30.85"/>
    <x v="1120"/>
    <x v="1042"/>
    <x v="1"/>
    <n v="2.0299999999999998"/>
    <n v="7.6999999999999999E-2"/>
    <x v="6"/>
    <m/>
    <n v="1"/>
    <x v="5"/>
    <x v="6"/>
    <x v="54"/>
    <x v="0"/>
    <x v="1"/>
    <x v="1"/>
  </r>
  <r>
    <x v="1638"/>
    <n v="31.18"/>
    <x v="1121"/>
    <x v="117"/>
    <x v="38"/>
    <n v="2.1"/>
    <n v="5.2900000000000003E-2"/>
    <x v="6"/>
    <m/>
    <n v="1"/>
    <x v="5"/>
    <x v="6"/>
    <x v="54"/>
    <x v="0"/>
    <x v="0"/>
    <x v="1"/>
  </r>
  <r>
    <x v="1639"/>
    <n v="29.78"/>
    <x v="1122"/>
    <x v="1043"/>
    <x v="43"/>
    <n v="2.2000000000000002"/>
    <n v="-5.0900000000000001E-2"/>
    <x v="6"/>
    <m/>
    <n v="1"/>
    <x v="5"/>
    <x v="6"/>
    <x v="54"/>
    <x v="0"/>
    <x v="1"/>
    <x v="1"/>
  </r>
  <r>
    <x v="1640"/>
    <n v="29.28"/>
    <x v="1123"/>
    <x v="1044"/>
    <x v="27"/>
    <n v="2.2999999999999998"/>
    <n v="0.1206"/>
    <x v="6"/>
    <m/>
    <n v="1"/>
    <x v="5"/>
    <x v="6"/>
    <x v="54"/>
    <x v="1"/>
    <x v="1"/>
    <x v="0"/>
  </r>
  <r>
    <x v="1641"/>
    <n v="29.28"/>
    <x v="3"/>
    <x v="3"/>
    <x v="16"/>
    <n v="2.2599999999999998"/>
    <n v="6.1600000000000002E-2"/>
    <x v="6"/>
    <m/>
    <n v="0"/>
    <x v="5"/>
    <x v="6"/>
    <x v="54"/>
    <x v="1"/>
    <x v="2"/>
    <x v="1"/>
  </r>
  <r>
    <x v="1642"/>
    <n v="29.28"/>
    <x v="3"/>
    <x v="3"/>
    <x v="39"/>
    <n v="2.52"/>
    <n v="5.2400000000000002E-2"/>
    <x v="6"/>
    <m/>
    <n v="0"/>
    <x v="5"/>
    <x v="6"/>
    <x v="54"/>
    <x v="0"/>
    <x v="2"/>
    <x v="1"/>
  </r>
  <r>
    <x v="1643"/>
    <n v="29.35"/>
    <x v="1124"/>
    <x v="1045"/>
    <x v="15"/>
    <n v="2.29"/>
    <n v="0.1419"/>
    <x v="6"/>
    <m/>
    <n v="1"/>
    <x v="5"/>
    <x v="6"/>
    <x v="54"/>
    <x v="0"/>
    <x v="0"/>
    <x v="0"/>
  </r>
  <r>
    <x v="1644"/>
    <n v="29.49"/>
    <x v="1125"/>
    <x v="1046"/>
    <x v="0"/>
    <n v="2"/>
    <n v="0.12089999999999999"/>
    <x v="6"/>
    <m/>
    <n v="1"/>
    <x v="5"/>
    <x v="6"/>
    <x v="54"/>
    <x v="0"/>
    <x v="1"/>
    <x v="0"/>
  </r>
  <r>
    <x v="1645"/>
    <n v="30.38"/>
    <x v="1126"/>
    <x v="1047"/>
    <x v="43"/>
    <n v="2.64"/>
    <n v="0.23050000000000001"/>
    <x v="6"/>
    <m/>
    <n v="1"/>
    <x v="5"/>
    <x v="6"/>
    <x v="54"/>
    <x v="0"/>
    <x v="0"/>
    <x v="0"/>
  </r>
  <r>
    <x v="1646"/>
    <n v="31.01"/>
    <x v="1127"/>
    <x v="1048"/>
    <x v="5"/>
    <n v="2.61"/>
    <n v="0.23930000000000001"/>
    <x v="6"/>
    <m/>
    <n v="1"/>
    <x v="5"/>
    <x v="6"/>
    <x v="54"/>
    <x v="0"/>
    <x v="0"/>
    <x v="0"/>
  </r>
  <r>
    <x v="1647"/>
    <n v="30.35"/>
    <x v="1128"/>
    <x v="849"/>
    <x v="41"/>
    <n v="2.9"/>
    <n v="0.15989999999999999"/>
    <x v="6"/>
    <m/>
    <n v="1"/>
    <x v="5"/>
    <x v="6"/>
    <x v="54"/>
    <x v="1"/>
    <x v="1"/>
    <x v="0"/>
  </r>
  <r>
    <x v="1648"/>
    <n v="30.35"/>
    <x v="3"/>
    <x v="3"/>
    <x v="7"/>
    <n v="2.46"/>
    <n v="0.1118"/>
    <x v="6"/>
    <m/>
    <n v="0"/>
    <x v="5"/>
    <x v="6"/>
    <x v="54"/>
    <x v="1"/>
    <x v="2"/>
    <x v="0"/>
  </r>
  <r>
    <x v="1649"/>
    <n v="30.35"/>
    <x v="3"/>
    <x v="3"/>
    <x v="43"/>
    <n v="2.6"/>
    <n v="0.1216"/>
    <x v="6"/>
    <m/>
    <n v="0"/>
    <x v="5"/>
    <x v="6"/>
    <x v="54"/>
    <x v="0"/>
    <x v="2"/>
    <x v="0"/>
  </r>
  <r>
    <x v="1650"/>
    <n v="30.51"/>
    <x v="1129"/>
    <x v="1049"/>
    <x v="27"/>
    <n v="2.6"/>
    <n v="5.04E-2"/>
    <x v="6"/>
    <m/>
    <n v="1"/>
    <x v="5"/>
    <x v="6"/>
    <x v="54"/>
    <x v="0"/>
    <x v="0"/>
    <x v="1"/>
  </r>
  <r>
    <x v="1651"/>
    <n v="30.58"/>
    <x v="1130"/>
    <x v="113"/>
    <x v="6"/>
    <n v="2.79"/>
    <n v="0.2142"/>
    <x v="6"/>
    <m/>
    <n v="1"/>
    <x v="5"/>
    <x v="6"/>
    <x v="54"/>
    <x v="0"/>
    <x v="1"/>
    <x v="0"/>
  </r>
  <r>
    <x v="1652"/>
    <n v="29.39"/>
    <x v="1131"/>
    <x v="1050"/>
    <x v="39"/>
    <n v="2.67"/>
    <n v="7.6899999999999996E-2"/>
    <x v="6"/>
    <m/>
    <n v="1"/>
    <x v="5"/>
    <x v="6"/>
    <x v="54"/>
    <x v="0"/>
    <x v="1"/>
    <x v="1"/>
  </r>
  <r>
    <x v="1653"/>
    <n v="32.04"/>
    <x v="1132"/>
    <x v="1051"/>
    <x v="38"/>
    <n v="2.19"/>
    <n v="0.13969999999999999"/>
    <x v="6"/>
    <m/>
    <n v="1"/>
    <x v="5"/>
    <x v="6"/>
    <x v="54"/>
    <x v="0"/>
    <x v="0"/>
    <x v="0"/>
  </r>
  <r>
    <x v="1654"/>
    <n v="32.840000000000003"/>
    <x v="1133"/>
    <x v="1052"/>
    <x v="37"/>
    <n v="2.12"/>
    <n v="1.03E-2"/>
    <x v="6"/>
    <m/>
    <n v="1"/>
    <x v="5"/>
    <x v="6"/>
    <x v="54"/>
    <x v="1"/>
    <x v="0"/>
    <x v="1"/>
  </r>
  <r>
    <x v="1655"/>
    <n v="32.840000000000003"/>
    <x v="3"/>
    <x v="3"/>
    <x v="1"/>
    <n v="2.2400000000000002"/>
    <n v="0.16470000000000001"/>
    <x v="6"/>
    <m/>
    <n v="0"/>
    <x v="5"/>
    <x v="6"/>
    <x v="54"/>
    <x v="1"/>
    <x v="2"/>
    <x v="0"/>
  </r>
  <r>
    <x v="1656"/>
    <n v="32.840000000000003"/>
    <x v="3"/>
    <x v="3"/>
    <x v="36"/>
    <n v="2.19"/>
    <n v="3.2800000000000003E-2"/>
    <x v="6"/>
    <m/>
    <n v="0"/>
    <x v="5"/>
    <x v="6"/>
    <x v="54"/>
    <x v="0"/>
    <x v="2"/>
    <x v="1"/>
  </r>
  <r>
    <x v="1657"/>
    <n v="32.770000000000003"/>
    <x v="1134"/>
    <x v="134"/>
    <x v="0"/>
    <n v="1.93"/>
    <n v="7.1999999999999995E-2"/>
    <x v="6"/>
    <m/>
    <n v="1"/>
    <x v="5"/>
    <x v="6"/>
    <x v="54"/>
    <x v="0"/>
    <x v="0"/>
    <x v="1"/>
  </r>
  <r>
    <x v="1658"/>
    <n v="32.35"/>
    <x v="1135"/>
    <x v="1053"/>
    <x v="104"/>
    <n v="1.61"/>
    <n v="0.16320000000000001"/>
    <x v="6"/>
    <m/>
    <n v="1"/>
    <x v="5"/>
    <x v="6"/>
    <x v="54"/>
    <x v="0"/>
    <x v="1"/>
    <x v="0"/>
  </r>
  <r>
    <x v="1659"/>
    <n v="33.200000000000003"/>
    <x v="1136"/>
    <x v="1054"/>
    <x v="9"/>
    <n v="2"/>
    <n v="4.9200000000000001E-2"/>
    <x v="6"/>
    <m/>
    <n v="1"/>
    <x v="5"/>
    <x v="6"/>
    <x v="54"/>
    <x v="0"/>
    <x v="0"/>
    <x v="1"/>
  </r>
  <r>
    <x v="1660"/>
    <n v="33.840000000000003"/>
    <x v="1137"/>
    <x v="1055"/>
    <x v="9"/>
    <n v="1.87"/>
    <n v="-2.8E-3"/>
    <x v="6"/>
    <m/>
    <n v="1"/>
    <x v="5"/>
    <x v="6"/>
    <x v="54"/>
    <x v="0"/>
    <x v="1"/>
    <x v="1"/>
  </r>
  <r>
    <x v="1661"/>
    <n v="34.549999999999997"/>
    <x v="1138"/>
    <x v="1056"/>
    <x v="102"/>
    <n v="2.74"/>
    <n v="8.5900000000000004E-2"/>
    <x v="6"/>
    <m/>
    <n v="1"/>
    <x v="5"/>
    <x v="6"/>
    <x v="54"/>
    <x v="1"/>
    <x v="0"/>
    <x v="1"/>
  </r>
  <r>
    <x v="1662"/>
    <n v="34.549999999999997"/>
    <x v="3"/>
    <x v="3"/>
    <x v="38"/>
    <n v="2.42"/>
    <n v="-1.04E-2"/>
    <x v="6"/>
    <m/>
    <n v="0"/>
    <x v="5"/>
    <x v="7"/>
    <x v="55"/>
    <x v="1"/>
    <x v="2"/>
    <x v="1"/>
  </r>
  <r>
    <x v="1663"/>
    <n v="34.549999999999997"/>
    <x v="3"/>
    <x v="3"/>
    <x v="37"/>
    <n v="2.78"/>
    <n v="0.39529999999999998"/>
    <x v="6"/>
    <m/>
    <n v="0"/>
    <x v="5"/>
    <x v="7"/>
    <x v="55"/>
    <x v="0"/>
    <x v="2"/>
    <x v="0"/>
  </r>
  <r>
    <x v="1664"/>
    <n v="34.83"/>
    <x v="1139"/>
    <x v="1057"/>
    <x v="43"/>
    <n v="2.36"/>
    <n v="7.7499999999999999E-2"/>
    <x v="6"/>
    <m/>
    <n v="1"/>
    <x v="5"/>
    <x v="7"/>
    <x v="55"/>
    <x v="0"/>
    <x v="0"/>
    <x v="1"/>
  </r>
  <r>
    <x v="1665"/>
    <n v="34.67"/>
    <x v="1140"/>
    <x v="1058"/>
    <x v="0"/>
    <n v="2.1800000000000002"/>
    <n v="0.1807"/>
    <x v="6"/>
    <m/>
    <n v="1"/>
    <x v="5"/>
    <x v="7"/>
    <x v="55"/>
    <x v="0"/>
    <x v="1"/>
    <x v="0"/>
  </r>
  <r>
    <x v="1666"/>
    <n v="34.24"/>
    <x v="1141"/>
    <x v="832"/>
    <x v="18"/>
    <n v="3"/>
    <n v="0.21840000000000001"/>
    <x v="6"/>
    <m/>
    <n v="1"/>
    <x v="5"/>
    <x v="7"/>
    <x v="55"/>
    <x v="0"/>
    <x v="1"/>
    <x v="0"/>
  </r>
  <r>
    <x v="1667"/>
    <n v="33.93"/>
    <x v="1142"/>
    <x v="23"/>
    <x v="2"/>
    <n v="2.5299999999999998"/>
    <n v="0.14430000000000001"/>
    <x v="6"/>
    <m/>
    <n v="1"/>
    <x v="5"/>
    <x v="7"/>
    <x v="55"/>
    <x v="1"/>
    <x v="1"/>
    <x v="0"/>
  </r>
  <r>
    <x v="1668"/>
    <n v="33.93"/>
    <x v="3"/>
    <x v="3"/>
    <x v="108"/>
    <n v="2.62"/>
    <n v="0.26069999999999999"/>
    <x v="6"/>
    <m/>
    <n v="0"/>
    <x v="5"/>
    <x v="7"/>
    <x v="55"/>
    <x v="1"/>
    <x v="2"/>
    <x v="0"/>
  </r>
  <r>
    <x v="1669"/>
    <n v="33.93"/>
    <x v="3"/>
    <x v="3"/>
    <x v="43"/>
    <n v="2.64"/>
    <n v="0.24809999999999999"/>
    <x v="6"/>
    <m/>
    <n v="0"/>
    <x v="5"/>
    <x v="7"/>
    <x v="55"/>
    <x v="1"/>
    <x v="2"/>
    <x v="0"/>
  </r>
  <r>
    <x v="1670"/>
    <n v="33.93"/>
    <x v="3"/>
    <x v="3"/>
    <x v="27"/>
    <n v="2.23"/>
    <n v="0.12740000000000001"/>
    <x v="6"/>
    <m/>
    <n v="0"/>
    <x v="5"/>
    <x v="7"/>
    <x v="55"/>
    <x v="0"/>
    <x v="2"/>
    <x v="0"/>
  </r>
  <r>
    <x v="1671"/>
    <n v="33.9"/>
    <x v="1143"/>
    <x v="1059"/>
    <x v="18"/>
    <n v="2.65"/>
    <n v="0.24709999999999999"/>
    <x v="6"/>
    <m/>
    <n v="1"/>
    <x v="5"/>
    <x v="7"/>
    <x v="55"/>
    <x v="0"/>
    <x v="0"/>
    <x v="0"/>
  </r>
  <r>
    <x v="1672"/>
    <n v="33.82"/>
    <x v="1144"/>
    <x v="1060"/>
    <x v="1"/>
    <n v="2.78"/>
    <n v="0.22370000000000001"/>
    <x v="6"/>
    <m/>
    <n v="1"/>
    <x v="5"/>
    <x v="7"/>
    <x v="55"/>
    <x v="0"/>
    <x v="1"/>
    <x v="0"/>
  </r>
  <r>
    <x v="1673"/>
    <n v="33.1"/>
    <x v="1145"/>
    <x v="1061"/>
    <x v="6"/>
    <n v="2.72"/>
    <n v="0.19189999999999999"/>
    <x v="6"/>
    <m/>
    <n v="1"/>
    <x v="5"/>
    <x v="7"/>
    <x v="55"/>
    <x v="0"/>
    <x v="1"/>
    <x v="0"/>
  </r>
  <r>
    <x v="1674"/>
    <n v="34.619999999999997"/>
    <x v="1146"/>
    <x v="1062"/>
    <x v="4"/>
    <n v="2.2200000000000002"/>
    <n v="-3.7999999999999999E-2"/>
    <x v="6"/>
    <m/>
    <n v="1"/>
    <x v="5"/>
    <x v="7"/>
    <x v="55"/>
    <x v="0"/>
    <x v="0"/>
    <x v="1"/>
  </r>
  <r>
    <x v="1675"/>
    <n v="33.86"/>
    <x v="1147"/>
    <x v="1063"/>
    <x v="22"/>
    <n v="1.98"/>
    <n v="-3.32E-2"/>
    <x v="6"/>
    <m/>
    <n v="1"/>
    <x v="5"/>
    <x v="7"/>
    <x v="55"/>
    <x v="1"/>
    <x v="1"/>
    <x v="1"/>
  </r>
  <r>
    <x v="1676"/>
    <n v="33.86"/>
    <x v="3"/>
    <x v="3"/>
    <x v="109"/>
    <n v="1.47"/>
    <n v="-0.1951"/>
    <x v="6"/>
    <m/>
    <n v="0"/>
    <x v="5"/>
    <x v="7"/>
    <x v="55"/>
    <x v="1"/>
    <x v="2"/>
    <x v="2"/>
  </r>
  <r>
    <x v="1677"/>
    <n v="33.86"/>
    <x v="3"/>
    <x v="3"/>
    <x v="70"/>
    <n v="1.26"/>
    <n v="-0.2306"/>
    <x v="6"/>
    <m/>
    <n v="0"/>
    <x v="5"/>
    <x v="7"/>
    <x v="55"/>
    <x v="0"/>
    <x v="2"/>
    <x v="2"/>
  </r>
  <r>
    <x v="1678"/>
    <n v="33.270000000000003"/>
    <x v="1148"/>
    <x v="1064"/>
    <x v="30"/>
    <n v="1.63"/>
    <n v="-0.13819999999999999"/>
    <x v="6"/>
    <m/>
    <n v="1"/>
    <x v="5"/>
    <x v="7"/>
    <x v="55"/>
    <x v="0"/>
    <x v="1"/>
    <x v="2"/>
  </r>
  <r>
    <x v="1679"/>
    <n v="33.369999999999997"/>
    <x v="1149"/>
    <x v="1065"/>
    <x v="3"/>
    <n v="1.52"/>
    <n v="-3.9800000000000002E-2"/>
    <x v="6"/>
    <m/>
    <n v="1"/>
    <x v="5"/>
    <x v="7"/>
    <x v="55"/>
    <x v="0"/>
    <x v="1"/>
    <x v="1"/>
  </r>
  <r>
    <x v="1680"/>
    <n v="32.31"/>
    <x v="1150"/>
    <x v="1066"/>
    <x v="17"/>
    <n v="1.67"/>
    <n v="-0.13919999999999999"/>
    <x v="6"/>
    <m/>
    <n v="1"/>
    <x v="5"/>
    <x v="7"/>
    <x v="55"/>
    <x v="0"/>
    <x v="1"/>
    <x v="2"/>
  </r>
  <r>
    <x v="1681"/>
    <n v="32.53"/>
    <x v="1151"/>
    <x v="1067"/>
    <x v="35"/>
    <n v="1.92"/>
    <n v="-1.95E-2"/>
    <x v="6"/>
    <m/>
    <n v="1"/>
    <x v="5"/>
    <x v="7"/>
    <x v="55"/>
    <x v="0"/>
    <x v="0"/>
    <x v="1"/>
  </r>
  <r>
    <x v="1682"/>
    <n v="32.799999999999997"/>
    <x v="1152"/>
    <x v="1068"/>
    <x v="10"/>
    <n v="2.2799999999999998"/>
    <n v="8.3599999999999994E-2"/>
    <x v="6"/>
    <m/>
    <n v="1"/>
    <x v="5"/>
    <x v="7"/>
    <x v="55"/>
    <x v="1"/>
    <x v="0"/>
    <x v="1"/>
  </r>
  <r>
    <x v="1683"/>
    <n v="32.799999999999997"/>
    <x v="3"/>
    <x v="3"/>
    <x v="43"/>
    <n v="2.08"/>
    <n v="-5.5399999999999998E-2"/>
    <x v="6"/>
    <m/>
    <n v="0"/>
    <x v="5"/>
    <x v="7"/>
    <x v="55"/>
    <x v="1"/>
    <x v="2"/>
    <x v="1"/>
  </r>
  <r>
    <x v="1684"/>
    <n v="32.799999999999997"/>
    <x v="3"/>
    <x v="3"/>
    <x v="41"/>
    <n v="2.2200000000000002"/>
    <n v="-3.1800000000000002E-2"/>
    <x v="6"/>
    <m/>
    <n v="0"/>
    <x v="5"/>
    <x v="7"/>
    <x v="55"/>
    <x v="0"/>
    <x v="2"/>
    <x v="1"/>
  </r>
  <r>
    <x v="1685"/>
    <n v="32.9"/>
    <x v="1153"/>
    <x v="991"/>
    <x v="10"/>
    <n v="2.2599999999999998"/>
    <n v="5.0999999999999997E-2"/>
    <x v="6"/>
    <m/>
    <n v="1"/>
    <x v="5"/>
    <x v="7"/>
    <x v="55"/>
    <x v="0"/>
    <x v="1"/>
    <x v="1"/>
  </r>
  <r>
    <x v="1686"/>
    <n v="32.26"/>
    <x v="1154"/>
    <x v="1069"/>
    <x v="16"/>
    <n v="1.92"/>
    <n v="-2.0799999999999999E-2"/>
    <x v="6"/>
    <m/>
    <n v="1"/>
    <x v="5"/>
    <x v="7"/>
    <x v="55"/>
    <x v="0"/>
    <x v="1"/>
    <x v="1"/>
  </r>
  <r>
    <x v="1687"/>
    <n v="32.119999999999997"/>
    <x v="1155"/>
    <x v="1070"/>
    <x v="4"/>
    <n v="1.76"/>
    <n v="-7.5899999999999995E-2"/>
    <x v="6"/>
    <m/>
    <n v="1"/>
    <x v="5"/>
    <x v="7"/>
    <x v="55"/>
    <x v="0"/>
    <x v="1"/>
    <x v="1"/>
  </r>
  <r>
    <x v="1688"/>
    <n v="32.58"/>
    <x v="1156"/>
    <x v="1071"/>
    <x v="40"/>
    <n v="1.47"/>
    <n v="-0.1444"/>
    <x v="6"/>
    <m/>
    <n v="1"/>
    <x v="5"/>
    <x v="7"/>
    <x v="55"/>
    <x v="0"/>
    <x v="0"/>
    <x v="2"/>
  </r>
  <r>
    <x v="1689"/>
    <n v="32.99"/>
    <x v="1157"/>
    <x v="85"/>
    <x v="35"/>
    <n v="2"/>
    <n v="-2.4E-2"/>
    <x v="6"/>
    <m/>
    <n v="1"/>
    <x v="5"/>
    <x v="7"/>
    <x v="55"/>
    <x v="1"/>
    <x v="0"/>
    <x v="1"/>
  </r>
  <r>
    <x v="1690"/>
    <n v="32.99"/>
    <x v="3"/>
    <x v="3"/>
    <x v="7"/>
    <n v="2.34"/>
    <n v="8.9999999999999998E-4"/>
    <x v="6"/>
    <m/>
    <n v="0"/>
    <x v="5"/>
    <x v="7"/>
    <x v="55"/>
    <x v="1"/>
    <x v="2"/>
    <x v="1"/>
  </r>
  <r>
    <x v="1691"/>
    <n v="32.99"/>
    <x v="3"/>
    <x v="3"/>
    <x v="7"/>
    <n v="2.29"/>
    <n v="0.1221"/>
    <x v="6"/>
    <m/>
    <n v="0"/>
    <x v="5"/>
    <x v="7"/>
    <x v="55"/>
    <x v="0"/>
    <x v="2"/>
    <x v="0"/>
  </r>
  <r>
    <x v="1692"/>
    <n v="32.409999999999997"/>
    <x v="1158"/>
    <x v="1072"/>
    <x v="6"/>
    <n v="1.9"/>
    <n v="5.0200000000000002E-2"/>
    <x v="6"/>
    <m/>
    <n v="1"/>
    <x v="5"/>
    <x v="8"/>
    <x v="56"/>
    <x v="0"/>
    <x v="1"/>
    <x v="1"/>
  </r>
  <r>
    <x v="1693"/>
    <n v="31.75"/>
    <x v="1159"/>
    <x v="1073"/>
    <x v="9"/>
    <n v="2"/>
    <n v="-5.8400000000000001E-2"/>
    <x v="6"/>
    <m/>
    <n v="1"/>
    <x v="5"/>
    <x v="8"/>
    <x v="56"/>
    <x v="0"/>
    <x v="1"/>
    <x v="1"/>
  </r>
  <r>
    <x v="1694"/>
    <n v="31.93"/>
    <x v="1160"/>
    <x v="1074"/>
    <x v="6"/>
    <n v="1.9"/>
    <n v="7.3800000000000004E-2"/>
    <x v="6"/>
    <m/>
    <n v="1"/>
    <x v="5"/>
    <x v="8"/>
    <x v="56"/>
    <x v="0"/>
    <x v="0"/>
    <x v="1"/>
  </r>
  <r>
    <x v="1695"/>
    <n v="32.08"/>
    <x v="317"/>
    <x v="1075"/>
    <x v="39"/>
    <n v="2.67"/>
    <n v="6.0100000000000001E-2"/>
    <x v="6"/>
    <m/>
    <n v="1"/>
    <x v="5"/>
    <x v="8"/>
    <x v="56"/>
    <x v="0"/>
    <x v="0"/>
    <x v="1"/>
  </r>
  <r>
    <x v="1696"/>
    <n v="32.28"/>
    <x v="1161"/>
    <x v="1076"/>
    <x v="6"/>
    <n v="1.52"/>
    <n v="-7.3200000000000001E-2"/>
    <x v="6"/>
    <m/>
    <n v="1"/>
    <x v="5"/>
    <x v="8"/>
    <x v="56"/>
    <x v="1"/>
    <x v="1"/>
    <x v="1"/>
  </r>
  <r>
    <x v="1697"/>
    <n v="32.28"/>
    <x v="3"/>
    <x v="3"/>
    <x v="5"/>
    <n v="2.67"/>
    <n v="0.15079999999999999"/>
    <x v="6"/>
    <m/>
    <n v="0"/>
    <x v="5"/>
    <x v="8"/>
    <x v="56"/>
    <x v="1"/>
    <x v="2"/>
    <x v="0"/>
  </r>
  <r>
    <x v="1698"/>
    <n v="32.28"/>
    <x v="3"/>
    <x v="3"/>
    <x v="0"/>
    <n v="2.5"/>
    <n v="9.2600000000000002E-2"/>
    <x v="6"/>
    <m/>
    <n v="0"/>
    <x v="5"/>
    <x v="8"/>
    <x v="56"/>
    <x v="0"/>
    <x v="2"/>
    <x v="1"/>
  </r>
  <r>
    <x v="1699"/>
    <n v="33.119999999999997"/>
    <x v="1162"/>
    <x v="1077"/>
    <x v="15"/>
    <n v="2.75"/>
    <n v="0.13930000000000001"/>
    <x v="6"/>
    <m/>
    <n v="1"/>
    <x v="5"/>
    <x v="8"/>
    <x v="56"/>
    <x v="0"/>
    <x v="0"/>
    <x v="0"/>
  </r>
  <r>
    <x v="1700"/>
    <n v="33.21"/>
    <x v="1163"/>
    <x v="1078"/>
    <x v="39"/>
    <n v="2.76"/>
    <n v="0.1951"/>
    <x v="6"/>
    <m/>
    <n v="1"/>
    <x v="5"/>
    <x v="8"/>
    <x v="56"/>
    <x v="0"/>
    <x v="0"/>
    <x v="0"/>
  </r>
  <r>
    <x v="1701"/>
    <n v="33.54"/>
    <x v="1164"/>
    <x v="1079"/>
    <x v="39"/>
    <n v="2.52"/>
    <n v="9.35E-2"/>
    <x v="6"/>
    <m/>
    <n v="1"/>
    <x v="5"/>
    <x v="8"/>
    <x v="56"/>
    <x v="0"/>
    <x v="0"/>
    <x v="1"/>
  </r>
  <r>
    <x v="1702"/>
    <n v="34.479999999999997"/>
    <x v="1165"/>
    <x v="1080"/>
    <x v="9"/>
    <n v="2.7"/>
    <n v="0.16439999999999999"/>
    <x v="6"/>
    <m/>
    <n v="1"/>
    <x v="5"/>
    <x v="8"/>
    <x v="56"/>
    <x v="0"/>
    <x v="0"/>
    <x v="0"/>
  </r>
  <r>
    <x v="1703"/>
    <n v="33.99"/>
    <x v="1166"/>
    <x v="1081"/>
    <x v="43"/>
    <n v="2.08"/>
    <n v="5.4600000000000003E-2"/>
    <x v="6"/>
    <m/>
    <n v="1"/>
    <x v="5"/>
    <x v="8"/>
    <x v="56"/>
    <x v="1"/>
    <x v="1"/>
    <x v="1"/>
  </r>
  <r>
    <x v="1704"/>
    <n v="33.99"/>
    <x v="3"/>
    <x v="3"/>
    <x v="110"/>
    <n v="2.9"/>
    <n v="0.19350000000000001"/>
    <x v="6"/>
    <m/>
    <n v="0"/>
    <x v="5"/>
    <x v="8"/>
    <x v="56"/>
    <x v="1"/>
    <x v="2"/>
    <x v="0"/>
  </r>
  <r>
    <x v="1705"/>
    <n v="33.99"/>
    <x v="3"/>
    <x v="3"/>
    <x v="6"/>
    <n v="2.41"/>
    <n v="4.8999999999999998E-3"/>
    <x v="6"/>
    <m/>
    <n v="0"/>
    <x v="5"/>
    <x v="8"/>
    <x v="56"/>
    <x v="0"/>
    <x v="2"/>
    <x v="1"/>
  </r>
  <r>
    <x v="1706"/>
    <n v="33.590000000000003"/>
    <x v="1167"/>
    <x v="1082"/>
    <x v="106"/>
    <n v="2.06"/>
    <n v="-5.2400000000000002E-2"/>
    <x v="6"/>
    <m/>
    <n v="1"/>
    <x v="5"/>
    <x v="8"/>
    <x v="56"/>
    <x v="0"/>
    <x v="1"/>
    <x v="1"/>
  </r>
  <r>
    <x v="1707"/>
    <n v="33.380000000000003"/>
    <x v="1168"/>
    <x v="588"/>
    <x v="111"/>
    <n v="2"/>
    <n v="-0.1003"/>
    <x v="6"/>
    <m/>
    <n v="1"/>
    <x v="5"/>
    <x v="8"/>
    <x v="56"/>
    <x v="0"/>
    <x v="1"/>
    <x v="2"/>
  </r>
  <r>
    <x v="1708"/>
    <n v="34"/>
    <x v="1169"/>
    <x v="1083"/>
    <x v="104"/>
    <n v="2.44"/>
    <n v="2.3900000000000001E-2"/>
    <x v="6"/>
    <m/>
    <n v="1"/>
    <x v="5"/>
    <x v="8"/>
    <x v="56"/>
    <x v="0"/>
    <x v="0"/>
    <x v="1"/>
  </r>
  <r>
    <x v="1709"/>
    <n v="37.130000000000003"/>
    <x v="1170"/>
    <x v="1084"/>
    <x v="103"/>
    <n v="3.32"/>
    <n v="0.23760000000000001"/>
    <x v="6"/>
    <m/>
    <n v="1"/>
    <x v="5"/>
    <x v="8"/>
    <x v="56"/>
    <x v="0"/>
    <x v="0"/>
    <x v="0"/>
  </r>
  <r>
    <x v="1710"/>
    <n v="36.54"/>
    <x v="1171"/>
    <x v="1085"/>
    <x v="107"/>
    <n v="1.47"/>
    <n v="0.17860000000000001"/>
    <x v="6"/>
    <m/>
    <n v="1"/>
    <x v="5"/>
    <x v="8"/>
    <x v="56"/>
    <x v="1"/>
    <x v="1"/>
    <x v="0"/>
  </r>
  <r>
    <x v="1711"/>
    <n v="36.54"/>
    <x v="3"/>
    <x v="3"/>
    <x v="111"/>
    <n v="2.36"/>
    <n v="0.2356"/>
    <x v="6"/>
    <m/>
    <n v="0"/>
    <x v="5"/>
    <x v="8"/>
    <x v="56"/>
    <x v="1"/>
    <x v="2"/>
    <x v="0"/>
  </r>
  <r>
    <x v="1712"/>
    <n v="36.54"/>
    <x v="3"/>
    <x v="3"/>
    <x v="36"/>
    <n v="2.5299999999999998"/>
    <n v="8.6199999999999999E-2"/>
    <x v="6"/>
    <m/>
    <n v="0"/>
    <x v="5"/>
    <x v="8"/>
    <x v="56"/>
    <x v="0"/>
    <x v="2"/>
    <x v="1"/>
  </r>
  <r>
    <x v="1713"/>
    <n v="36.299999999999997"/>
    <x v="1172"/>
    <x v="1086"/>
    <x v="27"/>
    <n v="2.67"/>
    <n v="0.22409999999999999"/>
    <x v="6"/>
    <m/>
    <n v="1"/>
    <x v="5"/>
    <x v="8"/>
    <x v="56"/>
    <x v="0"/>
    <x v="1"/>
    <x v="0"/>
  </r>
  <r>
    <x v="1714"/>
    <n v="35.6"/>
    <x v="1173"/>
    <x v="1087"/>
    <x v="110"/>
    <n v="2.7"/>
    <n v="0.34870000000000001"/>
    <x v="6"/>
    <m/>
    <n v="1"/>
    <x v="5"/>
    <x v="8"/>
    <x v="56"/>
    <x v="0"/>
    <x v="1"/>
    <x v="0"/>
  </r>
  <r>
    <x v="1715"/>
    <n v="36.49"/>
    <x v="1174"/>
    <x v="343"/>
    <x v="26"/>
    <n v="1.48"/>
    <n v="0.18129999999999999"/>
    <x v="6"/>
    <m/>
    <n v="1"/>
    <x v="5"/>
    <x v="8"/>
    <x v="56"/>
    <x v="0"/>
    <x v="0"/>
    <x v="0"/>
  </r>
  <r>
    <x v="1716"/>
    <n v="35.9"/>
    <x v="1175"/>
    <x v="483"/>
    <x v="23"/>
    <n v="1.69"/>
    <n v="0.1895"/>
    <x v="6"/>
    <m/>
    <n v="1"/>
    <x v="5"/>
    <x v="8"/>
    <x v="56"/>
    <x v="0"/>
    <x v="1"/>
    <x v="0"/>
  </r>
  <r>
    <x v="1717"/>
    <n v="37.89"/>
    <x v="1176"/>
    <x v="1088"/>
    <x v="44"/>
    <n v="1.59"/>
    <n v="4.2700000000000002E-2"/>
    <x v="6"/>
    <m/>
    <n v="1"/>
    <x v="5"/>
    <x v="8"/>
    <x v="56"/>
    <x v="1"/>
    <x v="0"/>
    <x v="1"/>
  </r>
  <r>
    <x v="1718"/>
    <n v="37.89"/>
    <x v="3"/>
    <x v="3"/>
    <x v="13"/>
    <n v="1.7"/>
    <n v="2.5700000000000001E-2"/>
    <x v="6"/>
    <m/>
    <n v="0"/>
    <x v="5"/>
    <x v="8"/>
    <x v="56"/>
    <x v="1"/>
    <x v="2"/>
    <x v="1"/>
  </r>
  <r>
    <x v="1719"/>
    <n v="37.89"/>
    <x v="3"/>
    <x v="3"/>
    <x v="26"/>
    <n v="1.6"/>
    <n v="-2.6100000000000002E-2"/>
    <x v="6"/>
    <m/>
    <n v="0"/>
    <x v="5"/>
    <x v="8"/>
    <x v="56"/>
    <x v="1"/>
    <x v="2"/>
    <x v="1"/>
  </r>
  <r>
    <x v="1720"/>
    <n v="37.89"/>
    <x v="3"/>
    <x v="3"/>
    <x v="10"/>
    <n v="2.0299999999999998"/>
    <n v="9.1999999999999998E-2"/>
    <x v="6"/>
    <m/>
    <n v="0"/>
    <x v="5"/>
    <x v="8"/>
    <x v="56"/>
    <x v="0"/>
    <x v="2"/>
    <x v="1"/>
  </r>
  <r>
    <x v="1721"/>
    <n v="39.299999999999997"/>
    <x v="1177"/>
    <x v="1089"/>
    <x v="10"/>
    <n v="1.95"/>
    <n v="0.16769999999999999"/>
    <x v="6"/>
    <m/>
    <n v="1"/>
    <x v="5"/>
    <x v="8"/>
    <x v="56"/>
    <x v="0"/>
    <x v="1"/>
    <x v="0"/>
  </r>
  <r>
    <x v="1722"/>
    <n v="39.520000000000003"/>
    <x v="1178"/>
    <x v="1090"/>
    <x v="18"/>
    <n v="1.73"/>
    <n v="-2.2100000000000002E-2"/>
    <x v="6"/>
    <m/>
    <n v="1"/>
    <x v="5"/>
    <x v="8"/>
    <x v="56"/>
    <x v="0"/>
    <x v="0"/>
    <x v="1"/>
  </r>
  <r>
    <x v="1723"/>
    <n v="40.31"/>
    <x v="1179"/>
    <x v="1091"/>
    <x v="7"/>
    <n v="2.46"/>
    <n v="0.1804"/>
    <x v="6"/>
    <m/>
    <n v="1"/>
    <x v="5"/>
    <x v="9"/>
    <x v="57"/>
    <x v="0"/>
    <x v="0"/>
    <x v="0"/>
  </r>
  <r>
    <x v="1724"/>
    <n v="40.049999999999997"/>
    <x v="1180"/>
    <x v="1092"/>
    <x v="2"/>
    <n v="2.15"/>
    <n v="0.16470000000000001"/>
    <x v="6"/>
    <m/>
    <n v="1"/>
    <x v="5"/>
    <x v="9"/>
    <x v="57"/>
    <x v="1"/>
    <x v="1"/>
    <x v="0"/>
  </r>
  <r>
    <x v="1725"/>
    <n v="40.049999999999997"/>
    <x v="3"/>
    <x v="3"/>
    <x v="1"/>
    <n v="2"/>
    <n v="7.7600000000000002E-2"/>
    <x v="6"/>
    <m/>
    <n v="0"/>
    <x v="5"/>
    <x v="9"/>
    <x v="57"/>
    <x v="1"/>
    <x v="2"/>
    <x v="1"/>
  </r>
  <r>
    <x v="1726"/>
    <n v="40.049999999999997"/>
    <x v="3"/>
    <x v="3"/>
    <x v="19"/>
    <n v="1.67"/>
    <n v="9.3299999999999994E-2"/>
    <x v="6"/>
    <m/>
    <n v="0"/>
    <x v="5"/>
    <x v="9"/>
    <x v="57"/>
    <x v="0"/>
    <x v="2"/>
    <x v="1"/>
  </r>
  <r>
    <x v="1727"/>
    <n v="40.35"/>
    <x v="1181"/>
    <x v="1093"/>
    <x v="7"/>
    <n v="1.57"/>
    <n v="3.5999999999999997E-2"/>
    <x v="6"/>
    <m/>
    <n v="1"/>
    <x v="5"/>
    <x v="9"/>
    <x v="57"/>
    <x v="0"/>
    <x v="0"/>
    <x v="1"/>
  </r>
  <r>
    <x v="1728"/>
    <n v="39.93"/>
    <x v="1182"/>
    <x v="1094"/>
    <x v="27"/>
    <n v="1.83"/>
    <n v="4.0500000000000001E-2"/>
    <x v="6"/>
    <m/>
    <n v="1"/>
    <x v="5"/>
    <x v="9"/>
    <x v="57"/>
    <x v="0"/>
    <x v="1"/>
    <x v="1"/>
  </r>
  <r>
    <x v="1729"/>
    <n v="39.979999999999997"/>
    <x v="1183"/>
    <x v="1095"/>
    <x v="32"/>
    <n v="1.87"/>
    <n v="7.4999999999999997E-3"/>
    <x v="6"/>
    <m/>
    <n v="1"/>
    <x v="5"/>
    <x v="9"/>
    <x v="57"/>
    <x v="0"/>
    <x v="1"/>
    <x v="1"/>
  </r>
  <r>
    <x v="1730"/>
    <n v="40.94"/>
    <x v="1184"/>
    <x v="1096"/>
    <x v="19"/>
    <n v="1.7"/>
    <n v="1.66E-2"/>
    <x v="6"/>
    <m/>
    <n v="1"/>
    <x v="5"/>
    <x v="9"/>
    <x v="57"/>
    <x v="0"/>
    <x v="0"/>
    <x v="1"/>
  </r>
  <r>
    <x v="1731"/>
    <n v="42"/>
    <x v="1185"/>
    <x v="1097"/>
    <x v="19"/>
    <n v="2"/>
    <n v="7.3499999999999996E-2"/>
    <x v="6"/>
    <m/>
    <n v="1"/>
    <x v="5"/>
    <x v="9"/>
    <x v="57"/>
    <x v="1"/>
    <x v="1"/>
    <x v="1"/>
  </r>
  <r>
    <x v="1732"/>
    <n v="42"/>
    <x v="3"/>
    <x v="3"/>
    <x v="26"/>
    <n v="1.86"/>
    <n v="0.15609999999999999"/>
    <x v="6"/>
    <m/>
    <n v="0"/>
    <x v="5"/>
    <x v="9"/>
    <x v="57"/>
    <x v="1"/>
    <x v="2"/>
    <x v="0"/>
  </r>
  <r>
    <x v="1733"/>
    <n v="42"/>
    <x v="3"/>
    <x v="3"/>
    <x v="17"/>
    <n v="1.93"/>
    <n v="0.11700000000000001"/>
    <x v="6"/>
    <m/>
    <n v="0"/>
    <x v="5"/>
    <x v="9"/>
    <x v="57"/>
    <x v="0"/>
    <x v="2"/>
    <x v="0"/>
  </r>
  <r>
    <x v="1734"/>
    <n v="42.4"/>
    <x v="1186"/>
    <x v="1098"/>
    <x v="9"/>
    <n v="2.2999999999999998"/>
    <n v="0.1031"/>
    <x v="6"/>
    <m/>
    <n v="1"/>
    <x v="5"/>
    <x v="9"/>
    <x v="57"/>
    <x v="0"/>
    <x v="0"/>
    <x v="0"/>
  </r>
  <r>
    <x v="1735"/>
    <n v="43.57"/>
    <x v="1187"/>
    <x v="1099"/>
    <x v="6"/>
    <n v="1.76"/>
    <n v="0.1182"/>
    <x v="6"/>
    <m/>
    <n v="1"/>
    <x v="5"/>
    <x v="9"/>
    <x v="57"/>
    <x v="0"/>
    <x v="0"/>
    <x v="0"/>
  </r>
  <r>
    <x v="1736"/>
    <n v="44.09"/>
    <x v="1188"/>
    <x v="336"/>
    <x v="102"/>
    <n v="1.89"/>
    <n v="0.16339999999999999"/>
    <x v="6"/>
    <m/>
    <n v="1"/>
    <x v="5"/>
    <x v="9"/>
    <x v="57"/>
    <x v="0"/>
    <x v="0"/>
    <x v="0"/>
  </r>
  <r>
    <x v="1737"/>
    <n v="44.53"/>
    <x v="1189"/>
    <x v="1100"/>
    <x v="102"/>
    <n v="1.93"/>
    <n v="7.8799999999999995E-2"/>
    <x v="6"/>
    <m/>
    <n v="1"/>
    <x v="5"/>
    <x v="9"/>
    <x v="57"/>
    <x v="0"/>
    <x v="0"/>
    <x v="1"/>
  </r>
  <r>
    <x v="1738"/>
    <n v="43.2"/>
    <x v="1190"/>
    <x v="967"/>
    <x v="6"/>
    <n v="2.4500000000000002"/>
    <n v="-5.3699999999999998E-2"/>
    <x v="6"/>
    <m/>
    <n v="1"/>
    <x v="5"/>
    <x v="9"/>
    <x v="57"/>
    <x v="1"/>
    <x v="1"/>
    <x v="1"/>
  </r>
  <r>
    <x v="1739"/>
    <n v="43.2"/>
    <x v="3"/>
    <x v="3"/>
    <x v="18"/>
    <n v="1.92"/>
    <n v="0.1004"/>
    <x v="6"/>
    <m/>
    <n v="0"/>
    <x v="5"/>
    <x v="9"/>
    <x v="57"/>
    <x v="1"/>
    <x v="2"/>
    <x v="0"/>
  </r>
  <r>
    <x v="1740"/>
    <n v="43.2"/>
    <x v="3"/>
    <x v="3"/>
    <x v="27"/>
    <n v="1.57"/>
    <n v="-5.1299999999999998E-2"/>
    <x v="6"/>
    <m/>
    <n v="0"/>
    <x v="5"/>
    <x v="9"/>
    <x v="57"/>
    <x v="1"/>
    <x v="2"/>
    <x v="1"/>
  </r>
  <r>
    <x v="1741"/>
    <n v="43.2"/>
    <x v="3"/>
    <x v="3"/>
    <x v="13"/>
    <n v="2.08"/>
    <n v="-6.6E-3"/>
    <x v="6"/>
    <m/>
    <n v="0"/>
    <x v="5"/>
    <x v="9"/>
    <x v="57"/>
    <x v="0"/>
    <x v="2"/>
    <x v="1"/>
  </r>
  <r>
    <x v="1742"/>
    <n v="43.47"/>
    <x v="1191"/>
    <x v="1101"/>
    <x v="2"/>
    <n v="2.2400000000000002"/>
    <n v="0.1711"/>
    <x v="6"/>
    <m/>
    <n v="1"/>
    <x v="5"/>
    <x v="9"/>
    <x v="57"/>
    <x v="0"/>
    <x v="0"/>
    <x v="0"/>
  </r>
  <r>
    <x v="1743"/>
    <n v="42.44"/>
    <x v="1192"/>
    <x v="1102"/>
    <x v="6"/>
    <n v="2.2799999999999998"/>
    <n v="0.1661"/>
    <x v="6"/>
    <m/>
    <n v="1"/>
    <x v="5"/>
    <x v="9"/>
    <x v="57"/>
    <x v="0"/>
    <x v="1"/>
    <x v="0"/>
  </r>
  <r>
    <x v="1744"/>
    <n v="42.25"/>
    <x v="1193"/>
    <x v="1103"/>
    <x v="27"/>
    <n v="1.63"/>
    <n v="-6.59E-2"/>
    <x v="6"/>
    <m/>
    <n v="1"/>
    <x v="5"/>
    <x v="9"/>
    <x v="57"/>
    <x v="0"/>
    <x v="1"/>
    <x v="1"/>
  </r>
  <r>
    <x v="1745"/>
    <n v="42.4"/>
    <x v="1194"/>
    <x v="1104"/>
    <x v="2"/>
    <n v="1.68"/>
    <n v="-1.9E-2"/>
    <x v="6"/>
    <m/>
    <n v="1"/>
    <x v="5"/>
    <x v="9"/>
    <x v="57"/>
    <x v="1"/>
    <x v="0"/>
    <x v="1"/>
  </r>
  <r>
    <x v="1746"/>
    <n v="42.4"/>
    <x v="3"/>
    <x v="3"/>
    <x v="7"/>
    <n v="2.14"/>
    <n v="-2E-3"/>
    <x v="6"/>
    <m/>
    <n v="0"/>
    <x v="5"/>
    <x v="9"/>
    <x v="57"/>
    <x v="1"/>
    <x v="2"/>
    <x v="1"/>
  </r>
  <r>
    <x v="1747"/>
    <n v="42.4"/>
    <x v="3"/>
    <x v="3"/>
    <x v="13"/>
    <n v="2.0499999999999998"/>
    <n v="0.19020000000000001"/>
    <x v="6"/>
    <m/>
    <n v="0"/>
    <x v="5"/>
    <x v="9"/>
    <x v="57"/>
    <x v="0"/>
    <x v="2"/>
    <x v="0"/>
  </r>
  <r>
    <x v="1748"/>
    <n v="41.59"/>
    <x v="1195"/>
    <x v="1105"/>
    <x v="27"/>
    <n v="2.23"/>
    <n v="0.20150000000000001"/>
    <x v="6"/>
    <m/>
    <n v="1"/>
    <x v="5"/>
    <x v="9"/>
    <x v="57"/>
    <x v="0"/>
    <x v="1"/>
    <x v="0"/>
  </r>
  <r>
    <x v="1749"/>
    <n v="41.71"/>
    <x v="1196"/>
    <x v="1106"/>
    <x v="37"/>
    <n v="2.0299999999999998"/>
    <n v="-4.2799999999999998E-2"/>
    <x v="6"/>
    <m/>
    <n v="1"/>
    <x v="5"/>
    <x v="9"/>
    <x v="57"/>
    <x v="0"/>
    <x v="1"/>
    <x v="1"/>
  </r>
  <r>
    <x v="1750"/>
    <n v="42.98"/>
    <x v="1197"/>
    <x v="1107"/>
    <x v="16"/>
    <n v="2.11"/>
    <n v="7.3800000000000004E-2"/>
    <x v="6"/>
    <m/>
    <n v="1"/>
    <x v="5"/>
    <x v="9"/>
    <x v="57"/>
    <x v="0"/>
    <x v="0"/>
    <x v="1"/>
  </r>
  <r>
    <x v="1751"/>
    <n v="42.82"/>
    <x v="1198"/>
    <x v="594"/>
    <x v="7"/>
    <n v="1.89"/>
    <n v="-7.3300000000000004E-2"/>
    <x v="6"/>
    <m/>
    <n v="1"/>
    <x v="5"/>
    <x v="9"/>
    <x v="57"/>
    <x v="0"/>
    <x v="1"/>
    <x v="1"/>
  </r>
  <r>
    <x v="1752"/>
    <n v="44.05"/>
    <x v="1199"/>
    <x v="1108"/>
    <x v="38"/>
    <n v="2.5499999999999998"/>
    <n v="0.16109999999999999"/>
    <x v="6"/>
    <m/>
    <n v="1"/>
    <x v="5"/>
    <x v="9"/>
    <x v="57"/>
    <x v="1"/>
    <x v="0"/>
    <x v="0"/>
  </r>
  <r>
    <x v="1753"/>
    <n v="44.05"/>
    <x v="3"/>
    <x v="3"/>
    <x v="37"/>
    <n v="2.2799999999999998"/>
    <n v="1.61E-2"/>
    <x v="6"/>
    <m/>
    <n v="0"/>
    <x v="5"/>
    <x v="10"/>
    <x v="58"/>
    <x v="1"/>
    <x v="2"/>
    <x v="1"/>
  </r>
  <r>
    <x v="1754"/>
    <n v="44.05"/>
    <x v="3"/>
    <x v="3"/>
    <x v="43"/>
    <n v="2.2400000000000002"/>
    <n v="0.12570000000000001"/>
    <x v="6"/>
    <m/>
    <n v="0"/>
    <x v="5"/>
    <x v="10"/>
    <x v="58"/>
    <x v="0"/>
    <x v="2"/>
    <x v="0"/>
  </r>
  <r>
    <x v="1755"/>
    <n v="44.14"/>
    <x v="1200"/>
    <x v="1109"/>
    <x v="5"/>
    <n v="2.79"/>
    <n v="0.18609999999999999"/>
    <x v="6"/>
    <m/>
    <n v="1"/>
    <x v="5"/>
    <x v="10"/>
    <x v="58"/>
    <x v="1"/>
    <x v="0"/>
    <x v="0"/>
  </r>
  <r>
    <x v="1756"/>
    <n v="44.14"/>
    <x v="3"/>
    <x v="3"/>
    <x v="7"/>
    <n v="2"/>
    <n v="0.11650000000000001"/>
    <x v="6"/>
    <m/>
    <n v="0"/>
    <x v="5"/>
    <x v="10"/>
    <x v="58"/>
    <x v="0"/>
    <x v="2"/>
    <x v="0"/>
  </r>
  <r>
    <x v="1757"/>
    <n v="44.59"/>
    <x v="1201"/>
    <x v="1110"/>
    <x v="1"/>
    <n v="2.2200000000000002"/>
    <n v="1.67E-2"/>
    <x v="6"/>
    <m/>
    <n v="1"/>
    <x v="5"/>
    <x v="10"/>
    <x v="58"/>
    <x v="0"/>
    <x v="0"/>
    <x v="1"/>
  </r>
  <r>
    <x v="1758"/>
    <n v="43.88"/>
    <x v="1202"/>
    <x v="1111"/>
    <x v="0"/>
    <n v="2.25"/>
    <n v="6.9199999999999998E-2"/>
    <x v="6"/>
    <m/>
    <n v="1"/>
    <x v="5"/>
    <x v="10"/>
    <x v="58"/>
    <x v="0"/>
    <x v="1"/>
    <x v="1"/>
  </r>
  <r>
    <x v="1759"/>
    <n v="43.81"/>
    <x v="1203"/>
    <x v="280"/>
    <x v="7"/>
    <n v="2.23"/>
    <n v="0.1492"/>
    <x v="6"/>
    <m/>
    <n v="1"/>
    <x v="5"/>
    <x v="10"/>
    <x v="58"/>
    <x v="1"/>
    <x v="1"/>
    <x v="0"/>
  </r>
  <r>
    <x v="1760"/>
    <n v="43.81"/>
    <x v="3"/>
    <x v="3"/>
    <x v="102"/>
    <n v="1.89"/>
    <n v="1.67E-2"/>
    <x v="6"/>
    <m/>
    <n v="0"/>
    <x v="5"/>
    <x v="10"/>
    <x v="58"/>
    <x v="1"/>
    <x v="2"/>
    <x v="1"/>
  </r>
  <r>
    <x v="1761"/>
    <n v="43.81"/>
    <x v="3"/>
    <x v="3"/>
    <x v="5"/>
    <n v="2.15"/>
    <n v="0.2482"/>
    <x v="6"/>
    <m/>
    <n v="0"/>
    <x v="5"/>
    <x v="10"/>
    <x v="58"/>
    <x v="0"/>
    <x v="2"/>
    <x v="0"/>
  </r>
  <r>
    <x v="1762"/>
    <n v="44.17"/>
    <x v="1204"/>
    <x v="1112"/>
    <x v="2"/>
    <n v="2.1800000000000002"/>
    <n v="0.10249999999999999"/>
    <x v="6"/>
    <m/>
    <n v="1"/>
    <x v="5"/>
    <x v="10"/>
    <x v="58"/>
    <x v="0"/>
    <x v="0"/>
    <x v="0"/>
  </r>
  <r>
    <x v="1763"/>
    <n v="44.02"/>
    <x v="1205"/>
    <x v="1113"/>
    <x v="26"/>
    <n v="2.0699999999999998"/>
    <n v="9.5100000000000004E-2"/>
    <x v="6"/>
    <m/>
    <n v="1"/>
    <x v="5"/>
    <x v="10"/>
    <x v="58"/>
    <x v="0"/>
    <x v="0"/>
    <x v="1"/>
  </r>
  <r>
    <x v="1764"/>
    <n v="44.4"/>
    <x v="1206"/>
    <x v="1114"/>
    <x v="10"/>
    <n v="2.23"/>
    <n v="0.12659999999999999"/>
    <x v="6"/>
    <m/>
    <n v="1"/>
    <x v="5"/>
    <x v="10"/>
    <x v="58"/>
    <x v="0"/>
    <x v="1"/>
    <x v="0"/>
  </r>
  <r>
    <x v="1765"/>
    <n v="45.04"/>
    <x v="1207"/>
    <x v="1115"/>
    <x v="8"/>
    <n v="2.12"/>
    <n v="4.3200000000000002E-2"/>
    <x v="6"/>
    <m/>
    <n v="1"/>
    <x v="5"/>
    <x v="10"/>
    <x v="58"/>
    <x v="0"/>
    <x v="0"/>
    <x v="1"/>
  </r>
  <r>
    <x v="1766"/>
    <n v="44.19"/>
    <x v="1208"/>
    <x v="1116"/>
    <x v="0"/>
    <n v="2.36"/>
    <n v="7.9200000000000007E-2"/>
    <x v="6"/>
    <m/>
    <n v="1"/>
    <x v="5"/>
    <x v="10"/>
    <x v="58"/>
    <x v="1"/>
    <x v="1"/>
    <x v="1"/>
  </r>
  <r>
    <x v="1767"/>
    <n v="44.19"/>
    <x v="3"/>
    <x v="3"/>
    <x v="3"/>
    <n v="2.23"/>
    <n v="0.15670000000000001"/>
    <x v="6"/>
    <m/>
    <n v="0"/>
    <x v="5"/>
    <x v="10"/>
    <x v="58"/>
    <x v="1"/>
    <x v="2"/>
    <x v="0"/>
  </r>
  <r>
    <x v="1768"/>
    <n v="44.19"/>
    <x v="3"/>
    <x v="3"/>
    <x v="13"/>
    <n v="2.17"/>
    <n v="4.3799999999999999E-2"/>
    <x v="6"/>
    <m/>
    <n v="0"/>
    <x v="5"/>
    <x v="10"/>
    <x v="58"/>
    <x v="0"/>
    <x v="2"/>
    <x v="1"/>
  </r>
  <r>
    <x v="1769"/>
    <n v="45.01"/>
    <x v="1209"/>
    <x v="1117"/>
    <x v="5"/>
    <n v="2.0299999999999998"/>
    <n v="-1.55E-2"/>
    <x v="6"/>
    <m/>
    <n v="1"/>
    <x v="5"/>
    <x v="10"/>
    <x v="58"/>
    <x v="0"/>
    <x v="0"/>
    <x v="1"/>
  </r>
  <r>
    <x v="1770"/>
    <n v="47.48"/>
    <x v="1210"/>
    <x v="1118"/>
    <x v="36"/>
    <n v="2.67"/>
    <n v="3.8699999999999998E-2"/>
    <x v="6"/>
    <m/>
    <n v="1"/>
    <x v="5"/>
    <x v="10"/>
    <x v="58"/>
    <x v="0"/>
    <x v="0"/>
    <x v="1"/>
  </r>
  <r>
    <x v="1771"/>
    <n v="47.76"/>
    <x v="1211"/>
    <x v="1119"/>
    <x v="38"/>
    <n v="2.58"/>
    <n v="0.22009999999999999"/>
    <x v="6"/>
    <m/>
    <n v="1"/>
    <x v="5"/>
    <x v="10"/>
    <x v="58"/>
    <x v="0"/>
    <x v="0"/>
    <x v="0"/>
  </r>
  <r>
    <x v="1772"/>
    <n v="43.74"/>
    <x v="1212"/>
    <x v="1120"/>
    <x v="26"/>
    <n v="2.17"/>
    <n v="0.14180000000000001"/>
    <x v="6"/>
    <m/>
    <n v="1"/>
    <x v="5"/>
    <x v="10"/>
    <x v="58"/>
    <x v="0"/>
    <x v="1"/>
    <x v="0"/>
  </r>
  <r>
    <x v="1773"/>
    <n v="42.75"/>
    <x v="1213"/>
    <x v="1121"/>
    <x v="27"/>
    <n v="2.4700000000000002"/>
    <n v="0.1169"/>
    <x v="6"/>
    <m/>
    <n v="1"/>
    <x v="5"/>
    <x v="10"/>
    <x v="58"/>
    <x v="1"/>
    <x v="1"/>
    <x v="0"/>
  </r>
  <r>
    <x v="1774"/>
    <n v="42.75"/>
    <x v="3"/>
    <x v="3"/>
    <x v="5"/>
    <n v="2.42"/>
    <n v="0.21179999999999999"/>
    <x v="6"/>
    <m/>
    <n v="0"/>
    <x v="5"/>
    <x v="10"/>
    <x v="58"/>
    <x v="1"/>
    <x v="2"/>
    <x v="0"/>
  </r>
  <r>
    <x v="1775"/>
    <n v="42.75"/>
    <x v="3"/>
    <x v="3"/>
    <x v="6"/>
    <n v="2.17"/>
    <n v="0.2361"/>
    <x v="6"/>
    <m/>
    <n v="0"/>
    <x v="5"/>
    <x v="10"/>
    <x v="58"/>
    <x v="0"/>
    <x v="2"/>
    <x v="0"/>
  </r>
  <r>
    <x v="1776"/>
    <n v="42.84"/>
    <x v="1214"/>
    <x v="1122"/>
    <x v="37"/>
    <n v="2.2799999999999998"/>
    <n v="-7.8799999999999995E-2"/>
    <x v="6"/>
    <m/>
    <n v="1"/>
    <x v="5"/>
    <x v="10"/>
    <x v="58"/>
    <x v="0"/>
    <x v="0"/>
    <x v="1"/>
  </r>
  <r>
    <x v="1777"/>
    <n v="42.77"/>
    <x v="1215"/>
    <x v="125"/>
    <x v="43"/>
    <n v="1.96"/>
    <n v="9.1999999999999998E-2"/>
    <x v="6"/>
    <m/>
    <n v="1"/>
    <x v="5"/>
    <x v="10"/>
    <x v="58"/>
    <x v="0"/>
    <x v="0"/>
    <x v="1"/>
  </r>
  <r>
    <x v="1778"/>
    <n v="42.27"/>
    <x v="1216"/>
    <x v="1123"/>
    <x v="0"/>
    <n v="2.04"/>
    <n v="0.1186"/>
    <x v="6"/>
    <m/>
    <n v="1"/>
    <x v="5"/>
    <x v="10"/>
    <x v="58"/>
    <x v="0"/>
    <x v="1"/>
    <x v="0"/>
  </r>
  <r>
    <x v="1779"/>
    <n v="41.32"/>
    <x v="1217"/>
    <x v="1124"/>
    <x v="39"/>
    <n v="2.1"/>
    <n v="-3.85E-2"/>
    <x v="6"/>
    <m/>
    <n v="1"/>
    <x v="5"/>
    <x v="10"/>
    <x v="58"/>
    <x v="0"/>
    <x v="1"/>
    <x v="1"/>
  </r>
  <r>
    <x v="1780"/>
    <n v="42.58"/>
    <x v="1218"/>
    <x v="1125"/>
    <x v="13"/>
    <n v="2.17"/>
    <n v="-3.0999999999999999E-3"/>
    <x v="6"/>
    <m/>
    <n v="1"/>
    <x v="5"/>
    <x v="10"/>
    <x v="58"/>
    <x v="1"/>
    <x v="0"/>
    <x v="1"/>
  </r>
  <r>
    <x v="1781"/>
    <n v="42.58"/>
    <x v="3"/>
    <x v="3"/>
    <x v="41"/>
    <n v="2.02"/>
    <n v="0.1229"/>
    <x v="6"/>
    <m/>
    <n v="0"/>
    <x v="5"/>
    <x v="10"/>
    <x v="58"/>
    <x v="1"/>
    <x v="2"/>
    <x v="0"/>
  </r>
  <r>
    <x v="1782"/>
    <n v="42.58"/>
    <x v="3"/>
    <x v="3"/>
    <x v="40"/>
    <n v="2.64"/>
    <n v="0.16439999999999999"/>
    <x v="6"/>
    <m/>
    <n v="0"/>
    <x v="5"/>
    <x v="10"/>
    <x v="58"/>
    <x v="0"/>
    <x v="2"/>
    <x v="0"/>
  </r>
  <r>
    <x v="1783"/>
    <n v="43.9"/>
    <x v="1219"/>
    <x v="1126"/>
    <x v="0"/>
    <n v="2.14"/>
    <n v="7.7899999999999997E-2"/>
    <x v="6"/>
    <m/>
    <n v="1"/>
    <x v="5"/>
    <x v="10"/>
    <x v="58"/>
    <x v="0"/>
    <x v="0"/>
    <x v="1"/>
  </r>
  <r>
    <x v="1784"/>
    <n v="43.86"/>
    <x v="1220"/>
    <x v="1127"/>
    <x v="19"/>
    <n v="2.4900000000000002"/>
    <n v="5.4399999999999997E-2"/>
    <x v="6"/>
    <m/>
    <n v="1"/>
    <x v="5"/>
    <x v="11"/>
    <x v="59"/>
    <x v="0"/>
    <x v="0"/>
    <x v="1"/>
  </r>
  <r>
    <x v="1785"/>
    <n v="42.97"/>
    <x v="1221"/>
    <x v="1128"/>
    <x v="2"/>
    <n v="2.74"/>
    <n v="0.3579"/>
    <x v="6"/>
    <m/>
    <n v="1"/>
    <x v="5"/>
    <x v="11"/>
    <x v="59"/>
    <x v="0"/>
    <x v="1"/>
    <x v="0"/>
  </r>
  <r>
    <x v="1786"/>
    <n v="43.1"/>
    <x v="1222"/>
    <x v="1129"/>
    <x v="107"/>
    <n v="2"/>
    <n v="1.8800000000000001E-2"/>
    <x v="6"/>
    <m/>
    <n v="1"/>
    <x v="5"/>
    <x v="11"/>
    <x v="59"/>
    <x v="0"/>
    <x v="0"/>
    <x v="1"/>
  </r>
  <r>
    <x v="1787"/>
    <n v="43.16"/>
    <x v="1223"/>
    <x v="1130"/>
    <x v="38"/>
    <n v="2.42"/>
    <n v="8.5900000000000004E-2"/>
    <x v="6"/>
    <m/>
    <n v="1"/>
    <x v="5"/>
    <x v="11"/>
    <x v="59"/>
    <x v="1"/>
    <x v="1"/>
    <x v="1"/>
  </r>
  <r>
    <x v="1788"/>
    <n v="43.16"/>
    <x v="3"/>
    <x v="3"/>
    <x v="2"/>
    <n v="2.56"/>
    <n v="0.2394"/>
    <x v="6"/>
    <m/>
    <n v="0"/>
    <x v="5"/>
    <x v="11"/>
    <x v="59"/>
    <x v="1"/>
    <x v="2"/>
    <x v="0"/>
  </r>
  <r>
    <x v="1789"/>
    <n v="43.16"/>
    <x v="3"/>
    <x v="3"/>
    <x v="2"/>
    <n v="2.15"/>
    <n v="5.1499999999999997E-2"/>
    <x v="6"/>
    <m/>
    <n v="0"/>
    <x v="5"/>
    <x v="11"/>
    <x v="59"/>
    <x v="0"/>
    <x v="2"/>
    <x v="1"/>
  </r>
  <r>
    <x v="1790"/>
    <n v="44.08"/>
    <x v="522"/>
    <x v="611"/>
    <x v="6"/>
    <n v="2.72"/>
    <n v="0.22259999999999999"/>
    <x v="6"/>
    <m/>
    <n v="1"/>
    <x v="5"/>
    <x v="11"/>
    <x v="59"/>
    <x v="0"/>
    <x v="0"/>
    <x v="0"/>
  </r>
  <r>
    <x v="1791"/>
    <n v="43.83"/>
    <x v="1224"/>
    <x v="1131"/>
    <x v="43"/>
    <n v="2.3199999999999998"/>
    <n v="0.10970000000000001"/>
    <x v="6"/>
    <m/>
    <n v="1"/>
    <x v="5"/>
    <x v="11"/>
    <x v="59"/>
    <x v="0"/>
    <x v="1"/>
    <x v="0"/>
  </r>
  <r>
    <x v="1792"/>
    <n v="42.89"/>
    <x v="1225"/>
    <x v="1132"/>
    <x v="5"/>
    <n v="2.79"/>
    <n v="0.23780000000000001"/>
    <x v="6"/>
    <m/>
    <n v="1"/>
    <x v="5"/>
    <x v="11"/>
    <x v="59"/>
    <x v="0"/>
    <x v="1"/>
    <x v="0"/>
  </r>
  <r>
    <x v="1793"/>
    <n v="43"/>
    <x v="1226"/>
    <x v="1111"/>
    <x v="107"/>
    <n v="2.2599999999999998"/>
    <n v="-2.63E-2"/>
    <x v="6"/>
    <m/>
    <n v="1"/>
    <x v="5"/>
    <x v="11"/>
    <x v="59"/>
    <x v="0"/>
    <x v="1"/>
    <x v="1"/>
  </r>
  <r>
    <x v="1794"/>
    <n v="42.17"/>
    <x v="1227"/>
    <x v="1133"/>
    <x v="0"/>
    <n v="2.4300000000000002"/>
    <n v="4.3999999999999997E-2"/>
    <x v="6"/>
    <m/>
    <n v="1"/>
    <x v="5"/>
    <x v="11"/>
    <x v="59"/>
    <x v="1"/>
    <x v="1"/>
    <x v="1"/>
  </r>
  <r>
    <x v="1795"/>
    <n v="42.17"/>
    <x v="3"/>
    <x v="3"/>
    <x v="13"/>
    <n v="1.9"/>
    <n v="-5.0900000000000001E-2"/>
    <x v="6"/>
    <m/>
    <n v="0"/>
    <x v="5"/>
    <x v="11"/>
    <x v="59"/>
    <x v="1"/>
    <x v="2"/>
    <x v="1"/>
  </r>
  <r>
    <x v="1796"/>
    <n v="42.17"/>
    <x v="3"/>
    <x v="3"/>
    <x v="27"/>
    <n v="2.0699999999999998"/>
    <n v="2.6200000000000001E-2"/>
    <x v="6"/>
    <m/>
    <n v="0"/>
    <x v="5"/>
    <x v="11"/>
    <x v="59"/>
    <x v="0"/>
    <x v="2"/>
    <x v="1"/>
  </r>
  <r>
    <x v="1797"/>
    <n v="42.78"/>
    <x v="1108"/>
    <x v="1134"/>
    <x v="38"/>
    <n v="2.23"/>
    <n v="0.1087"/>
    <x v="6"/>
    <m/>
    <n v="1"/>
    <x v="5"/>
    <x v="11"/>
    <x v="59"/>
    <x v="0"/>
    <x v="0"/>
    <x v="0"/>
  </r>
  <r>
    <x v="1798"/>
    <n v="42.37"/>
    <x v="1228"/>
    <x v="1135"/>
    <x v="102"/>
    <n v="2.63"/>
    <n v="1.01E-2"/>
    <x v="6"/>
    <m/>
    <n v="1"/>
    <x v="5"/>
    <x v="11"/>
    <x v="59"/>
    <x v="0"/>
    <x v="1"/>
    <x v="1"/>
  </r>
  <r>
    <x v="1799"/>
    <n v="41.54"/>
    <x v="1229"/>
    <x v="1136"/>
    <x v="110"/>
    <n v="2"/>
    <n v="0.1145"/>
    <x v="6"/>
    <m/>
    <n v="1"/>
    <x v="5"/>
    <x v="11"/>
    <x v="59"/>
    <x v="0"/>
    <x v="1"/>
    <x v="0"/>
  </r>
  <r>
    <x v="1800"/>
    <n v="40.299999999999997"/>
    <x v="1230"/>
    <x v="1137"/>
    <x v="38"/>
    <n v="2.65"/>
    <n v="9.1300000000000006E-2"/>
    <x v="6"/>
    <m/>
    <n v="1"/>
    <x v="5"/>
    <x v="11"/>
    <x v="59"/>
    <x v="0"/>
    <x v="1"/>
    <x v="1"/>
  </r>
  <r>
    <x v="1801"/>
    <n v="40.450000000000003"/>
    <x v="1231"/>
    <x v="1138"/>
    <x v="0"/>
    <n v="2.1800000000000002"/>
    <n v="6.2199999999999998E-2"/>
    <x v="6"/>
    <m/>
    <n v="1"/>
    <x v="5"/>
    <x v="11"/>
    <x v="59"/>
    <x v="1"/>
    <x v="0"/>
    <x v="1"/>
  </r>
  <r>
    <x v="1802"/>
    <n v="40.450000000000003"/>
    <x v="3"/>
    <x v="3"/>
    <x v="37"/>
    <n v="2.2799999999999998"/>
    <n v="0.1789"/>
    <x v="6"/>
    <m/>
    <n v="0"/>
    <x v="5"/>
    <x v="11"/>
    <x v="59"/>
    <x v="1"/>
    <x v="2"/>
    <x v="0"/>
  </r>
  <r>
    <x v="1803"/>
    <n v="40.450000000000003"/>
    <x v="3"/>
    <x v="3"/>
    <x v="0"/>
    <n v="2.04"/>
    <n v="-3.61E-2"/>
    <x v="6"/>
    <m/>
    <n v="0"/>
    <x v="5"/>
    <x v="11"/>
    <x v="59"/>
    <x v="0"/>
    <x v="2"/>
    <x v="1"/>
  </r>
  <r>
    <x v="1804"/>
    <n v="40.83"/>
    <x v="1232"/>
    <x v="149"/>
    <x v="6"/>
    <n v="2.17"/>
    <n v="9.35E-2"/>
    <x v="6"/>
    <m/>
    <n v="1"/>
    <x v="5"/>
    <x v="11"/>
    <x v="59"/>
    <x v="0"/>
    <x v="0"/>
    <x v="1"/>
  </r>
  <r>
    <x v="1805"/>
    <n v="41.32"/>
    <x v="1233"/>
    <x v="1139"/>
    <x v="103"/>
    <n v="1.64"/>
    <n v="-4.8399999999999999E-2"/>
    <x v="6"/>
    <m/>
    <n v="1"/>
    <x v="5"/>
    <x v="11"/>
    <x v="59"/>
    <x v="0"/>
    <x v="0"/>
    <x v="1"/>
  </r>
  <r>
    <x v="1806"/>
    <n v="42.76"/>
    <x v="1234"/>
    <x v="1140"/>
    <x v="102"/>
    <n v="2.63"/>
    <n v="3.4799999999999998E-2"/>
    <x v="6"/>
    <m/>
    <n v="1"/>
    <x v="5"/>
    <x v="11"/>
    <x v="59"/>
    <x v="0"/>
    <x v="0"/>
    <x v="1"/>
  </r>
  <r>
    <x v="1807"/>
    <n v="40.69"/>
    <x v="1235"/>
    <x v="1141"/>
    <x v="107"/>
    <n v="2.21"/>
    <n v="9.8000000000000004E-2"/>
    <x v="6"/>
    <m/>
    <n v="1"/>
    <x v="5"/>
    <x v="11"/>
    <x v="59"/>
    <x v="0"/>
    <x v="1"/>
    <x v="1"/>
  </r>
  <r>
    <x v="1808"/>
    <n v="41.6"/>
    <x v="1236"/>
    <x v="1142"/>
    <x v="27"/>
    <n v="2.23"/>
    <n v="4.8099999999999997E-2"/>
    <x v="6"/>
    <m/>
    <n v="1"/>
    <x v="5"/>
    <x v="11"/>
    <x v="59"/>
    <x v="1"/>
    <x v="0"/>
    <x v="1"/>
  </r>
  <r>
    <x v="1809"/>
    <n v="41.6"/>
    <x v="3"/>
    <x v="3"/>
    <x v="0"/>
    <n v="2.5"/>
    <n v="0.1615"/>
    <x v="6"/>
    <m/>
    <n v="0"/>
    <x v="5"/>
    <x v="11"/>
    <x v="59"/>
    <x v="1"/>
    <x v="2"/>
    <x v="0"/>
  </r>
  <r>
    <x v="1810"/>
    <n v="41.6"/>
    <x v="3"/>
    <x v="3"/>
    <x v="13"/>
    <n v="2.2000000000000002"/>
    <n v="3.9199999999999999E-2"/>
    <x v="6"/>
    <m/>
    <n v="0"/>
    <x v="5"/>
    <x v="11"/>
    <x v="59"/>
    <x v="0"/>
    <x v="2"/>
    <x v="1"/>
  </r>
  <r>
    <x v="1811"/>
    <n v="41.81"/>
    <x v="1237"/>
    <x v="1143"/>
    <x v="2"/>
    <n v="2.06"/>
    <n v="0.151"/>
    <x v="6"/>
    <m/>
    <n v="1"/>
    <x v="5"/>
    <x v="11"/>
    <x v="59"/>
    <x v="0"/>
    <x v="0"/>
    <x v="0"/>
  </r>
  <r>
    <x v="1812"/>
    <n v="43"/>
    <x v="1238"/>
    <x v="1144"/>
    <x v="43"/>
    <n v="2.64"/>
    <n v="0.18090000000000001"/>
    <x v="6"/>
    <m/>
    <n v="1"/>
    <x v="5"/>
    <x v="11"/>
    <x v="59"/>
    <x v="0"/>
    <x v="0"/>
    <x v="0"/>
  </r>
  <r>
    <x v="1813"/>
    <n v="43.47"/>
    <x v="1239"/>
    <x v="1145"/>
    <x v="1"/>
    <n v="2.4900000000000002"/>
    <n v="0.10680000000000001"/>
    <x v="6"/>
    <m/>
    <n v="1"/>
    <x v="5"/>
    <x v="11"/>
    <x v="59"/>
    <x v="0"/>
    <x v="0"/>
    <x v="0"/>
  </r>
  <r>
    <x v="1814"/>
    <n v="43.37"/>
    <x v="1240"/>
    <x v="1146"/>
    <x v="102"/>
    <n v="1.63"/>
    <n v="-0.1275"/>
    <x v="6"/>
    <m/>
    <n v="1"/>
    <x v="5"/>
    <x v="11"/>
    <x v="59"/>
    <x v="0"/>
    <x v="0"/>
    <x v="2"/>
  </r>
  <r>
    <x v="1815"/>
    <n v="43.99"/>
    <x v="1241"/>
    <x v="1147"/>
    <x v="107"/>
    <n v="2.58"/>
    <n v="0.23269999999999999"/>
    <x v="6"/>
    <m/>
    <n v="1"/>
    <x v="5"/>
    <x v="0"/>
    <x v="60"/>
    <x v="1"/>
    <x v="0"/>
    <x v="0"/>
  </r>
  <r>
    <x v="1816"/>
    <n v="43.99"/>
    <x v="3"/>
    <x v="3"/>
    <x v="18"/>
    <n v="1.96"/>
    <n v="-1.2699999999999999E-2"/>
    <x v="6"/>
    <m/>
    <n v="0"/>
    <x v="5"/>
    <x v="0"/>
    <x v="60"/>
    <x v="1"/>
    <x v="2"/>
    <x v="1"/>
  </r>
  <r>
    <x v="1817"/>
    <n v="43.99"/>
    <x v="3"/>
    <x v="3"/>
    <x v="16"/>
    <n v="2.1800000000000002"/>
    <n v="-3.0499999999999999E-2"/>
    <x v="6"/>
    <m/>
    <n v="0"/>
    <x v="5"/>
    <x v="0"/>
    <x v="60"/>
    <x v="1"/>
    <x v="2"/>
    <x v="1"/>
  </r>
  <r>
    <x v="1818"/>
    <n v="43.99"/>
    <x v="3"/>
    <x v="3"/>
    <x v="0"/>
    <n v="2.82"/>
    <n v="0.18229999999999999"/>
    <x v="6"/>
    <m/>
    <n v="0"/>
    <x v="5"/>
    <x v="0"/>
    <x v="60"/>
    <x v="0"/>
    <x v="2"/>
    <x v="0"/>
  </r>
  <r>
    <x v="1819"/>
    <n v="44.87"/>
    <x v="1242"/>
    <x v="1148"/>
    <x v="27"/>
    <n v="2.13"/>
    <n v="-7.9500000000000001E-2"/>
    <x v="6"/>
    <m/>
    <n v="1"/>
    <x v="5"/>
    <x v="0"/>
    <x v="60"/>
    <x v="0"/>
    <x v="0"/>
    <x v="1"/>
  </r>
  <r>
    <x v="1820"/>
    <n v="44.58"/>
    <x v="1243"/>
    <x v="1149"/>
    <x v="9"/>
    <n v="2.2599999999999998"/>
    <n v="4.8999999999999998E-3"/>
    <x v="6"/>
    <m/>
    <n v="1"/>
    <x v="5"/>
    <x v="0"/>
    <x v="60"/>
    <x v="0"/>
    <x v="1"/>
    <x v="1"/>
  </r>
  <r>
    <x v="1821"/>
    <n v="44.31"/>
    <x v="1244"/>
    <x v="441"/>
    <x v="37"/>
    <n v="2.38"/>
    <n v="0.18479999999999999"/>
    <x v="6"/>
    <m/>
    <n v="1"/>
    <x v="5"/>
    <x v="0"/>
    <x v="60"/>
    <x v="0"/>
    <x v="0"/>
    <x v="0"/>
  </r>
  <r>
    <x v="1822"/>
    <n v="44.28"/>
    <x v="1245"/>
    <x v="601"/>
    <x v="18"/>
    <n v="2.27"/>
    <n v="2.7799999999999998E-2"/>
    <x v="6"/>
    <m/>
    <n v="1"/>
    <x v="5"/>
    <x v="0"/>
    <x v="60"/>
    <x v="1"/>
    <x v="1"/>
    <x v="1"/>
  </r>
  <r>
    <x v="1823"/>
    <n v="44.28"/>
    <x v="3"/>
    <x v="3"/>
    <x v="18"/>
    <n v="2.65"/>
    <n v="5.2200000000000003E-2"/>
    <x v="6"/>
    <m/>
    <n v="0"/>
    <x v="5"/>
    <x v="0"/>
    <x v="60"/>
    <x v="1"/>
    <x v="2"/>
    <x v="1"/>
  </r>
  <r>
    <x v="1824"/>
    <n v="44.28"/>
    <x v="3"/>
    <x v="3"/>
    <x v="2"/>
    <n v="2.38"/>
    <n v="-2.6700000000000002E-2"/>
    <x v="6"/>
    <m/>
    <n v="0"/>
    <x v="5"/>
    <x v="0"/>
    <x v="60"/>
    <x v="0"/>
    <x v="2"/>
    <x v="1"/>
  </r>
  <r>
    <x v="1825"/>
    <n v="44.54"/>
    <x v="1246"/>
    <x v="1150"/>
    <x v="6"/>
    <n v="2.41"/>
    <n v="0.15809999999999999"/>
    <x v="6"/>
    <m/>
    <n v="1"/>
    <x v="5"/>
    <x v="0"/>
    <x v="60"/>
    <x v="0"/>
    <x v="0"/>
    <x v="0"/>
  </r>
  <r>
    <x v="1826"/>
    <n v="43.47"/>
    <x v="689"/>
    <x v="1151"/>
    <x v="15"/>
    <n v="2.33"/>
    <n v="-1.2800000000000001E-2"/>
    <x v="6"/>
    <m/>
    <n v="1"/>
    <x v="5"/>
    <x v="0"/>
    <x v="60"/>
    <x v="0"/>
    <x v="1"/>
    <x v="1"/>
  </r>
  <r>
    <x v="1827"/>
    <n v="41.22"/>
    <x v="1247"/>
    <x v="1152"/>
    <x v="102"/>
    <n v="2.37"/>
    <n v="0.12920000000000001"/>
    <x v="6"/>
    <m/>
    <n v="1"/>
    <x v="5"/>
    <x v="0"/>
    <x v="60"/>
    <x v="0"/>
    <x v="1"/>
    <x v="0"/>
  </r>
  <r>
    <x v="1828"/>
    <n v="40.049999999999997"/>
    <x v="1248"/>
    <x v="1153"/>
    <x v="103"/>
    <n v="1.77"/>
    <n v="-0.12709999999999999"/>
    <x v="6"/>
    <m/>
    <n v="1"/>
    <x v="5"/>
    <x v="0"/>
    <x v="60"/>
    <x v="0"/>
    <x v="1"/>
    <x v="2"/>
  </r>
  <r>
    <x v="1829"/>
    <n v="39.69"/>
    <x v="1249"/>
    <x v="545"/>
    <x v="5"/>
    <n v="2.48"/>
    <n v="0.1434"/>
    <x v="6"/>
    <m/>
    <n v="1"/>
    <x v="5"/>
    <x v="0"/>
    <x v="60"/>
    <x v="1"/>
    <x v="1"/>
    <x v="0"/>
  </r>
  <r>
    <x v="1830"/>
    <n v="39.69"/>
    <x v="3"/>
    <x v="3"/>
    <x v="102"/>
    <n v="2.15"/>
    <n v="5.8200000000000002E-2"/>
    <x v="6"/>
    <m/>
    <n v="0"/>
    <x v="5"/>
    <x v="0"/>
    <x v="60"/>
    <x v="1"/>
    <x v="2"/>
    <x v="1"/>
  </r>
  <r>
    <x v="1831"/>
    <n v="39.69"/>
    <x v="3"/>
    <x v="3"/>
    <x v="1"/>
    <n v="2.19"/>
    <n v="-5.9400000000000001E-2"/>
    <x v="6"/>
    <m/>
    <n v="0"/>
    <x v="5"/>
    <x v="0"/>
    <x v="60"/>
    <x v="0"/>
    <x v="2"/>
    <x v="1"/>
  </r>
  <r>
    <x v="1832"/>
    <n v="39.44"/>
    <x v="1250"/>
    <x v="1154"/>
    <x v="38"/>
    <n v="2.23"/>
    <n v="-2.92E-2"/>
    <x v="6"/>
    <m/>
    <n v="1"/>
    <x v="5"/>
    <x v="0"/>
    <x v="60"/>
    <x v="0"/>
    <x v="1"/>
    <x v="1"/>
  </r>
  <r>
    <x v="1833"/>
    <n v="39.619999999999997"/>
    <x v="1251"/>
    <x v="1155"/>
    <x v="9"/>
    <n v="3.17"/>
    <n v="0.26240000000000002"/>
    <x v="6"/>
    <m/>
    <n v="1"/>
    <x v="5"/>
    <x v="0"/>
    <x v="60"/>
    <x v="0"/>
    <x v="0"/>
    <x v="0"/>
  </r>
  <r>
    <x v="1834"/>
    <n v="38.630000000000003"/>
    <x v="1252"/>
    <x v="1156"/>
    <x v="9"/>
    <n v="2.4300000000000002"/>
    <n v="0.20380000000000001"/>
    <x v="6"/>
    <m/>
    <n v="1"/>
    <x v="5"/>
    <x v="0"/>
    <x v="60"/>
    <x v="0"/>
    <x v="1"/>
    <x v="0"/>
  </r>
  <r>
    <x v="1835"/>
    <n v="38.42"/>
    <x v="1253"/>
    <x v="1157"/>
    <x v="43"/>
    <n v="2.48"/>
    <n v="0.13830000000000001"/>
    <x v="6"/>
    <m/>
    <n v="1"/>
    <x v="5"/>
    <x v="0"/>
    <x v="60"/>
    <x v="0"/>
    <x v="1"/>
    <x v="0"/>
  </r>
  <r>
    <x v="1836"/>
    <n v="37.979999999999997"/>
    <x v="1254"/>
    <x v="1158"/>
    <x v="38"/>
    <n v="1.77"/>
    <n v="-1.32E-2"/>
    <x v="6"/>
    <m/>
    <n v="1"/>
    <x v="5"/>
    <x v="0"/>
    <x v="60"/>
    <x v="1"/>
    <x v="1"/>
    <x v="1"/>
  </r>
  <r>
    <x v="1837"/>
    <n v="37.979999999999997"/>
    <x v="3"/>
    <x v="3"/>
    <x v="27"/>
    <n v="2.57"/>
    <n v="0.12189999999999999"/>
    <x v="6"/>
    <m/>
    <n v="0"/>
    <x v="5"/>
    <x v="0"/>
    <x v="60"/>
    <x v="1"/>
    <x v="2"/>
    <x v="0"/>
  </r>
  <r>
    <x v="1838"/>
    <n v="37.979999999999997"/>
    <x v="3"/>
    <x v="3"/>
    <x v="110"/>
    <n v="2.4"/>
    <n v="-2.5000000000000001E-3"/>
    <x v="6"/>
    <m/>
    <n v="0"/>
    <x v="5"/>
    <x v="0"/>
    <x v="60"/>
    <x v="0"/>
    <x v="2"/>
    <x v="1"/>
  </r>
  <r>
    <x v="1839"/>
    <n v="38.479999999999997"/>
    <x v="1255"/>
    <x v="1159"/>
    <x v="6"/>
    <n v="1.76"/>
    <n v="-0.1086"/>
    <x v="6"/>
    <m/>
    <n v="1"/>
    <x v="5"/>
    <x v="0"/>
    <x v="60"/>
    <x v="0"/>
    <x v="0"/>
    <x v="2"/>
  </r>
  <r>
    <x v="1840"/>
    <n v="37.92"/>
    <x v="1256"/>
    <x v="1160"/>
    <x v="43"/>
    <n v="1.68"/>
    <n v="0.10390000000000001"/>
    <x v="6"/>
    <m/>
    <n v="1"/>
    <x v="5"/>
    <x v="0"/>
    <x v="60"/>
    <x v="0"/>
    <x v="1"/>
    <x v="0"/>
  </r>
  <r>
    <x v="1841"/>
    <n v="37.76"/>
    <x v="1257"/>
    <x v="1161"/>
    <x v="102"/>
    <n v="2.15"/>
    <n v="0.252"/>
    <x v="6"/>
    <m/>
    <n v="1"/>
    <x v="5"/>
    <x v="0"/>
    <x v="60"/>
    <x v="0"/>
    <x v="1"/>
    <x v="0"/>
  </r>
  <r>
    <x v="1842"/>
    <n v="37.64"/>
    <x v="1258"/>
    <x v="1162"/>
    <x v="37"/>
    <n v="2.09"/>
    <n v="8.1699999999999995E-2"/>
    <x v="6"/>
    <m/>
    <n v="1"/>
    <x v="5"/>
    <x v="0"/>
    <x v="60"/>
    <x v="0"/>
    <x v="0"/>
    <x v="1"/>
  </r>
  <r>
    <x v="1843"/>
    <n v="37.76"/>
    <x v="1259"/>
    <x v="1163"/>
    <x v="5"/>
    <n v="1.88"/>
    <n v="5.4199999999999998E-2"/>
    <x v="6"/>
    <m/>
    <n v="1"/>
    <x v="5"/>
    <x v="0"/>
    <x v="60"/>
    <x v="1"/>
    <x v="1"/>
    <x v="1"/>
  </r>
  <r>
    <x v="1844"/>
    <n v="37.76"/>
    <x v="3"/>
    <x v="3"/>
    <x v="6"/>
    <n v="2.14"/>
    <n v="-5.57E-2"/>
    <x v="6"/>
    <m/>
    <n v="0"/>
    <x v="5"/>
    <x v="0"/>
    <x v="60"/>
    <x v="1"/>
    <x v="2"/>
    <x v="1"/>
  </r>
  <r>
    <x v="1845"/>
    <n v="37.76"/>
    <x v="3"/>
    <x v="3"/>
    <x v="15"/>
    <n v="2.29"/>
    <n v="0.1164"/>
    <x v="6"/>
    <m/>
    <n v="0"/>
    <x v="5"/>
    <x v="1"/>
    <x v="61"/>
    <x v="0"/>
    <x v="2"/>
    <x v="0"/>
  </r>
  <r>
    <x v="1846"/>
    <n v="38.03"/>
    <x v="1260"/>
    <x v="1164"/>
    <x v="0"/>
    <n v="2.36"/>
    <n v="1.04E-2"/>
    <x v="6"/>
    <m/>
    <n v="1"/>
    <x v="5"/>
    <x v="1"/>
    <x v="61"/>
    <x v="0"/>
    <x v="0"/>
    <x v="1"/>
  </r>
  <r>
    <x v="1847"/>
    <n v="37.67"/>
    <x v="1261"/>
    <x v="1165"/>
    <x v="102"/>
    <n v="2.48"/>
    <n v="0.15870000000000001"/>
    <x v="6"/>
    <m/>
    <n v="1"/>
    <x v="5"/>
    <x v="1"/>
    <x v="61"/>
    <x v="0"/>
    <x v="1"/>
    <x v="0"/>
  </r>
  <r>
    <x v="1848"/>
    <n v="37.69"/>
    <x v="1262"/>
    <x v="531"/>
    <x v="102"/>
    <n v="2.04"/>
    <n v="0.30399999999999999"/>
    <x v="6"/>
    <m/>
    <n v="1"/>
    <x v="5"/>
    <x v="1"/>
    <x v="61"/>
    <x v="0"/>
    <x v="0"/>
    <x v="0"/>
  </r>
  <r>
    <x v="1849"/>
    <n v="37.26"/>
    <x v="620"/>
    <x v="207"/>
    <x v="15"/>
    <n v="2.54"/>
    <n v="7.0000000000000007E-2"/>
    <x v="6"/>
    <m/>
    <n v="1"/>
    <x v="5"/>
    <x v="1"/>
    <x v="61"/>
    <x v="0"/>
    <x v="1"/>
    <x v="1"/>
  </r>
  <r>
    <x v="1850"/>
    <n v="38.15"/>
    <x v="1263"/>
    <x v="1166"/>
    <x v="105"/>
    <n v="2.29"/>
    <n v="9.2899999999999996E-2"/>
    <x v="6"/>
    <m/>
    <n v="1"/>
    <x v="5"/>
    <x v="1"/>
    <x v="61"/>
    <x v="1"/>
    <x v="0"/>
    <x v="1"/>
  </r>
  <r>
    <x v="1851"/>
    <n v="38.15"/>
    <x v="3"/>
    <x v="3"/>
    <x v="43"/>
    <n v="2.2799999999999998"/>
    <n v="0.22470000000000001"/>
    <x v="6"/>
    <m/>
    <n v="0"/>
    <x v="5"/>
    <x v="1"/>
    <x v="61"/>
    <x v="1"/>
    <x v="2"/>
    <x v="0"/>
  </r>
  <r>
    <x v="1852"/>
    <n v="38.15"/>
    <x v="3"/>
    <x v="3"/>
    <x v="18"/>
    <n v="2.19"/>
    <n v="-7.9100000000000004E-2"/>
    <x v="6"/>
    <m/>
    <n v="0"/>
    <x v="5"/>
    <x v="1"/>
    <x v="61"/>
    <x v="0"/>
    <x v="2"/>
    <x v="1"/>
  </r>
  <r>
    <x v="1853"/>
    <n v="38.6"/>
    <x v="1264"/>
    <x v="1167"/>
    <x v="103"/>
    <n v="2.09"/>
    <n v="0.12590000000000001"/>
    <x v="6"/>
    <m/>
    <n v="1"/>
    <x v="5"/>
    <x v="1"/>
    <x v="61"/>
    <x v="0"/>
    <x v="0"/>
    <x v="0"/>
  </r>
  <r>
    <x v="1854"/>
    <n v="37.33"/>
    <x v="1265"/>
    <x v="1168"/>
    <x v="107"/>
    <n v="1.42"/>
    <n v="-3.61E-2"/>
    <x v="6"/>
    <m/>
    <n v="1"/>
    <x v="5"/>
    <x v="1"/>
    <x v="61"/>
    <x v="0"/>
    <x v="1"/>
    <x v="1"/>
  </r>
  <r>
    <x v="1855"/>
    <n v="36.590000000000003"/>
    <x v="1266"/>
    <x v="1169"/>
    <x v="102"/>
    <n v="2.59"/>
    <n v="0.192"/>
    <x v="6"/>
    <m/>
    <n v="1"/>
    <x v="5"/>
    <x v="1"/>
    <x v="61"/>
    <x v="0"/>
    <x v="1"/>
    <x v="0"/>
  </r>
  <r>
    <x v="1856"/>
    <n v="36.119999999999997"/>
    <x v="1267"/>
    <x v="1170"/>
    <x v="103"/>
    <n v="2.41"/>
    <n v="-4.4400000000000002E-2"/>
    <x v="6"/>
    <m/>
    <n v="1"/>
    <x v="5"/>
    <x v="1"/>
    <x v="61"/>
    <x v="0"/>
    <x v="1"/>
    <x v="1"/>
  </r>
  <r>
    <x v="1857"/>
    <n v="35.57"/>
    <x v="1268"/>
    <x v="1171"/>
    <x v="39"/>
    <n v="1.9"/>
    <n v="6.4000000000000003E-3"/>
    <x v="6"/>
    <m/>
    <n v="1"/>
    <x v="5"/>
    <x v="1"/>
    <x v="61"/>
    <x v="1"/>
    <x v="0"/>
    <x v="1"/>
  </r>
  <r>
    <x v="1858"/>
    <n v="35.57"/>
    <x v="3"/>
    <x v="3"/>
    <x v="111"/>
    <n v="2.0699999999999998"/>
    <n v="0.1042"/>
    <x v="6"/>
    <m/>
    <n v="0"/>
    <x v="5"/>
    <x v="1"/>
    <x v="61"/>
    <x v="1"/>
    <x v="2"/>
    <x v="0"/>
  </r>
  <r>
    <x v="1859"/>
    <n v="35.57"/>
    <x v="3"/>
    <x v="3"/>
    <x v="7"/>
    <n v="2.06"/>
    <n v="-4.1200000000000001E-2"/>
    <x v="6"/>
    <m/>
    <n v="0"/>
    <x v="5"/>
    <x v="1"/>
    <x v="61"/>
    <x v="0"/>
    <x v="2"/>
    <x v="1"/>
  </r>
  <r>
    <x v="1860"/>
    <n v="36.08"/>
    <x v="1269"/>
    <x v="1172"/>
    <x v="15"/>
    <n v="2.25"/>
    <n v="3.8199999999999998E-2"/>
    <x v="6"/>
    <m/>
    <n v="1"/>
    <x v="5"/>
    <x v="1"/>
    <x v="61"/>
    <x v="0"/>
    <x v="0"/>
    <x v="1"/>
  </r>
  <r>
    <x v="1861"/>
    <n v="35.57"/>
    <x v="1270"/>
    <x v="1173"/>
    <x v="15"/>
    <n v="2.21"/>
    <n v="1.4200000000000001E-2"/>
    <x v="6"/>
    <m/>
    <n v="1"/>
    <x v="5"/>
    <x v="1"/>
    <x v="61"/>
    <x v="0"/>
    <x v="1"/>
    <x v="1"/>
  </r>
  <r>
    <x v="1862"/>
    <n v="34.619999999999997"/>
    <x v="1271"/>
    <x v="1174"/>
    <x v="107"/>
    <n v="2.11"/>
    <n v="-7.3499999999999996E-2"/>
    <x v="6"/>
    <m/>
    <n v="1"/>
    <x v="5"/>
    <x v="1"/>
    <x v="61"/>
    <x v="0"/>
    <x v="1"/>
    <x v="1"/>
  </r>
  <r>
    <x v="1863"/>
    <n v="40.18"/>
    <x v="1272"/>
    <x v="1175"/>
    <x v="37"/>
    <n v="1.75"/>
    <n v="-7.7100000000000002E-2"/>
    <x v="6"/>
    <m/>
    <n v="1"/>
    <x v="5"/>
    <x v="1"/>
    <x v="61"/>
    <x v="0"/>
    <x v="1"/>
    <x v="1"/>
  </r>
  <r>
    <x v="1864"/>
    <n v="40.1"/>
    <x v="1273"/>
    <x v="1176"/>
    <x v="39"/>
    <n v="2.81"/>
    <n v="-2.5999999999999999E-3"/>
    <x v="6"/>
    <m/>
    <n v="1"/>
    <x v="5"/>
    <x v="1"/>
    <x v="61"/>
    <x v="1"/>
    <x v="1"/>
    <x v="1"/>
  </r>
  <r>
    <x v="1865"/>
    <n v="40.1"/>
    <x v="3"/>
    <x v="3"/>
    <x v="107"/>
    <n v="2.5299999999999998"/>
    <n v="0.12770000000000001"/>
    <x v="6"/>
    <m/>
    <n v="0"/>
    <x v="5"/>
    <x v="1"/>
    <x v="61"/>
    <x v="1"/>
    <x v="2"/>
    <x v="0"/>
  </r>
  <r>
    <x v="1866"/>
    <n v="40.1"/>
    <x v="3"/>
    <x v="3"/>
    <x v="18"/>
    <n v="1.92"/>
    <n v="4.4900000000000002E-2"/>
    <x v="6"/>
    <m/>
    <n v="0"/>
    <x v="5"/>
    <x v="1"/>
    <x v="61"/>
    <x v="0"/>
    <x v="2"/>
    <x v="1"/>
  </r>
  <r>
    <x v="1867"/>
    <n v="40.68"/>
    <x v="1274"/>
    <x v="1177"/>
    <x v="102"/>
    <n v="2.7"/>
    <n v="0.1113"/>
    <x v="6"/>
    <m/>
    <n v="1"/>
    <x v="5"/>
    <x v="1"/>
    <x v="61"/>
    <x v="0"/>
    <x v="0"/>
    <x v="0"/>
  </r>
  <r>
    <x v="1868"/>
    <n v="41.37"/>
    <x v="1275"/>
    <x v="1178"/>
    <x v="112"/>
    <n v="2.33"/>
    <n v="-5.4600000000000003E-2"/>
    <x v="6"/>
    <m/>
    <n v="1"/>
    <x v="5"/>
    <x v="1"/>
    <x v="61"/>
    <x v="0"/>
    <x v="0"/>
    <x v="1"/>
  </r>
  <r>
    <x v="1869"/>
    <n v="41.12"/>
    <x v="1276"/>
    <x v="1179"/>
    <x v="106"/>
    <n v="2.5"/>
    <n v="0.13519999999999999"/>
    <x v="6"/>
    <m/>
    <n v="1"/>
    <x v="5"/>
    <x v="1"/>
    <x v="61"/>
    <x v="0"/>
    <x v="1"/>
    <x v="0"/>
  </r>
  <r>
    <x v="1870"/>
    <n v="40.35"/>
    <x v="1277"/>
    <x v="1180"/>
    <x v="9"/>
    <n v="2.4300000000000002"/>
    <n v="-5.4999999999999997E-3"/>
    <x v="6"/>
    <m/>
    <n v="1"/>
    <x v="5"/>
    <x v="1"/>
    <x v="61"/>
    <x v="0"/>
    <x v="1"/>
    <x v="1"/>
  </r>
  <r>
    <x v="1871"/>
    <n v="39.79"/>
    <x v="1278"/>
    <x v="1181"/>
    <x v="43"/>
    <n v="2"/>
    <n v="-0.1166"/>
    <x v="6"/>
    <m/>
    <n v="1"/>
    <x v="5"/>
    <x v="1"/>
    <x v="61"/>
    <x v="1"/>
    <x v="1"/>
    <x v="2"/>
  </r>
  <r>
    <x v="1872"/>
    <n v="39.79"/>
    <x v="3"/>
    <x v="3"/>
    <x v="39"/>
    <n v="2.19"/>
    <n v="0.1081"/>
    <x v="6"/>
    <m/>
    <n v="0"/>
    <x v="5"/>
    <x v="1"/>
    <x v="61"/>
    <x v="1"/>
    <x v="2"/>
    <x v="0"/>
  </r>
  <r>
    <x v="1873"/>
    <n v="39.79"/>
    <x v="3"/>
    <x v="3"/>
    <x v="39"/>
    <n v="2.14"/>
    <n v="-4.4000000000000003E-3"/>
    <x v="6"/>
    <m/>
    <n v="0"/>
    <x v="5"/>
    <x v="1"/>
    <x v="61"/>
    <x v="0"/>
    <x v="2"/>
    <x v="1"/>
  </r>
  <r>
    <x v="1874"/>
    <n v="41.01"/>
    <x v="1279"/>
    <x v="1182"/>
    <x v="9"/>
    <n v="2.57"/>
    <n v="0.1192"/>
    <x v="6"/>
    <m/>
    <n v="1"/>
    <x v="5"/>
    <x v="1"/>
    <x v="61"/>
    <x v="0"/>
    <x v="0"/>
    <x v="0"/>
  </r>
  <r>
    <x v="1875"/>
    <n v="41.17"/>
    <x v="1280"/>
    <x v="1183"/>
    <x v="102"/>
    <n v="2.2999999999999998"/>
    <n v="1.8100000000000002E-2"/>
    <x v="6"/>
    <m/>
    <n v="1"/>
    <x v="5"/>
    <x v="1"/>
    <x v="61"/>
    <x v="0"/>
    <x v="0"/>
    <x v="1"/>
  </r>
  <r>
    <x v="1876"/>
    <n v="42.02"/>
    <x v="1281"/>
    <x v="1184"/>
    <x v="104"/>
    <n v="1.56"/>
    <n v="-0.17030000000000001"/>
    <x v="6"/>
    <m/>
    <n v="1"/>
    <x v="5"/>
    <x v="2"/>
    <x v="62"/>
    <x v="0"/>
    <x v="0"/>
    <x v="2"/>
  </r>
  <r>
    <x v="1877"/>
    <n v="42.47"/>
    <x v="1282"/>
    <x v="1185"/>
    <x v="18"/>
    <n v="2"/>
    <n v="0.1368"/>
    <x v="6"/>
    <m/>
    <n v="1"/>
    <x v="5"/>
    <x v="2"/>
    <x v="62"/>
    <x v="0"/>
    <x v="0"/>
    <x v="0"/>
  </r>
  <r>
    <x v="1878"/>
    <n v="43.24"/>
    <x v="1283"/>
    <x v="1186"/>
    <x v="15"/>
    <n v="3.04"/>
    <n v="0.31719999999999998"/>
    <x v="6"/>
    <m/>
    <n v="1"/>
    <x v="5"/>
    <x v="2"/>
    <x v="62"/>
    <x v="1"/>
    <x v="0"/>
    <x v="0"/>
  </r>
  <r>
    <x v="1879"/>
    <n v="43.24"/>
    <x v="3"/>
    <x v="3"/>
    <x v="103"/>
    <n v="2.27"/>
    <n v="8.4199999999999997E-2"/>
    <x v="6"/>
    <m/>
    <n v="0"/>
    <x v="5"/>
    <x v="2"/>
    <x v="62"/>
    <x v="1"/>
    <x v="2"/>
    <x v="1"/>
  </r>
  <r>
    <x v="1880"/>
    <n v="43.24"/>
    <x v="3"/>
    <x v="3"/>
    <x v="112"/>
    <n v="2.93"/>
    <n v="0.113"/>
    <x v="6"/>
    <m/>
    <n v="0"/>
    <x v="5"/>
    <x v="2"/>
    <x v="62"/>
    <x v="0"/>
    <x v="2"/>
    <x v="0"/>
  </r>
  <r>
    <x v="1881"/>
    <n v="43.47"/>
    <x v="1284"/>
    <x v="1187"/>
    <x v="103"/>
    <n v="1.86"/>
    <n v="0.12570000000000001"/>
    <x v="6"/>
    <m/>
    <n v="1"/>
    <x v="5"/>
    <x v="2"/>
    <x v="62"/>
    <x v="0"/>
    <x v="0"/>
    <x v="0"/>
  </r>
  <r>
    <x v="1882"/>
    <n v="43.46"/>
    <x v="1285"/>
    <x v="1188"/>
    <x v="105"/>
    <n v="2.29"/>
    <n v="0.15479999999999999"/>
    <x v="6"/>
    <m/>
    <n v="1"/>
    <x v="5"/>
    <x v="2"/>
    <x v="62"/>
    <x v="0"/>
    <x v="1"/>
    <x v="0"/>
  </r>
  <r>
    <x v="1883"/>
    <n v="43.67"/>
    <x v="1286"/>
    <x v="1189"/>
    <x v="15"/>
    <n v="2.04"/>
    <n v="1.32E-2"/>
    <x v="6"/>
    <m/>
    <n v="1"/>
    <x v="5"/>
    <x v="2"/>
    <x v="62"/>
    <x v="0"/>
    <x v="0"/>
    <x v="1"/>
  </r>
  <r>
    <x v="1884"/>
    <n v="43.51"/>
    <x v="1287"/>
    <x v="271"/>
    <x v="39"/>
    <n v="2.2400000000000002"/>
    <n v="0.36"/>
    <x v="6"/>
    <m/>
    <n v="1"/>
    <x v="5"/>
    <x v="2"/>
    <x v="62"/>
    <x v="0"/>
    <x v="1"/>
    <x v="0"/>
  </r>
  <r>
    <x v="1885"/>
    <n v="44.72"/>
    <x v="1288"/>
    <x v="1190"/>
    <x v="107"/>
    <n v="1.63"/>
    <n v="0.1173"/>
    <x v="6"/>
    <m/>
    <n v="1"/>
    <x v="5"/>
    <x v="2"/>
    <x v="62"/>
    <x v="1"/>
    <x v="0"/>
    <x v="0"/>
  </r>
  <r>
    <x v="1886"/>
    <n v="44.72"/>
    <x v="3"/>
    <x v="3"/>
    <x v="11"/>
    <n v="2.06"/>
    <n v="0.1046"/>
    <x v="6"/>
    <m/>
    <n v="0"/>
    <x v="5"/>
    <x v="2"/>
    <x v="62"/>
    <x v="1"/>
    <x v="2"/>
    <x v="0"/>
  </r>
  <r>
    <x v="1887"/>
    <n v="44.72"/>
    <x v="3"/>
    <x v="3"/>
    <x v="8"/>
    <n v="2"/>
    <n v="6.6000000000000003E-2"/>
    <x v="6"/>
    <m/>
    <n v="0"/>
    <x v="5"/>
    <x v="2"/>
    <x v="62"/>
    <x v="0"/>
    <x v="2"/>
    <x v="1"/>
  </r>
  <r>
    <x v="1888"/>
    <n v="44.46"/>
    <x v="1289"/>
    <x v="1191"/>
    <x v="10"/>
    <n v="2.0499999999999998"/>
    <n v="3.7499999999999999E-2"/>
    <x v="6"/>
    <m/>
    <n v="1"/>
    <x v="5"/>
    <x v="2"/>
    <x v="62"/>
    <x v="0"/>
    <x v="1"/>
    <x v="1"/>
  </r>
  <r>
    <x v="1889"/>
    <n v="44.87"/>
    <x v="1290"/>
    <x v="471"/>
    <x v="38"/>
    <n v="2.19"/>
    <n v="0.1391"/>
    <x v="6"/>
    <m/>
    <n v="1"/>
    <x v="5"/>
    <x v="2"/>
    <x v="62"/>
    <x v="0"/>
    <x v="1"/>
    <x v="0"/>
  </r>
  <r>
    <x v="1890"/>
    <n v="46.19"/>
    <x v="1291"/>
    <x v="1192"/>
    <x v="13"/>
    <n v="2.02"/>
    <n v="0.10630000000000001"/>
    <x v="6"/>
    <m/>
    <n v="1"/>
    <x v="5"/>
    <x v="2"/>
    <x v="62"/>
    <x v="0"/>
    <x v="0"/>
    <x v="0"/>
  </r>
  <r>
    <x v="1891"/>
    <n v="46.69"/>
    <x v="1292"/>
    <x v="1193"/>
    <x v="19"/>
    <n v="1.95"/>
    <n v="0.1173"/>
    <x v="6"/>
    <m/>
    <n v="1"/>
    <x v="5"/>
    <x v="2"/>
    <x v="62"/>
    <x v="0"/>
    <x v="0"/>
    <x v="0"/>
  </r>
  <r>
    <x v="1892"/>
    <n v="46.59"/>
    <x v="1293"/>
    <x v="556"/>
    <x v="16"/>
    <n v="2.5499999999999998"/>
    <n v="0.14779999999999999"/>
    <x v="6"/>
    <m/>
    <n v="1"/>
    <x v="5"/>
    <x v="2"/>
    <x v="62"/>
    <x v="1"/>
    <x v="1"/>
    <x v="0"/>
  </r>
  <r>
    <x v="1893"/>
    <n v="46.59"/>
    <x v="3"/>
    <x v="3"/>
    <x v="45"/>
    <n v="2.2599999999999998"/>
    <n v="5.1499999999999997E-2"/>
    <x v="6"/>
    <m/>
    <n v="0"/>
    <x v="5"/>
    <x v="2"/>
    <x v="62"/>
    <x v="1"/>
    <x v="2"/>
    <x v="1"/>
  </r>
  <r>
    <x v="1894"/>
    <n v="46.59"/>
    <x v="3"/>
    <x v="3"/>
    <x v="21"/>
    <n v="2.08"/>
    <n v="7.8399999999999997E-2"/>
    <x v="6"/>
    <m/>
    <n v="0"/>
    <x v="5"/>
    <x v="2"/>
    <x v="62"/>
    <x v="0"/>
    <x v="2"/>
    <x v="1"/>
  </r>
  <r>
    <x v="1895"/>
    <n v="47.45"/>
    <x v="1294"/>
    <x v="121"/>
    <x v="42"/>
    <n v="2.5"/>
    <n v="0.16170000000000001"/>
    <x v="6"/>
    <m/>
    <n v="1"/>
    <x v="5"/>
    <x v="2"/>
    <x v="62"/>
    <x v="0"/>
    <x v="0"/>
    <x v="0"/>
  </r>
  <r>
    <x v="1896"/>
    <n v="47.49"/>
    <x v="1295"/>
    <x v="1147"/>
    <x v="12"/>
    <n v="2.23"/>
    <n v="3.3399999999999999E-2"/>
    <x v="6"/>
    <m/>
    <n v="1"/>
    <x v="5"/>
    <x v="2"/>
    <x v="62"/>
    <x v="0"/>
    <x v="0"/>
    <x v="1"/>
  </r>
  <r>
    <x v="1897"/>
    <n v="47.8"/>
    <x v="1296"/>
    <x v="1194"/>
    <x v="12"/>
    <n v="2.06"/>
    <n v="9.6500000000000002E-2"/>
    <x v="6"/>
    <m/>
    <n v="1"/>
    <x v="5"/>
    <x v="2"/>
    <x v="62"/>
    <x v="1"/>
    <x v="0"/>
    <x v="1"/>
  </r>
  <r>
    <x v="1898"/>
    <n v="47.8"/>
    <x v="3"/>
    <x v="3"/>
    <x v="42"/>
    <n v="2.2599999999999998"/>
    <n v="5.1999999999999998E-3"/>
    <x v="6"/>
    <m/>
    <n v="0"/>
    <x v="5"/>
    <x v="2"/>
    <x v="62"/>
    <x v="0"/>
    <x v="2"/>
    <x v="1"/>
  </r>
  <r>
    <x v="1899"/>
    <n v="47.96"/>
    <x v="1297"/>
    <x v="1195"/>
    <x v="17"/>
    <n v="2.62"/>
    <n v="8.7800000000000003E-2"/>
    <x v="6"/>
    <m/>
    <n v="1"/>
    <x v="5"/>
    <x v="2"/>
    <x v="62"/>
    <x v="1"/>
    <x v="0"/>
    <x v="1"/>
  </r>
  <r>
    <x v="1900"/>
    <n v="47.96"/>
    <x v="3"/>
    <x v="3"/>
    <x v="14"/>
    <n v="2.2400000000000002"/>
    <n v="3.0000000000000001E-3"/>
    <x v="6"/>
    <m/>
    <n v="0"/>
    <x v="5"/>
    <x v="2"/>
    <x v="62"/>
    <x v="1"/>
    <x v="2"/>
    <x v="1"/>
  </r>
  <r>
    <x v="1901"/>
    <n v="47.96"/>
    <x v="3"/>
    <x v="3"/>
    <x v="48"/>
    <n v="2.46"/>
    <n v="9.6100000000000005E-2"/>
    <x v="6"/>
    <m/>
    <n v="0"/>
    <x v="5"/>
    <x v="2"/>
    <x v="62"/>
    <x v="0"/>
    <x v="2"/>
    <x v="1"/>
  </r>
  <r>
    <x v="1902"/>
    <n v="47.92"/>
    <x v="1298"/>
    <x v="1196"/>
    <x v="4"/>
    <n v="2.37"/>
    <n v="0.11849999999999999"/>
    <x v="6"/>
    <m/>
    <n v="1"/>
    <x v="5"/>
    <x v="2"/>
    <x v="62"/>
    <x v="0"/>
    <x v="0"/>
    <x v="0"/>
  </r>
  <r>
    <x v="1903"/>
    <n v="47.9"/>
    <x v="1299"/>
    <x v="1197"/>
    <x v="13"/>
    <n v="2.33"/>
    <n v="0.10009999999999999"/>
    <x v="6"/>
    <m/>
    <n v="1"/>
    <x v="5"/>
    <x v="2"/>
    <x v="62"/>
    <x v="0"/>
    <x v="0"/>
    <x v="0"/>
  </r>
  <r>
    <x v="1904"/>
    <n v="47.72"/>
    <x v="1300"/>
    <x v="1198"/>
    <x v="3"/>
    <n v="2.0699999999999998"/>
    <n v="1.06E-2"/>
    <x v="6"/>
    <m/>
    <n v="1"/>
    <x v="5"/>
    <x v="2"/>
    <x v="62"/>
    <x v="0"/>
    <x v="1"/>
    <x v="1"/>
  </r>
  <r>
    <x v="1905"/>
    <n v="47.4"/>
    <x v="1301"/>
    <x v="1199"/>
    <x v="44"/>
    <n v="2.2999999999999998"/>
    <n v="0.1731"/>
    <x v="6"/>
    <m/>
    <n v="1"/>
    <x v="5"/>
    <x v="2"/>
    <x v="62"/>
    <x v="0"/>
    <x v="1"/>
    <x v="0"/>
  </r>
  <r>
    <x v="1906"/>
    <n v="46.57"/>
    <x v="1302"/>
    <x v="1200"/>
    <x v="24"/>
    <n v="2.1"/>
    <n v="3.3E-3"/>
    <x v="6"/>
    <m/>
    <n v="1"/>
    <x v="5"/>
    <x v="3"/>
    <x v="63"/>
    <x v="1"/>
    <x v="1"/>
    <x v="1"/>
  </r>
  <r>
    <x v="1907"/>
    <n v="46.57"/>
    <x v="3"/>
    <x v="3"/>
    <x v="11"/>
    <n v="2.37"/>
    <n v="3.6299999999999999E-2"/>
    <x v="6"/>
    <m/>
    <n v="0"/>
    <x v="5"/>
    <x v="3"/>
    <x v="63"/>
    <x v="1"/>
    <x v="2"/>
    <x v="1"/>
  </r>
  <r>
    <x v="1908"/>
    <n v="46.57"/>
    <x v="3"/>
    <x v="3"/>
    <x v="14"/>
    <n v="2.2400000000000002"/>
    <n v="7.5300000000000006E-2"/>
    <x v="6"/>
    <m/>
    <n v="0"/>
    <x v="5"/>
    <x v="3"/>
    <x v="63"/>
    <x v="0"/>
    <x v="2"/>
    <x v="1"/>
  </r>
  <r>
    <x v="1909"/>
    <n v="45.39"/>
    <x v="1303"/>
    <x v="1201"/>
    <x v="50"/>
    <n v="2.36"/>
    <n v="0.12520000000000001"/>
    <x v="6"/>
    <m/>
    <n v="1"/>
    <x v="5"/>
    <x v="3"/>
    <x v="63"/>
    <x v="0"/>
    <x v="1"/>
    <x v="0"/>
  </r>
  <r>
    <x v="1910"/>
    <n v="45.51"/>
    <x v="1304"/>
    <x v="1202"/>
    <x v="48"/>
    <n v="2.42"/>
    <n v="-2.9999999999999997E-4"/>
    <x v="6"/>
    <m/>
    <n v="1"/>
    <x v="5"/>
    <x v="3"/>
    <x v="63"/>
    <x v="0"/>
    <x v="0"/>
    <x v="1"/>
  </r>
  <r>
    <x v="1911"/>
    <n v="44.67"/>
    <x v="563"/>
    <x v="1203"/>
    <x v="50"/>
    <n v="2.09"/>
    <n v="-7.3400000000000007E-2"/>
    <x v="6"/>
    <m/>
    <n v="1"/>
    <x v="5"/>
    <x v="3"/>
    <x v="63"/>
    <x v="0"/>
    <x v="1"/>
    <x v="1"/>
  </r>
  <r>
    <x v="1912"/>
    <n v="45.2"/>
    <x v="1305"/>
    <x v="718"/>
    <x v="42"/>
    <n v="2.56"/>
    <n v="0.1497"/>
    <x v="6"/>
    <m/>
    <n v="1"/>
    <x v="5"/>
    <x v="3"/>
    <x v="63"/>
    <x v="0"/>
    <x v="0"/>
    <x v="0"/>
  </r>
  <r>
    <x v="1913"/>
    <n v="45.38"/>
    <x v="1306"/>
    <x v="1204"/>
    <x v="23"/>
    <n v="2.4"/>
    <n v="1.8700000000000001E-2"/>
    <x v="6"/>
    <m/>
    <n v="1"/>
    <x v="5"/>
    <x v="3"/>
    <x v="63"/>
    <x v="1"/>
    <x v="0"/>
    <x v="1"/>
  </r>
  <r>
    <x v="1914"/>
    <n v="45.38"/>
    <x v="3"/>
    <x v="3"/>
    <x v="48"/>
    <n v="2.5099999999999998"/>
    <n v="0.1045"/>
    <x v="6"/>
    <m/>
    <n v="0"/>
    <x v="5"/>
    <x v="3"/>
    <x v="63"/>
    <x v="1"/>
    <x v="2"/>
    <x v="0"/>
  </r>
  <r>
    <x v="1915"/>
    <n v="45.38"/>
    <x v="3"/>
    <x v="3"/>
    <x v="20"/>
    <n v="2.6"/>
    <n v="0.12609999999999999"/>
    <x v="6"/>
    <m/>
    <n v="0"/>
    <x v="5"/>
    <x v="3"/>
    <x v="63"/>
    <x v="0"/>
    <x v="2"/>
    <x v="0"/>
  </r>
  <r>
    <x v="1916"/>
    <n v="45.99"/>
    <x v="1307"/>
    <x v="331"/>
    <x v="21"/>
    <n v="1.91"/>
    <n v="1.15E-2"/>
    <x v="6"/>
    <m/>
    <n v="1"/>
    <x v="5"/>
    <x v="3"/>
    <x v="63"/>
    <x v="0"/>
    <x v="0"/>
    <x v="1"/>
  </r>
  <r>
    <x v="1917"/>
    <n v="46.3"/>
    <x v="1308"/>
    <x v="1205"/>
    <x v="47"/>
    <n v="1.85"/>
    <n v="3.5499999999999997E-2"/>
    <x v="6"/>
    <m/>
    <n v="1"/>
    <x v="5"/>
    <x v="3"/>
    <x v="63"/>
    <x v="0"/>
    <x v="1"/>
    <x v="1"/>
  </r>
  <r>
    <x v="1918"/>
    <n v="48"/>
    <x v="1309"/>
    <x v="1206"/>
    <x v="47"/>
    <n v="2.0699999999999998"/>
    <n v="-5.0799999999999998E-2"/>
    <x v="6"/>
    <m/>
    <n v="1"/>
    <x v="5"/>
    <x v="3"/>
    <x v="63"/>
    <x v="0"/>
    <x v="0"/>
    <x v="1"/>
  </r>
  <r>
    <x v="1919"/>
    <n v="46.98"/>
    <x v="1310"/>
    <x v="1207"/>
    <x v="45"/>
    <n v="2.0699999999999998"/>
    <n v="0.10929999999999999"/>
    <x v="6"/>
    <m/>
    <n v="1"/>
    <x v="5"/>
    <x v="3"/>
    <x v="63"/>
    <x v="0"/>
    <x v="1"/>
    <x v="0"/>
  </r>
  <r>
    <x v="1920"/>
    <n v="47.21"/>
    <x v="1311"/>
    <x v="1208"/>
    <x v="45"/>
    <n v="2.0699999999999998"/>
    <n v="3.5799999999999998E-2"/>
    <x v="6"/>
    <m/>
    <n v="1"/>
    <x v="5"/>
    <x v="3"/>
    <x v="63"/>
    <x v="1"/>
    <x v="0"/>
    <x v="1"/>
  </r>
  <r>
    <x v="1921"/>
    <n v="47.21"/>
    <x v="3"/>
    <x v="3"/>
    <x v="31"/>
    <n v="2.13"/>
    <n v="-2.1600000000000001E-2"/>
    <x v="6"/>
    <m/>
    <n v="0"/>
    <x v="5"/>
    <x v="3"/>
    <x v="63"/>
    <x v="1"/>
    <x v="2"/>
    <x v="1"/>
  </r>
  <r>
    <x v="1922"/>
    <n v="47.21"/>
    <x v="3"/>
    <x v="3"/>
    <x v="58"/>
    <n v="2.1800000000000002"/>
    <n v="1.5800000000000002E-2"/>
    <x v="6"/>
    <m/>
    <n v="0"/>
    <x v="5"/>
    <x v="3"/>
    <x v="63"/>
    <x v="0"/>
    <x v="2"/>
    <x v="1"/>
  </r>
  <r>
    <x v="1923"/>
    <n v="48.61"/>
    <x v="1312"/>
    <x v="662"/>
    <x v="22"/>
    <n v="2.37"/>
    <n v="0.15340000000000001"/>
    <x v="6"/>
    <m/>
    <n v="1"/>
    <x v="5"/>
    <x v="3"/>
    <x v="63"/>
    <x v="0"/>
    <x v="0"/>
    <x v="0"/>
  </r>
  <r>
    <x v="1924"/>
    <n v="49.5"/>
    <x v="1313"/>
    <x v="1209"/>
    <x v="22"/>
    <n v="2.2000000000000002"/>
    <n v="0.1115"/>
    <x v="6"/>
    <m/>
    <n v="1"/>
    <x v="5"/>
    <x v="3"/>
    <x v="63"/>
    <x v="0"/>
    <x v="0"/>
    <x v="0"/>
  </r>
  <r>
    <x v="1925"/>
    <n v="48.93"/>
    <x v="1314"/>
    <x v="1210"/>
    <x v="48"/>
    <n v="2.42"/>
    <n v="7.3700000000000002E-2"/>
    <x v="6"/>
    <m/>
    <n v="1"/>
    <x v="5"/>
    <x v="3"/>
    <x v="63"/>
    <x v="0"/>
    <x v="1"/>
    <x v="1"/>
  </r>
  <r>
    <x v="1926"/>
    <n v="49.16"/>
    <x v="1315"/>
    <x v="1211"/>
    <x v="25"/>
    <n v="2.54"/>
    <n v="0.152"/>
    <x v="6"/>
    <m/>
    <n v="1"/>
    <x v="5"/>
    <x v="3"/>
    <x v="63"/>
    <x v="0"/>
    <x v="1"/>
    <x v="0"/>
  </r>
  <r>
    <x v="1927"/>
    <n v="48.68"/>
    <x v="1316"/>
    <x v="1212"/>
    <x v="48"/>
    <n v="2.27"/>
    <n v="7.1400000000000005E-2"/>
    <x v="6"/>
    <m/>
    <n v="1"/>
    <x v="5"/>
    <x v="3"/>
    <x v="63"/>
    <x v="1"/>
    <x v="1"/>
    <x v="1"/>
  </r>
  <r>
    <x v="1928"/>
    <n v="48.68"/>
    <x v="3"/>
    <x v="3"/>
    <x v="33"/>
    <n v="2.57"/>
    <n v="0.15479999999999999"/>
    <x v="6"/>
    <m/>
    <n v="0"/>
    <x v="5"/>
    <x v="3"/>
    <x v="63"/>
    <x v="1"/>
    <x v="2"/>
    <x v="0"/>
  </r>
  <r>
    <x v="1929"/>
    <n v="48.68"/>
    <x v="3"/>
    <x v="3"/>
    <x v="93"/>
    <n v="1.94"/>
    <n v="6.8199999999999997E-2"/>
    <x v="6"/>
    <m/>
    <n v="0"/>
    <x v="5"/>
    <x v="3"/>
    <x v="63"/>
    <x v="1"/>
    <x v="2"/>
    <x v="1"/>
  </r>
  <r>
    <x v="1930"/>
    <n v="48.68"/>
    <x v="3"/>
    <x v="3"/>
    <x v="48"/>
    <n v="2.2400000000000002"/>
    <n v="0.15529999999999999"/>
    <x v="6"/>
    <m/>
    <n v="0"/>
    <x v="5"/>
    <x v="3"/>
    <x v="63"/>
    <x v="0"/>
    <x v="2"/>
    <x v="0"/>
  </r>
  <r>
    <x v="1931"/>
    <n v="49.12"/>
    <x v="1317"/>
    <x v="1213"/>
    <x v="22"/>
    <n v="2.31"/>
    <n v="8.1900000000000001E-2"/>
    <x v="6"/>
    <m/>
    <n v="1"/>
    <x v="5"/>
    <x v="3"/>
    <x v="63"/>
    <x v="0"/>
    <x v="0"/>
    <x v="1"/>
  </r>
  <r>
    <x v="1932"/>
    <n v="49.18"/>
    <x v="1318"/>
    <x v="1214"/>
    <x v="8"/>
    <n v="2.58"/>
    <n v="3.6499999999999998E-2"/>
    <x v="6"/>
    <m/>
    <n v="1"/>
    <x v="5"/>
    <x v="3"/>
    <x v="63"/>
    <x v="0"/>
    <x v="0"/>
    <x v="1"/>
  </r>
  <r>
    <x v="1933"/>
    <n v="49.05"/>
    <x v="1319"/>
    <x v="1215"/>
    <x v="25"/>
    <n v="2.08"/>
    <n v="-2.5899999999999999E-2"/>
    <x v="6"/>
    <m/>
    <n v="1"/>
    <x v="5"/>
    <x v="3"/>
    <x v="63"/>
    <x v="0"/>
    <x v="1"/>
    <x v="1"/>
  </r>
  <r>
    <x v="1934"/>
    <n v="48.69"/>
    <x v="1320"/>
    <x v="1216"/>
    <x v="51"/>
    <n v="2.31"/>
    <n v="6.8500000000000005E-2"/>
    <x v="6"/>
    <m/>
    <n v="1"/>
    <x v="5"/>
    <x v="3"/>
    <x v="63"/>
    <x v="1"/>
    <x v="1"/>
    <x v="1"/>
  </r>
  <r>
    <x v="1935"/>
    <n v="48.69"/>
    <x v="3"/>
    <x v="3"/>
    <x v="50"/>
    <n v="2.4500000000000002"/>
    <n v="3.7600000000000001E-2"/>
    <x v="6"/>
    <m/>
    <n v="0"/>
    <x v="5"/>
    <x v="3"/>
    <x v="63"/>
    <x v="1"/>
    <x v="2"/>
    <x v="1"/>
  </r>
  <r>
    <x v="1936"/>
    <n v="48.69"/>
    <x v="3"/>
    <x v="3"/>
    <x v="23"/>
    <n v="2.27"/>
    <n v="-2.0000000000000001E-4"/>
    <x v="6"/>
    <m/>
    <n v="0"/>
    <x v="5"/>
    <x v="3"/>
    <x v="63"/>
    <x v="1"/>
    <x v="2"/>
    <x v="1"/>
  </r>
  <r>
    <x v="1937"/>
    <n v="48.69"/>
    <x v="3"/>
    <x v="3"/>
    <x v="33"/>
    <n v="2.21"/>
    <n v="0.1186"/>
    <x v="6"/>
    <m/>
    <n v="0"/>
    <x v="6"/>
    <x v="4"/>
    <x v="64"/>
    <x v="0"/>
    <x v="2"/>
    <x v="0"/>
  </r>
  <r>
    <x v="1938"/>
    <n v="46.85"/>
    <x v="1321"/>
    <x v="1217"/>
    <x v="57"/>
    <n v="1.99"/>
    <n v="5.1999999999999998E-3"/>
    <x v="6"/>
    <m/>
    <n v="1"/>
    <x v="6"/>
    <x v="4"/>
    <x v="64"/>
    <x v="0"/>
    <x v="1"/>
    <x v="1"/>
  </r>
  <r>
    <x v="1939"/>
    <n v="47.03"/>
    <x v="1322"/>
    <x v="1218"/>
    <x v="34"/>
    <n v="2.38"/>
    <n v="9.9099999999999994E-2"/>
    <x v="6"/>
    <m/>
    <n v="1"/>
    <x v="6"/>
    <x v="4"/>
    <x v="64"/>
    <x v="0"/>
    <x v="0"/>
    <x v="1"/>
  </r>
  <r>
    <x v="1940"/>
    <n v="47.47"/>
    <x v="1323"/>
    <x v="1219"/>
    <x v="35"/>
    <n v="2.1"/>
    <n v="-6.0999999999999999E-2"/>
    <x v="6"/>
    <m/>
    <n v="1"/>
    <x v="6"/>
    <x v="4"/>
    <x v="64"/>
    <x v="0"/>
    <x v="0"/>
    <x v="1"/>
  </r>
  <r>
    <x v="1941"/>
    <n v="47.41"/>
    <x v="1324"/>
    <x v="1220"/>
    <x v="23"/>
    <n v="2.4500000000000002"/>
    <n v="9.6299999999999997E-2"/>
    <x v="6"/>
    <m/>
    <n v="1"/>
    <x v="6"/>
    <x v="4"/>
    <x v="64"/>
    <x v="1"/>
    <x v="1"/>
    <x v="1"/>
  </r>
  <r>
    <x v="1942"/>
    <n v="47.41"/>
    <x v="3"/>
    <x v="3"/>
    <x v="49"/>
    <n v="2.5299999999999998"/>
    <n v="0.1099"/>
    <x v="6"/>
    <m/>
    <n v="0"/>
    <x v="6"/>
    <x v="4"/>
    <x v="64"/>
    <x v="1"/>
    <x v="2"/>
    <x v="0"/>
  </r>
  <r>
    <x v="1943"/>
    <n v="47.41"/>
    <x v="3"/>
    <x v="3"/>
    <x v="58"/>
    <n v="2.2999999999999998"/>
    <n v="0.10829999999999999"/>
    <x v="6"/>
    <m/>
    <n v="0"/>
    <x v="6"/>
    <x v="4"/>
    <x v="64"/>
    <x v="0"/>
    <x v="2"/>
    <x v="0"/>
  </r>
  <r>
    <x v="1944"/>
    <n v="48.5"/>
    <x v="1325"/>
    <x v="1221"/>
    <x v="34"/>
    <n v="1.96"/>
    <n v="7.2999999999999995E-2"/>
    <x v="6"/>
    <m/>
    <n v="1"/>
    <x v="6"/>
    <x v="4"/>
    <x v="64"/>
    <x v="0"/>
    <x v="0"/>
    <x v="1"/>
  </r>
  <r>
    <x v="1945"/>
    <n v="48.21"/>
    <x v="1326"/>
    <x v="1222"/>
    <x v="35"/>
    <n v="2.08"/>
    <n v="-6.6199999999999995E-2"/>
    <x v="6"/>
    <m/>
    <n v="1"/>
    <x v="6"/>
    <x v="4"/>
    <x v="64"/>
    <x v="0"/>
    <x v="0"/>
    <x v="1"/>
  </r>
  <r>
    <x v="1946"/>
    <n v="47.83"/>
    <x v="1327"/>
    <x v="1223"/>
    <x v="40"/>
    <n v="2.21"/>
    <n v="9.8799999999999999E-2"/>
    <x v="6"/>
    <m/>
    <n v="1"/>
    <x v="6"/>
    <x v="4"/>
    <x v="64"/>
    <x v="0"/>
    <x v="1"/>
    <x v="1"/>
  </r>
  <r>
    <x v="1947"/>
    <n v="49.22"/>
    <x v="1328"/>
    <x v="1224"/>
    <x v="24"/>
    <n v="2.0299999999999998"/>
    <n v="4.5499999999999999E-2"/>
    <x v="6"/>
    <m/>
    <n v="1"/>
    <x v="6"/>
    <x v="4"/>
    <x v="64"/>
    <x v="0"/>
    <x v="1"/>
    <x v="1"/>
  </r>
  <r>
    <x v="1948"/>
    <n v="49.22"/>
    <x v="1329"/>
    <x v="1225"/>
    <x v="7"/>
    <n v="2.37"/>
    <n v="-1.9E-2"/>
    <x v="6"/>
    <m/>
    <n v="1"/>
    <x v="6"/>
    <x v="4"/>
    <x v="64"/>
    <x v="1"/>
    <x v="1"/>
    <x v="1"/>
  </r>
  <r>
    <x v="1949"/>
    <n v="49.22"/>
    <x v="3"/>
    <x v="3"/>
    <x v="14"/>
    <n v="2.58"/>
    <n v="0.13270000000000001"/>
    <x v="6"/>
    <m/>
    <n v="0"/>
    <x v="6"/>
    <x v="4"/>
    <x v="64"/>
    <x v="1"/>
    <x v="2"/>
    <x v="0"/>
  </r>
  <r>
    <x v="1950"/>
    <n v="49.22"/>
    <x v="3"/>
    <x v="3"/>
    <x v="44"/>
    <n v="2.2999999999999998"/>
    <n v="0.1145"/>
    <x v="6"/>
    <m/>
    <n v="0"/>
    <x v="6"/>
    <x v="4"/>
    <x v="64"/>
    <x v="1"/>
    <x v="2"/>
    <x v="0"/>
  </r>
  <r>
    <x v="1951"/>
    <n v="49.22"/>
    <x v="3"/>
    <x v="3"/>
    <x v="49"/>
    <n v="2.67"/>
    <n v="0.15290000000000001"/>
    <x v="6"/>
    <m/>
    <n v="0"/>
    <x v="6"/>
    <x v="4"/>
    <x v="64"/>
    <x v="0"/>
    <x v="2"/>
    <x v="0"/>
  </r>
  <r>
    <x v="1952"/>
    <n v="48.12"/>
    <x v="1330"/>
    <x v="999"/>
    <x v="42"/>
    <n v="2.72"/>
    <n v="0.16059999999999999"/>
    <x v="6"/>
    <m/>
    <n v="1"/>
    <x v="6"/>
    <x v="4"/>
    <x v="64"/>
    <x v="0"/>
    <x v="1"/>
    <x v="0"/>
  </r>
  <r>
    <x v="1953"/>
    <n v="48.03"/>
    <x v="1331"/>
    <x v="1226"/>
    <x v="35"/>
    <n v="2.4"/>
    <n v="0.1135"/>
    <x v="6"/>
    <m/>
    <n v="1"/>
    <x v="6"/>
    <x v="4"/>
    <x v="64"/>
    <x v="0"/>
    <x v="1"/>
    <x v="0"/>
  </r>
  <r>
    <x v="1954"/>
    <n v="48.53"/>
    <x v="1332"/>
    <x v="1227"/>
    <x v="42"/>
    <n v="2.35"/>
    <n v="2.3E-2"/>
    <x v="6"/>
    <m/>
    <n v="1"/>
    <x v="6"/>
    <x v="4"/>
    <x v="64"/>
    <x v="0"/>
    <x v="0"/>
    <x v="1"/>
  </r>
  <r>
    <x v="1955"/>
    <n v="48.29"/>
    <x v="1333"/>
    <x v="1228"/>
    <x v="31"/>
    <n v="2.42"/>
    <n v="0.1741"/>
    <x v="6"/>
    <m/>
    <n v="1"/>
    <x v="6"/>
    <x v="4"/>
    <x v="64"/>
    <x v="1"/>
    <x v="1"/>
    <x v="0"/>
  </r>
  <r>
    <x v="1956"/>
    <n v="48.29"/>
    <x v="3"/>
    <x v="3"/>
    <x v="34"/>
    <n v="2.14"/>
    <n v="4.5199999999999997E-2"/>
    <x v="6"/>
    <m/>
    <n v="0"/>
    <x v="6"/>
    <x v="4"/>
    <x v="64"/>
    <x v="1"/>
    <x v="2"/>
    <x v="1"/>
  </r>
  <r>
    <x v="1957"/>
    <n v="48.29"/>
    <x v="3"/>
    <x v="3"/>
    <x v="12"/>
    <n v="2.13"/>
    <n v="-2.3699999999999999E-2"/>
    <x v="6"/>
    <m/>
    <n v="0"/>
    <x v="6"/>
    <x v="4"/>
    <x v="64"/>
    <x v="0"/>
    <x v="2"/>
    <x v="1"/>
  </r>
  <r>
    <x v="1958"/>
    <n v="48.57"/>
    <x v="1334"/>
    <x v="1229"/>
    <x v="10"/>
    <n v="2.2799999999999998"/>
    <n v="2.9700000000000001E-2"/>
    <x v="6"/>
    <m/>
    <n v="1"/>
    <x v="6"/>
    <x v="4"/>
    <x v="64"/>
    <x v="0"/>
    <x v="1"/>
    <x v="1"/>
  </r>
  <r>
    <x v="1959"/>
    <n v="49.22"/>
    <x v="1335"/>
    <x v="1230"/>
    <x v="33"/>
    <n v="2.21"/>
    <n v="4.9000000000000002E-2"/>
    <x v="6"/>
    <m/>
    <n v="1"/>
    <x v="6"/>
    <x v="4"/>
    <x v="64"/>
    <x v="0"/>
    <x v="0"/>
    <x v="1"/>
  </r>
  <r>
    <x v="1960"/>
    <n v="54.49"/>
    <x v="1336"/>
    <x v="1231"/>
    <x v="11"/>
    <n v="1.65"/>
    <n v="-3.7199999999999997E-2"/>
    <x v="6"/>
    <m/>
    <n v="1"/>
    <x v="6"/>
    <x v="4"/>
    <x v="64"/>
    <x v="0"/>
    <x v="0"/>
    <x v="1"/>
  </r>
  <r>
    <x v="1961"/>
    <n v="56.2"/>
    <x v="1337"/>
    <x v="1232"/>
    <x v="13"/>
    <n v="2.2200000000000002"/>
    <n v="-1.47E-2"/>
    <x v="6"/>
    <m/>
    <n v="1"/>
    <x v="6"/>
    <x v="4"/>
    <x v="64"/>
    <x v="0"/>
    <x v="0"/>
    <x v="1"/>
  </r>
  <r>
    <x v="1962"/>
    <n v="57.04"/>
    <x v="1338"/>
    <x v="1233"/>
    <x v="28"/>
    <n v="2.2400000000000002"/>
    <n v="8.6499999999999994E-2"/>
    <x v="6"/>
    <m/>
    <n v="1"/>
    <x v="6"/>
    <x v="4"/>
    <x v="64"/>
    <x v="1"/>
    <x v="0"/>
    <x v="1"/>
  </r>
  <r>
    <x v="1963"/>
    <n v="57.04"/>
    <x v="3"/>
    <x v="3"/>
    <x v="44"/>
    <n v="2.31"/>
    <n v="0.1009"/>
    <x v="6"/>
    <m/>
    <n v="0"/>
    <x v="6"/>
    <x v="4"/>
    <x v="64"/>
    <x v="1"/>
    <x v="2"/>
    <x v="0"/>
  </r>
  <r>
    <x v="1964"/>
    <n v="57.04"/>
    <x v="3"/>
    <x v="3"/>
    <x v="31"/>
    <n v="2.54"/>
    <n v="0.18590000000000001"/>
    <x v="6"/>
    <m/>
    <n v="0"/>
    <x v="6"/>
    <x v="4"/>
    <x v="64"/>
    <x v="0"/>
    <x v="2"/>
    <x v="0"/>
  </r>
  <r>
    <x v="1965"/>
    <n v="57.58"/>
    <x v="1339"/>
    <x v="1234"/>
    <x v="33"/>
    <n v="2.14"/>
    <n v="8.1600000000000006E-2"/>
    <x v="6"/>
    <m/>
    <n v="1"/>
    <x v="6"/>
    <x v="4"/>
    <x v="64"/>
    <x v="0"/>
    <x v="0"/>
    <x v="1"/>
  </r>
  <r>
    <x v="1966"/>
    <n v="56.28"/>
    <x v="1340"/>
    <x v="1235"/>
    <x v="84"/>
    <n v="2.1"/>
    <n v="6.3500000000000001E-2"/>
    <x v="6"/>
    <m/>
    <n v="1"/>
    <x v="6"/>
    <x v="4"/>
    <x v="64"/>
    <x v="0"/>
    <x v="1"/>
    <x v="1"/>
  </r>
  <r>
    <x v="1967"/>
    <n v="56.41"/>
    <x v="1341"/>
    <x v="1236"/>
    <x v="113"/>
    <n v="1.59"/>
    <n v="-0.1095"/>
    <x v="6"/>
    <m/>
    <n v="1"/>
    <x v="6"/>
    <x v="4"/>
    <x v="64"/>
    <x v="0"/>
    <x v="0"/>
    <x v="2"/>
  </r>
  <r>
    <x v="1968"/>
    <n v="56.75"/>
    <x v="1342"/>
    <x v="1237"/>
    <x v="114"/>
    <n v="1.47"/>
    <n v="-5.8799999999999998E-2"/>
    <x v="6"/>
    <m/>
    <n v="1"/>
    <x v="6"/>
    <x v="5"/>
    <x v="65"/>
    <x v="0"/>
    <x v="0"/>
    <x v="1"/>
  </r>
  <r>
    <x v="1969"/>
    <n v="56.46"/>
    <x v="1343"/>
    <x v="655"/>
    <x v="115"/>
    <n v="1.8"/>
    <n v="-0.10199999999999999"/>
    <x v="6"/>
    <m/>
    <n v="1"/>
    <x v="6"/>
    <x v="5"/>
    <x v="65"/>
    <x v="1"/>
    <x v="0"/>
    <x v="2"/>
  </r>
  <r>
    <x v="1970"/>
    <n v="56.46"/>
    <x v="3"/>
    <x v="3"/>
    <x v="116"/>
    <n v="1.8"/>
    <n v="1.46E-2"/>
    <x v="6"/>
    <m/>
    <n v="0"/>
    <x v="6"/>
    <x v="5"/>
    <x v="65"/>
    <x v="1"/>
    <x v="2"/>
    <x v="1"/>
  </r>
  <r>
    <x v="1971"/>
    <n v="56.46"/>
    <x v="3"/>
    <x v="3"/>
    <x v="96"/>
    <n v="1.89"/>
    <n v="-9.1000000000000004E-3"/>
    <x v="6"/>
    <m/>
    <n v="0"/>
    <x v="6"/>
    <x v="5"/>
    <x v="65"/>
    <x v="0"/>
    <x v="2"/>
    <x v="1"/>
  </r>
  <r>
    <x v="1972"/>
    <n v="56.21"/>
    <x v="1344"/>
    <x v="1238"/>
    <x v="69"/>
    <n v="1.85"/>
    <n v="1.21E-2"/>
    <x v="6"/>
    <m/>
    <n v="1"/>
    <x v="6"/>
    <x v="5"/>
    <x v="65"/>
    <x v="0"/>
    <x v="1"/>
    <x v="1"/>
  </r>
  <r>
    <x v="1973"/>
    <n v="55.59"/>
    <x v="1345"/>
    <x v="1239"/>
    <x v="29"/>
    <n v="1.94"/>
    <n v="-6.4999999999999997E-3"/>
    <x v="6"/>
    <m/>
    <n v="1"/>
    <x v="6"/>
    <x v="5"/>
    <x v="65"/>
    <x v="0"/>
    <x v="1"/>
    <x v="1"/>
  </r>
  <r>
    <x v="1974"/>
    <n v="55.93"/>
    <x v="1346"/>
    <x v="1240"/>
    <x v="60"/>
    <n v="1.82"/>
    <n v="2.3699999999999999E-2"/>
    <x v="6"/>
    <m/>
    <n v="1"/>
    <x v="6"/>
    <x v="5"/>
    <x v="65"/>
    <x v="0"/>
    <x v="0"/>
    <x v="1"/>
  </r>
  <r>
    <x v="1975"/>
    <n v="55.85"/>
    <x v="1347"/>
    <x v="1188"/>
    <x v="84"/>
    <n v="1.8"/>
    <n v="-3.2199999999999999E-2"/>
    <x v="6"/>
    <m/>
    <n v="1"/>
    <x v="6"/>
    <x v="5"/>
    <x v="65"/>
    <x v="0"/>
    <x v="1"/>
    <x v="1"/>
  </r>
  <r>
    <x v="1976"/>
    <n v="56.13"/>
    <x v="1348"/>
    <x v="1241"/>
    <x v="46"/>
    <n v="1.67"/>
    <n v="1.61E-2"/>
    <x v="6"/>
    <m/>
    <n v="1"/>
    <x v="6"/>
    <x v="5"/>
    <x v="65"/>
    <x v="1"/>
    <x v="1"/>
    <x v="1"/>
  </r>
  <r>
    <x v="1977"/>
    <n v="56.13"/>
    <x v="3"/>
    <x v="3"/>
    <x v="98"/>
    <n v="1.78"/>
    <n v="-8.8900000000000007E-2"/>
    <x v="6"/>
    <m/>
    <n v="0"/>
    <x v="6"/>
    <x v="5"/>
    <x v="65"/>
    <x v="1"/>
    <x v="2"/>
    <x v="1"/>
  </r>
  <r>
    <x v="1978"/>
    <n v="56.13"/>
    <x v="3"/>
    <x v="3"/>
    <x v="62"/>
    <n v="2.11"/>
    <n v="2.0899999999999998E-2"/>
    <x v="6"/>
    <m/>
    <n v="0"/>
    <x v="6"/>
    <x v="5"/>
    <x v="65"/>
    <x v="0"/>
    <x v="2"/>
    <x v="1"/>
  </r>
  <r>
    <x v="1979"/>
    <n v="55.78"/>
    <x v="1349"/>
    <x v="573"/>
    <x v="52"/>
    <n v="2.15"/>
    <n v="0.11269999999999999"/>
    <x v="6"/>
    <m/>
    <n v="1"/>
    <x v="6"/>
    <x v="5"/>
    <x v="65"/>
    <x v="0"/>
    <x v="1"/>
    <x v="0"/>
  </r>
  <r>
    <x v="1980"/>
    <n v="55.45"/>
    <x v="1350"/>
    <x v="993"/>
    <x v="29"/>
    <n v="1.94"/>
    <n v="8.0000000000000002E-3"/>
    <x v="6"/>
    <m/>
    <n v="1"/>
    <x v="6"/>
    <x v="5"/>
    <x v="65"/>
    <x v="0"/>
    <x v="0"/>
    <x v="1"/>
  </r>
  <r>
    <x v="1981"/>
    <n v="57.93"/>
    <x v="1351"/>
    <x v="361"/>
    <x v="73"/>
    <n v="2.0099999999999998"/>
    <n v="3.9199999999999999E-2"/>
    <x v="6"/>
    <m/>
    <n v="1"/>
    <x v="6"/>
    <x v="5"/>
    <x v="65"/>
    <x v="0"/>
    <x v="0"/>
    <x v="1"/>
  </r>
  <r>
    <x v="1982"/>
    <n v="59.35"/>
    <x v="1352"/>
    <x v="1242"/>
    <x v="92"/>
    <n v="2.27"/>
    <n v="5.7299999999999997E-2"/>
    <x v="6"/>
    <m/>
    <n v="1"/>
    <x v="6"/>
    <x v="5"/>
    <x v="65"/>
    <x v="0"/>
    <x v="0"/>
    <x v="1"/>
  </r>
  <r>
    <x v="1983"/>
    <n v="58.4"/>
    <x v="1353"/>
    <x v="1243"/>
    <x v="68"/>
    <n v="1.88"/>
    <n v="-8.6800000000000002E-2"/>
    <x v="6"/>
    <m/>
    <n v="1"/>
    <x v="6"/>
    <x v="5"/>
    <x v="65"/>
    <x v="1"/>
    <x v="1"/>
    <x v="1"/>
  </r>
  <r>
    <x v="1984"/>
    <n v="58.4"/>
    <x v="3"/>
    <x v="3"/>
    <x v="77"/>
    <n v="2.16"/>
    <n v="1.21E-2"/>
    <x v="6"/>
    <m/>
    <n v="0"/>
    <x v="6"/>
    <x v="5"/>
    <x v="65"/>
    <x v="1"/>
    <x v="2"/>
    <x v="1"/>
  </r>
  <r>
    <x v="1985"/>
    <n v="58.4"/>
    <x v="3"/>
    <x v="3"/>
    <x v="117"/>
    <n v="2.04"/>
    <n v="5.8599999999999999E-2"/>
    <x v="6"/>
    <m/>
    <n v="0"/>
    <x v="6"/>
    <x v="5"/>
    <x v="65"/>
    <x v="1"/>
    <x v="2"/>
    <x v="1"/>
  </r>
  <r>
    <x v="1986"/>
    <n v="58.4"/>
    <x v="3"/>
    <x v="3"/>
    <x v="69"/>
    <n v="2.39"/>
    <n v="0.1137"/>
    <x v="6"/>
    <m/>
    <n v="0"/>
    <x v="6"/>
    <x v="5"/>
    <x v="65"/>
    <x v="0"/>
    <x v="2"/>
    <x v="0"/>
  </r>
  <r>
    <x v="1987"/>
    <n v="57.51"/>
    <x v="1354"/>
    <x v="1244"/>
    <x v="82"/>
    <n v="2.2200000000000002"/>
    <n v="6.1899999999999997E-2"/>
    <x v="6"/>
    <m/>
    <n v="1"/>
    <x v="6"/>
    <x v="5"/>
    <x v="65"/>
    <x v="0"/>
    <x v="1"/>
    <x v="1"/>
  </r>
  <r>
    <x v="1988"/>
    <n v="57.33"/>
    <x v="1355"/>
    <x v="777"/>
    <x v="65"/>
    <n v="2.25"/>
    <n v="3.2399999999999998E-2"/>
    <x v="6"/>
    <m/>
    <n v="1"/>
    <x v="6"/>
    <x v="5"/>
    <x v="65"/>
    <x v="0"/>
    <x v="1"/>
    <x v="1"/>
  </r>
  <r>
    <x v="1989"/>
    <n v="58.85"/>
    <x v="1356"/>
    <x v="538"/>
    <x v="58"/>
    <n v="1.91"/>
    <n v="8.8700000000000001E-2"/>
    <x v="6"/>
    <m/>
    <n v="1"/>
    <x v="6"/>
    <x v="5"/>
    <x v="65"/>
    <x v="0"/>
    <x v="0"/>
    <x v="1"/>
  </r>
  <r>
    <x v="1990"/>
    <n v="58.36"/>
    <x v="1357"/>
    <x v="1245"/>
    <x v="79"/>
    <n v="2.1800000000000002"/>
    <n v="0.1176"/>
    <x v="6"/>
    <m/>
    <n v="1"/>
    <x v="6"/>
    <x v="5"/>
    <x v="65"/>
    <x v="1"/>
    <x v="1"/>
    <x v="0"/>
  </r>
  <r>
    <x v="1991"/>
    <n v="58.36"/>
    <x v="3"/>
    <x v="3"/>
    <x v="69"/>
    <n v="2.35"/>
    <n v="7.6200000000000004E-2"/>
    <x v="6"/>
    <m/>
    <n v="0"/>
    <x v="6"/>
    <x v="5"/>
    <x v="65"/>
    <x v="1"/>
    <x v="2"/>
    <x v="1"/>
  </r>
  <r>
    <x v="1992"/>
    <n v="58.36"/>
    <x v="3"/>
    <x v="3"/>
    <x v="81"/>
    <n v="2.02"/>
    <n v="-3.0300000000000001E-2"/>
    <x v="6"/>
    <m/>
    <n v="0"/>
    <x v="6"/>
    <x v="5"/>
    <x v="65"/>
    <x v="0"/>
    <x v="2"/>
    <x v="1"/>
  </r>
  <r>
    <x v="1993"/>
    <n v="58.76"/>
    <x v="1358"/>
    <x v="1246"/>
    <x v="76"/>
    <n v="2.02"/>
    <n v="1.83E-2"/>
    <x v="6"/>
    <m/>
    <n v="1"/>
    <x v="6"/>
    <x v="5"/>
    <x v="65"/>
    <x v="0"/>
    <x v="0"/>
    <x v="1"/>
  </r>
  <r>
    <x v="1994"/>
    <n v="60.17"/>
    <x v="1359"/>
    <x v="1247"/>
    <x v="97"/>
    <n v="2"/>
    <n v="-2.8500000000000001E-2"/>
    <x v="6"/>
    <m/>
    <n v="1"/>
    <x v="6"/>
    <x v="5"/>
    <x v="65"/>
    <x v="0"/>
    <x v="0"/>
    <x v="1"/>
  </r>
  <r>
    <x v="1995"/>
    <n v="59.65"/>
    <x v="1360"/>
    <x v="1248"/>
    <x v="85"/>
    <n v="2.15"/>
    <n v="2.81E-2"/>
    <x v="6"/>
    <m/>
    <n v="1"/>
    <x v="6"/>
    <x v="5"/>
    <x v="65"/>
    <x v="0"/>
    <x v="0"/>
    <x v="1"/>
  </r>
  <r>
    <x v="1996"/>
    <n v="60.29"/>
    <x v="1361"/>
    <x v="517"/>
    <x v="74"/>
    <n v="1.99"/>
    <n v="-1.67E-2"/>
    <x v="6"/>
    <m/>
    <n v="1"/>
    <x v="6"/>
    <x v="5"/>
    <x v="65"/>
    <x v="0"/>
    <x v="1"/>
    <x v="1"/>
  </r>
  <r>
    <x v="1997"/>
    <n v="61.93"/>
    <x v="1362"/>
    <x v="1249"/>
    <x v="88"/>
    <n v="2.2200000000000002"/>
    <n v="8.48E-2"/>
    <x v="6"/>
    <m/>
    <n v="1"/>
    <x v="6"/>
    <x v="6"/>
    <x v="66"/>
    <x v="1"/>
    <x v="0"/>
    <x v="1"/>
  </r>
  <r>
    <x v="1998"/>
    <n v="61.93"/>
    <x v="3"/>
    <x v="3"/>
    <x v="67"/>
    <n v="2.2200000000000002"/>
    <n v="1.18E-2"/>
    <x v="6"/>
    <m/>
    <n v="0"/>
    <x v="6"/>
    <x v="6"/>
    <x v="66"/>
    <x v="1"/>
    <x v="2"/>
    <x v="1"/>
  </r>
  <r>
    <x v="1999"/>
    <n v="61.93"/>
    <x v="3"/>
    <x v="3"/>
    <x v="118"/>
    <n v="2.23"/>
    <n v="0.1105"/>
    <x v="6"/>
    <m/>
    <n v="0"/>
    <x v="6"/>
    <x v="6"/>
    <x v="66"/>
    <x v="0"/>
    <x v="2"/>
    <x v="0"/>
  </r>
  <r>
    <x v="2000"/>
    <n v="61.58"/>
    <x v="1363"/>
    <x v="269"/>
    <x v="82"/>
    <n v="2.15"/>
    <n v="3.2000000000000002E-3"/>
    <x v="6"/>
    <m/>
    <n v="1"/>
    <x v="6"/>
    <x v="6"/>
    <x v="66"/>
    <x v="0"/>
    <x v="1"/>
    <x v="1"/>
  </r>
  <r>
    <x v="2001"/>
    <n v="59.85"/>
    <x v="1364"/>
    <x v="1250"/>
    <x v="98"/>
    <n v="2.64"/>
    <n v="0.1215"/>
    <x v="6"/>
    <m/>
    <n v="1"/>
    <x v="6"/>
    <x v="6"/>
    <x v="66"/>
    <x v="0"/>
    <x v="1"/>
    <x v="0"/>
  </r>
  <r>
    <x v="2002"/>
    <n v="59.77"/>
    <x v="1365"/>
    <x v="1251"/>
    <x v="92"/>
    <n v="2.21"/>
    <n v="-2.8199999999999999E-2"/>
    <x v="6"/>
    <m/>
    <n v="1"/>
    <x v="6"/>
    <x v="6"/>
    <x v="66"/>
    <x v="0"/>
    <x v="1"/>
    <x v="1"/>
  </r>
  <r>
    <x v="2003"/>
    <n v="60.85"/>
    <x v="1366"/>
    <x v="1252"/>
    <x v="68"/>
    <n v="2.29"/>
    <n v="6.3799999999999996E-2"/>
    <x v="6"/>
    <m/>
    <n v="1"/>
    <x v="6"/>
    <x v="6"/>
    <x v="66"/>
    <x v="0"/>
    <x v="0"/>
    <x v="1"/>
  </r>
  <r>
    <x v="2004"/>
    <n v="60.48"/>
    <x v="708"/>
    <x v="1253"/>
    <x v="56"/>
    <n v="2.09"/>
    <n v="5.3999999999999999E-2"/>
    <x v="6"/>
    <m/>
    <n v="1"/>
    <x v="6"/>
    <x v="6"/>
    <x v="66"/>
    <x v="1"/>
    <x v="1"/>
    <x v="1"/>
  </r>
  <r>
    <x v="2005"/>
    <n v="60.48"/>
    <x v="3"/>
    <x v="3"/>
    <x v="46"/>
    <n v="2.2000000000000002"/>
    <n v="3.1300000000000001E-2"/>
    <x v="6"/>
    <m/>
    <n v="0"/>
    <x v="6"/>
    <x v="6"/>
    <x v="66"/>
    <x v="1"/>
    <x v="2"/>
    <x v="1"/>
  </r>
  <r>
    <x v="2006"/>
    <n v="60.48"/>
    <x v="3"/>
    <x v="3"/>
    <x v="64"/>
    <n v="2.12"/>
    <n v="6.0000000000000001E-3"/>
    <x v="6"/>
    <m/>
    <n v="0"/>
    <x v="6"/>
    <x v="6"/>
    <x v="66"/>
    <x v="0"/>
    <x v="2"/>
    <x v="1"/>
  </r>
  <r>
    <x v="2007"/>
    <n v="60.09"/>
    <x v="1367"/>
    <x v="1254"/>
    <x v="57"/>
    <n v="2.14"/>
    <n v="-1.47E-2"/>
    <x v="6"/>
    <m/>
    <n v="1"/>
    <x v="6"/>
    <x v="6"/>
    <x v="66"/>
    <x v="0"/>
    <x v="1"/>
    <x v="1"/>
  </r>
  <r>
    <x v="2008"/>
    <n v="61.11"/>
    <x v="1368"/>
    <x v="1255"/>
    <x v="31"/>
    <n v="2.06"/>
    <n v="0.1023"/>
    <x v="6"/>
    <m/>
    <n v="1"/>
    <x v="6"/>
    <x v="6"/>
    <x v="66"/>
    <x v="0"/>
    <x v="0"/>
    <x v="0"/>
  </r>
  <r>
    <x v="2009"/>
    <n v="60.94"/>
    <x v="1369"/>
    <x v="1256"/>
    <x v="60"/>
    <n v="1.8"/>
    <n v="-7.4899999999999994E-2"/>
    <x v="6"/>
    <m/>
    <n v="1"/>
    <x v="6"/>
    <x v="6"/>
    <x v="66"/>
    <x v="0"/>
    <x v="1"/>
    <x v="1"/>
  </r>
  <r>
    <x v="2010"/>
    <n v="61.3"/>
    <x v="1370"/>
    <x v="48"/>
    <x v="60"/>
    <n v="2.37"/>
    <n v="9.4200000000000006E-2"/>
    <x v="6"/>
    <m/>
    <n v="1"/>
    <x v="6"/>
    <x v="6"/>
    <x v="66"/>
    <x v="0"/>
    <x v="1"/>
    <x v="1"/>
  </r>
  <r>
    <x v="2011"/>
    <n v="60.59"/>
    <x v="1371"/>
    <x v="1257"/>
    <x v="119"/>
    <n v="1.97"/>
    <n v="6.6E-3"/>
    <x v="6"/>
    <m/>
    <n v="1"/>
    <x v="6"/>
    <x v="6"/>
    <x v="66"/>
    <x v="1"/>
    <x v="1"/>
    <x v="1"/>
  </r>
  <r>
    <x v="2012"/>
    <n v="60.59"/>
    <x v="3"/>
    <x v="3"/>
    <x v="120"/>
    <n v="1.46"/>
    <n v="-9.2499999999999999E-2"/>
    <x v="6"/>
    <m/>
    <n v="0"/>
    <x v="6"/>
    <x v="6"/>
    <x v="66"/>
    <x v="1"/>
    <x v="2"/>
    <x v="1"/>
  </r>
  <r>
    <x v="2013"/>
    <n v="60.59"/>
    <x v="3"/>
    <x v="3"/>
    <x v="121"/>
    <n v="1.66"/>
    <n v="-8.0199999999999994E-2"/>
    <x v="6"/>
    <m/>
    <n v="0"/>
    <x v="6"/>
    <x v="6"/>
    <x v="66"/>
    <x v="0"/>
    <x v="2"/>
    <x v="1"/>
  </r>
  <r>
    <x v="2014"/>
    <n v="61.84"/>
    <x v="1372"/>
    <x v="1258"/>
    <x v="116"/>
    <n v="1.92"/>
    <n v="-2.3599999999999999E-2"/>
    <x v="6"/>
    <m/>
    <n v="1"/>
    <x v="6"/>
    <x v="6"/>
    <x v="66"/>
    <x v="0"/>
    <x v="0"/>
    <x v="1"/>
  </r>
  <r>
    <x v="2015"/>
    <n v="62.07"/>
    <x v="1373"/>
    <x v="1259"/>
    <x v="46"/>
    <n v="2.21"/>
    <n v="5.3999999999999999E-2"/>
    <x v="6"/>
    <m/>
    <n v="1"/>
    <x v="6"/>
    <x v="6"/>
    <x v="66"/>
    <x v="0"/>
    <x v="0"/>
    <x v="1"/>
  </r>
  <r>
    <x v="2016"/>
    <n v="62.77"/>
    <x v="1374"/>
    <x v="1260"/>
    <x v="30"/>
    <n v="1.77"/>
    <n v="-6.2700000000000006E-2"/>
    <x v="6"/>
    <m/>
    <n v="1"/>
    <x v="6"/>
    <x v="6"/>
    <x v="66"/>
    <x v="0"/>
    <x v="0"/>
    <x v="1"/>
  </r>
  <r>
    <x v="2017"/>
    <n v="62.27"/>
    <x v="1375"/>
    <x v="1261"/>
    <x v="60"/>
    <n v="2.1"/>
    <n v="4.1399999999999999E-2"/>
    <x v="6"/>
    <m/>
    <n v="1"/>
    <x v="6"/>
    <x v="6"/>
    <x v="66"/>
    <x v="0"/>
    <x v="1"/>
    <x v="1"/>
  </r>
  <r>
    <x v="2018"/>
    <n v="62.8"/>
    <x v="1376"/>
    <x v="1262"/>
    <x v="60"/>
    <n v="1.87"/>
    <n v="-2.7400000000000001E-2"/>
    <x v="6"/>
    <m/>
    <n v="1"/>
    <x v="6"/>
    <x v="6"/>
    <x v="66"/>
    <x v="1"/>
    <x v="0"/>
    <x v="1"/>
  </r>
  <r>
    <x v="2019"/>
    <n v="62.8"/>
    <x v="3"/>
    <x v="3"/>
    <x v="89"/>
    <n v="2.08"/>
    <n v="5.8000000000000003E-2"/>
    <x v="6"/>
    <m/>
    <n v="0"/>
    <x v="6"/>
    <x v="6"/>
    <x v="66"/>
    <x v="1"/>
    <x v="2"/>
    <x v="1"/>
  </r>
  <r>
    <x v="2020"/>
    <n v="62.8"/>
    <x v="3"/>
    <x v="3"/>
    <x v="122"/>
    <n v="2.15"/>
    <n v="-5.7000000000000002E-3"/>
    <x v="6"/>
    <m/>
    <n v="0"/>
    <x v="6"/>
    <x v="6"/>
    <x v="66"/>
    <x v="0"/>
    <x v="2"/>
    <x v="1"/>
  </r>
  <r>
    <x v="2021"/>
    <n v="62.75"/>
    <x v="1377"/>
    <x v="1263"/>
    <x v="71"/>
    <n v="2.27"/>
    <n v="0.1095"/>
    <x v="6"/>
    <m/>
    <n v="1"/>
    <x v="6"/>
    <x v="6"/>
    <x v="66"/>
    <x v="0"/>
    <x v="1"/>
    <x v="0"/>
  </r>
  <r>
    <x v="2022"/>
    <n v="62.92"/>
    <x v="1378"/>
    <x v="1264"/>
    <x v="97"/>
    <n v="2.1"/>
    <n v="-2.3599999999999999E-2"/>
    <x v="6"/>
    <m/>
    <n v="1"/>
    <x v="6"/>
    <x v="6"/>
    <x v="66"/>
    <x v="0"/>
    <x v="0"/>
    <x v="1"/>
  </r>
  <r>
    <x v="2023"/>
    <n v="61.35"/>
    <x v="1379"/>
    <x v="1265"/>
    <x v="95"/>
    <n v="2.06"/>
    <n v="-6.7799999999999999E-2"/>
    <x v="6"/>
    <m/>
    <n v="1"/>
    <x v="6"/>
    <x v="6"/>
    <x v="66"/>
    <x v="0"/>
    <x v="1"/>
    <x v="1"/>
  </r>
  <r>
    <x v="2024"/>
    <n v="60.73"/>
    <x v="1380"/>
    <x v="1266"/>
    <x v="92"/>
    <n v="1.93"/>
    <n v="-5.0000000000000001E-3"/>
    <x v="6"/>
    <m/>
    <n v="1"/>
    <x v="6"/>
    <x v="6"/>
    <x v="66"/>
    <x v="1"/>
    <x v="1"/>
    <x v="1"/>
  </r>
  <r>
    <x v="2025"/>
    <n v="60.73"/>
    <x v="3"/>
    <x v="3"/>
    <x v="56"/>
    <n v="2.15"/>
    <n v="9.5399999999999999E-2"/>
    <x v="6"/>
    <m/>
    <n v="0"/>
    <x v="6"/>
    <x v="6"/>
    <x v="66"/>
    <x v="1"/>
    <x v="2"/>
    <x v="1"/>
  </r>
  <r>
    <x v="2026"/>
    <n v="60.73"/>
    <x v="3"/>
    <x v="3"/>
    <x v="79"/>
    <n v="1.95"/>
    <n v="-2.3900000000000001E-2"/>
    <x v="6"/>
    <m/>
    <n v="0"/>
    <x v="6"/>
    <x v="6"/>
    <x v="66"/>
    <x v="1"/>
    <x v="2"/>
    <x v="1"/>
  </r>
  <r>
    <x v="2027"/>
    <n v="60.73"/>
    <x v="3"/>
    <x v="3"/>
    <x v="68"/>
    <n v="2.0499999999999998"/>
    <n v="5.4600000000000003E-2"/>
    <x v="6"/>
    <m/>
    <n v="0"/>
    <x v="6"/>
    <x v="6"/>
    <x v="66"/>
    <x v="0"/>
    <x v="2"/>
    <x v="1"/>
  </r>
  <r>
    <x v="2028"/>
    <n v="61.43"/>
    <x v="1381"/>
    <x v="804"/>
    <x v="59"/>
    <n v="2.25"/>
    <n v="3.0000000000000001E-3"/>
    <x v="6"/>
    <m/>
    <n v="1"/>
    <x v="6"/>
    <x v="7"/>
    <x v="67"/>
    <x v="0"/>
    <x v="0"/>
    <x v="1"/>
  </r>
  <r>
    <x v="2029"/>
    <n v="61.42"/>
    <x v="1382"/>
    <x v="1267"/>
    <x v="76"/>
    <n v="1.82"/>
    <n v="3.15E-2"/>
    <x v="6"/>
    <m/>
    <n v="1"/>
    <x v="6"/>
    <x v="7"/>
    <x v="67"/>
    <x v="0"/>
    <x v="0"/>
    <x v="1"/>
  </r>
  <r>
    <x v="2030"/>
    <n v="63.01"/>
    <x v="1383"/>
    <x v="1268"/>
    <x v="24"/>
    <n v="2.25"/>
    <n v="4.9299999999999997E-2"/>
    <x v="6"/>
    <m/>
    <n v="1"/>
    <x v="6"/>
    <x v="7"/>
    <x v="67"/>
    <x v="0"/>
    <x v="0"/>
    <x v="1"/>
  </r>
  <r>
    <x v="2031"/>
    <n v="61.71"/>
    <x v="1384"/>
    <x v="1269"/>
    <x v="24"/>
    <n v="2.25"/>
    <n v="-7.4200000000000002E-2"/>
    <x v="6"/>
    <m/>
    <n v="1"/>
    <x v="6"/>
    <x v="7"/>
    <x v="67"/>
    <x v="0"/>
    <x v="1"/>
    <x v="1"/>
  </r>
  <r>
    <x v="2032"/>
    <n v="63.62"/>
    <x v="1385"/>
    <x v="1270"/>
    <x v="57"/>
    <n v="2.2799999999999998"/>
    <n v="0.14369999999999999"/>
    <x v="6"/>
    <m/>
    <n v="1"/>
    <x v="6"/>
    <x v="7"/>
    <x v="67"/>
    <x v="1"/>
    <x v="0"/>
    <x v="0"/>
  </r>
  <r>
    <x v="2033"/>
    <n v="63.62"/>
    <x v="3"/>
    <x v="3"/>
    <x v="65"/>
    <n v="2.4"/>
    <n v="0.13170000000000001"/>
    <x v="6"/>
    <m/>
    <n v="0"/>
    <x v="6"/>
    <x v="7"/>
    <x v="67"/>
    <x v="1"/>
    <x v="2"/>
    <x v="0"/>
  </r>
  <r>
    <x v="2034"/>
    <n v="63.62"/>
    <x v="3"/>
    <x v="3"/>
    <x v="70"/>
    <n v="2.17"/>
    <n v="4.0899999999999999E-2"/>
    <x v="6"/>
    <m/>
    <n v="0"/>
    <x v="6"/>
    <x v="7"/>
    <x v="67"/>
    <x v="0"/>
    <x v="2"/>
    <x v="1"/>
  </r>
  <r>
    <x v="2035"/>
    <n v="62.84"/>
    <x v="1386"/>
    <x v="1271"/>
    <x v="49"/>
    <n v="2.19"/>
    <n v="5.3100000000000001E-2"/>
    <x v="6"/>
    <m/>
    <n v="1"/>
    <x v="6"/>
    <x v="7"/>
    <x v="67"/>
    <x v="0"/>
    <x v="1"/>
    <x v="1"/>
  </r>
  <r>
    <x v="2036"/>
    <n v="61.82"/>
    <x v="1387"/>
    <x v="1272"/>
    <x v="68"/>
    <n v="2.19"/>
    <n v="6.2600000000000003E-2"/>
    <x v="6"/>
    <m/>
    <n v="1"/>
    <x v="6"/>
    <x v="7"/>
    <x v="67"/>
    <x v="0"/>
    <x v="1"/>
    <x v="1"/>
  </r>
  <r>
    <x v="2037"/>
    <n v="61.86"/>
    <x v="1388"/>
    <x v="1273"/>
    <x v="55"/>
    <n v="2.38"/>
    <n v="7.8799999999999995E-2"/>
    <x v="6"/>
    <m/>
    <n v="1"/>
    <x v="6"/>
    <x v="7"/>
    <x v="67"/>
    <x v="0"/>
    <x v="0"/>
    <x v="1"/>
  </r>
  <r>
    <x v="2038"/>
    <n v="62.88"/>
    <x v="1389"/>
    <x v="1274"/>
    <x v="66"/>
    <n v="2.38"/>
    <n v="0.1258"/>
    <x v="6"/>
    <m/>
    <n v="1"/>
    <x v="6"/>
    <x v="7"/>
    <x v="67"/>
    <x v="0"/>
    <x v="0"/>
    <x v="0"/>
  </r>
  <r>
    <x v="2039"/>
    <n v="62.28"/>
    <x v="1390"/>
    <x v="1275"/>
    <x v="66"/>
    <n v="2.84"/>
    <n v="0.17130000000000001"/>
    <x v="6"/>
    <m/>
    <n v="1"/>
    <x v="6"/>
    <x v="7"/>
    <x v="67"/>
    <x v="1"/>
    <x v="1"/>
    <x v="0"/>
  </r>
  <r>
    <x v="2040"/>
    <n v="62.28"/>
    <x v="3"/>
    <x v="3"/>
    <x v="56"/>
    <n v="2.72"/>
    <n v="0.2024"/>
    <x v="6"/>
    <m/>
    <n v="0"/>
    <x v="6"/>
    <x v="7"/>
    <x v="67"/>
    <x v="1"/>
    <x v="2"/>
    <x v="0"/>
  </r>
  <r>
    <x v="2041"/>
    <n v="62.28"/>
    <x v="3"/>
    <x v="3"/>
    <x v="85"/>
    <n v="2.44"/>
    <n v="0.1186"/>
    <x v="6"/>
    <m/>
    <n v="0"/>
    <x v="6"/>
    <x v="7"/>
    <x v="67"/>
    <x v="0"/>
    <x v="2"/>
    <x v="0"/>
  </r>
  <r>
    <x v="2042"/>
    <n v="60.72"/>
    <x v="1391"/>
    <x v="1276"/>
    <x v="31"/>
    <n v="2.5099999999999998"/>
    <n v="6.2E-2"/>
    <x v="6"/>
    <m/>
    <n v="1"/>
    <x v="6"/>
    <x v="7"/>
    <x v="67"/>
    <x v="0"/>
    <x v="1"/>
    <x v="1"/>
  </r>
  <r>
    <x v="2043"/>
    <n v="61.75"/>
    <x v="1392"/>
    <x v="1277"/>
    <x v="74"/>
    <n v="2.61"/>
    <n v="0.1242"/>
    <x v="6"/>
    <m/>
    <n v="1"/>
    <x v="6"/>
    <x v="7"/>
    <x v="67"/>
    <x v="0"/>
    <x v="0"/>
    <x v="0"/>
  </r>
  <r>
    <x v="2044"/>
    <n v="61.37"/>
    <x v="1393"/>
    <x v="1278"/>
    <x v="60"/>
    <n v="2.35"/>
    <n v="3.6499999999999998E-2"/>
    <x v="6"/>
    <m/>
    <n v="1"/>
    <x v="6"/>
    <x v="7"/>
    <x v="67"/>
    <x v="0"/>
    <x v="1"/>
    <x v="1"/>
  </r>
  <r>
    <x v="2045"/>
    <n v="61.06"/>
    <x v="1394"/>
    <x v="1279"/>
    <x v="93"/>
    <n v="2.64"/>
    <n v="0.18579999999999999"/>
    <x v="6"/>
    <m/>
    <n v="1"/>
    <x v="6"/>
    <x v="7"/>
    <x v="67"/>
    <x v="0"/>
    <x v="1"/>
    <x v="0"/>
  </r>
  <r>
    <x v="2046"/>
    <n v="55.5"/>
    <x v="1395"/>
    <x v="1280"/>
    <x v="93"/>
    <n v="2.35"/>
    <n v="7.0300000000000001E-2"/>
    <x v="6"/>
    <m/>
    <n v="1"/>
    <x v="6"/>
    <x v="7"/>
    <x v="67"/>
    <x v="1"/>
    <x v="1"/>
    <x v="1"/>
  </r>
  <r>
    <x v="2047"/>
    <n v="55.5"/>
    <x v="3"/>
    <x v="3"/>
    <x v="81"/>
    <n v="2.7"/>
    <n v="0.115"/>
    <x v="6"/>
    <m/>
    <n v="0"/>
    <x v="6"/>
    <x v="7"/>
    <x v="67"/>
    <x v="1"/>
    <x v="2"/>
    <x v="0"/>
  </r>
  <r>
    <x v="2048"/>
    <n v="55.5"/>
    <x v="3"/>
    <x v="3"/>
    <x v="86"/>
    <n v="2.2999999999999998"/>
    <n v="8.8499999999999995E-2"/>
    <x v="6"/>
    <m/>
    <n v="0"/>
    <x v="6"/>
    <x v="7"/>
    <x v="67"/>
    <x v="0"/>
    <x v="2"/>
    <x v="1"/>
  </r>
  <r>
    <x v="2049"/>
    <n v="55.46"/>
    <x v="1396"/>
    <x v="1281"/>
    <x v="92"/>
    <n v="2.48"/>
    <n v="7.4499999999999997E-2"/>
    <x v="6"/>
    <m/>
    <n v="1"/>
    <x v="6"/>
    <x v="7"/>
    <x v="67"/>
    <x v="0"/>
    <x v="0"/>
    <x v="1"/>
  </r>
  <r>
    <x v="2050"/>
    <n v="57.78"/>
    <x v="1397"/>
    <x v="1282"/>
    <x v="94"/>
    <n v="2.14"/>
    <n v="4.7E-2"/>
    <x v="6"/>
    <m/>
    <n v="1"/>
    <x v="6"/>
    <x v="7"/>
    <x v="67"/>
    <x v="0"/>
    <x v="0"/>
    <x v="1"/>
  </r>
  <r>
    <x v="2051"/>
    <n v="55.51"/>
    <x v="1398"/>
    <x v="1283"/>
    <x v="95"/>
    <n v="2.0299999999999998"/>
    <n v="0.05"/>
    <x v="6"/>
    <m/>
    <n v="1"/>
    <x v="6"/>
    <x v="7"/>
    <x v="67"/>
    <x v="0"/>
    <x v="1"/>
    <x v="1"/>
  </r>
  <r>
    <x v="2052"/>
    <n v="56.48"/>
    <x v="1399"/>
    <x v="1284"/>
    <x v="72"/>
    <n v="1.98"/>
    <n v="-2.92E-2"/>
    <x v="6"/>
    <m/>
    <n v="1"/>
    <x v="6"/>
    <x v="7"/>
    <x v="67"/>
    <x v="0"/>
    <x v="0"/>
    <x v="1"/>
  </r>
  <r>
    <x v="2053"/>
    <n v="56.12"/>
    <x v="1400"/>
    <x v="1285"/>
    <x v="122"/>
    <n v="2.16"/>
    <n v="7.4700000000000003E-2"/>
    <x v="6"/>
    <m/>
    <n v="1"/>
    <x v="6"/>
    <x v="7"/>
    <x v="67"/>
    <x v="1"/>
    <x v="0"/>
    <x v="1"/>
  </r>
  <r>
    <x v="2054"/>
    <n v="56.12"/>
    <x v="3"/>
    <x v="3"/>
    <x v="96"/>
    <n v="2.1800000000000002"/>
    <n v="8.5599999999999996E-2"/>
    <x v="6"/>
    <m/>
    <n v="0"/>
    <x v="6"/>
    <x v="7"/>
    <x v="67"/>
    <x v="1"/>
    <x v="2"/>
    <x v="1"/>
  </r>
  <r>
    <x v="2055"/>
    <n v="56.12"/>
    <x v="3"/>
    <x v="3"/>
    <x v="72"/>
    <n v="2.29"/>
    <n v="1.1999999999999999E-3"/>
    <x v="6"/>
    <m/>
    <n v="0"/>
    <x v="6"/>
    <x v="7"/>
    <x v="67"/>
    <x v="0"/>
    <x v="2"/>
    <x v="1"/>
  </r>
  <r>
    <x v="2056"/>
    <n v="55.95"/>
    <x v="1401"/>
    <x v="1286"/>
    <x v="87"/>
    <n v="2.4"/>
    <n v="5.8400000000000001E-2"/>
    <x v="6"/>
    <m/>
    <n v="1"/>
    <x v="6"/>
    <x v="7"/>
    <x v="67"/>
    <x v="0"/>
    <x v="0"/>
    <x v="1"/>
  </r>
  <r>
    <x v="2057"/>
    <n v="55.06"/>
    <x v="1402"/>
    <x v="1287"/>
    <x v="74"/>
    <n v="2.02"/>
    <n v="-4.4900000000000002E-2"/>
    <x v="6"/>
    <m/>
    <n v="1"/>
    <x v="6"/>
    <x v="7"/>
    <x v="67"/>
    <x v="0"/>
    <x v="1"/>
    <x v="1"/>
  </r>
  <r>
    <x v="2058"/>
    <n v="55.17"/>
    <x v="1403"/>
    <x v="1288"/>
    <x v="85"/>
    <n v="2.27"/>
    <n v="-7.6E-3"/>
    <x v="6"/>
    <m/>
    <n v="1"/>
    <x v="6"/>
    <x v="8"/>
    <x v="68"/>
    <x v="0"/>
    <x v="0"/>
    <x v="1"/>
  </r>
  <r>
    <x v="2059"/>
    <n v="56.51"/>
    <x v="1404"/>
    <x v="1289"/>
    <x v="74"/>
    <n v="2.6"/>
    <n v="0.1174"/>
    <x v="6"/>
    <m/>
    <n v="1"/>
    <x v="6"/>
    <x v="8"/>
    <x v="68"/>
    <x v="0"/>
    <x v="0"/>
    <x v="0"/>
  </r>
  <r>
    <x v="2060"/>
    <n v="57.93"/>
    <x v="1405"/>
    <x v="1290"/>
    <x v="79"/>
    <n v="2.52"/>
    <n v="0.11210000000000001"/>
    <x v="6"/>
    <m/>
    <n v="1"/>
    <x v="6"/>
    <x v="8"/>
    <x v="68"/>
    <x v="1"/>
    <x v="0"/>
    <x v="0"/>
  </r>
  <r>
    <x v="2061"/>
    <n v="57.93"/>
    <x v="3"/>
    <x v="3"/>
    <x v="70"/>
    <n v="2.4500000000000002"/>
    <n v="0.1182"/>
    <x v="6"/>
    <m/>
    <n v="0"/>
    <x v="6"/>
    <x v="8"/>
    <x v="68"/>
    <x v="1"/>
    <x v="2"/>
    <x v="0"/>
  </r>
  <r>
    <x v="2062"/>
    <n v="57.93"/>
    <x v="3"/>
    <x v="3"/>
    <x v="52"/>
    <n v="2.39"/>
    <n v="6.9199999999999998E-2"/>
    <x v="6"/>
    <m/>
    <n v="0"/>
    <x v="6"/>
    <x v="8"/>
    <x v="68"/>
    <x v="0"/>
    <x v="2"/>
    <x v="1"/>
  </r>
  <r>
    <x v="2063"/>
    <n v="59.7"/>
    <x v="1406"/>
    <x v="1291"/>
    <x v="67"/>
    <n v="2.17"/>
    <n v="6.7000000000000004E-2"/>
    <x v="6"/>
    <m/>
    <n v="1"/>
    <x v="6"/>
    <x v="8"/>
    <x v="68"/>
    <x v="0"/>
    <x v="0"/>
    <x v="1"/>
  </r>
  <r>
    <x v="2064"/>
    <n v="60.6"/>
    <x v="1407"/>
    <x v="1292"/>
    <x v="65"/>
    <n v="2.4"/>
    <n v="6.6000000000000003E-2"/>
    <x v="6"/>
    <m/>
    <n v="1"/>
    <x v="6"/>
    <x v="8"/>
    <x v="68"/>
    <x v="0"/>
    <x v="0"/>
    <x v="1"/>
  </r>
  <r>
    <x v="2065"/>
    <n v="60.95"/>
    <x v="1408"/>
    <x v="1293"/>
    <x v="11"/>
    <n v="2.1"/>
    <n v="5.4899999999999997E-2"/>
    <x v="6"/>
    <m/>
    <n v="1"/>
    <x v="6"/>
    <x v="8"/>
    <x v="68"/>
    <x v="0"/>
    <x v="0"/>
    <x v="1"/>
  </r>
  <r>
    <x v="2066"/>
    <n v="61.21"/>
    <x v="1409"/>
    <x v="1294"/>
    <x v="123"/>
    <n v="2.84"/>
    <n v="8.6300000000000002E-2"/>
    <x v="6"/>
    <m/>
    <n v="1"/>
    <x v="6"/>
    <x v="8"/>
    <x v="68"/>
    <x v="0"/>
    <x v="1"/>
    <x v="1"/>
  </r>
  <r>
    <x v="2067"/>
    <n v="61.09"/>
    <x v="1410"/>
    <x v="1295"/>
    <x v="124"/>
    <n v="2.9"/>
    <n v="0.13739999999999999"/>
    <x v="6"/>
    <m/>
    <n v="1"/>
    <x v="6"/>
    <x v="8"/>
    <x v="68"/>
    <x v="1"/>
    <x v="1"/>
    <x v="0"/>
  </r>
  <r>
    <x v="2068"/>
    <n v="61.09"/>
    <x v="3"/>
    <x v="3"/>
    <x v="125"/>
    <n v="2.77"/>
    <n v="7.3499999999999996E-2"/>
    <x v="6"/>
    <m/>
    <n v="0"/>
    <x v="6"/>
    <x v="8"/>
    <x v="68"/>
    <x v="1"/>
    <x v="2"/>
    <x v="1"/>
  </r>
  <r>
    <x v="2069"/>
    <n v="61.09"/>
    <x v="3"/>
    <x v="3"/>
    <x v="126"/>
    <n v="3.23"/>
    <n v="0.15709999999999999"/>
    <x v="6"/>
    <m/>
    <n v="0"/>
    <x v="6"/>
    <x v="8"/>
    <x v="68"/>
    <x v="0"/>
    <x v="2"/>
    <x v="0"/>
  </r>
  <r>
    <x v="2070"/>
    <n v="61.66"/>
    <x v="1411"/>
    <x v="1296"/>
    <x v="127"/>
    <n v="3.13"/>
    <n v="0.16539999999999999"/>
    <x v="6"/>
    <m/>
    <n v="1"/>
    <x v="6"/>
    <x v="8"/>
    <x v="68"/>
    <x v="0"/>
    <x v="0"/>
    <x v="0"/>
  </r>
  <r>
    <x v="2071"/>
    <n v="61.37"/>
    <x v="1412"/>
    <x v="1297"/>
    <x v="128"/>
    <n v="2.94"/>
    <n v="0.13919999999999999"/>
    <x v="6"/>
    <m/>
    <n v="1"/>
    <x v="6"/>
    <x v="8"/>
    <x v="68"/>
    <x v="0"/>
    <x v="1"/>
    <x v="0"/>
  </r>
  <r>
    <x v="2072"/>
    <n v="61.35"/>
    <x v="1413"/>
    <x v="1298"/>
    <x v="129"/>
    <m/>
    <m/>
    <x v="6"/>
    <m/>
    <n v="1"/>
    <x v="6"/>
    <x v="8"/>
    <x v="68"/>
    <x v="0"/>
    <x v="1"/>
    <x v="1"/>
  </r>
  <r>
    <x v="2073"/>
    <n v="61.05"/>
    <x v="1414"/>
    <x v="1299"/>
    <x v="129"/>
    <m/>
    <m/>
    <x v="6"/>
    <m/>
    <n v="1"/>
    <x v="6"/>
    <x v="8"/>
    <x v="68"/>
    <x v="0"/>
    <x v="1"/>
    <x v="1"/>
  </r>
  <r>
    <x v="2074"/>
    <n v="62.11"/>
    <x v="1415"/>
    <x v="1300"/>
    <x v="130"/>
    <n v="3.19"/>
    <n v="0.1545"/>
    <x v="6"/>
    <m/>
    <n v="1"/>
    <x v="6"/>
    <x v="8"/>
    <x v="68"/>
    <x v="1"/>
    <x v="0"/>
    <x v="0"/>
  </r>
  <r>
    <x v="2075"/>
    <n v="62.11"/>
    <x v="3"/>
    <x v="3"/>
    <x v="131"/>
    <n v="3.06"/>
    <n v="0.152"/>
    <x v="6"/>
    <m/>
    <n v="0"/>
    <x v="6"/>
    <x v="8"/>
    <x v="68"/>
    <x v="1"/>
    <x v="2"/>
    <x v="0"/>
  </r>
  <r>
    <x v="2076"/>
    <n v="62.11"/>
    <x v="3"/>
    <x v="3"/>
    <x v="132"/>
    <n v="2.96"/>
    <n v="0.14910000000000001"/>
    <x v="6"/>
    <m/>
    <n v="0"/>
    <x v="6"/>
    <x v="8"/>
    <x v="68"/>
    <x v="0"/>
    <x v="2"/>
    <x v="0"/>
  </r>
  <r>
    <x v="2077"/>
    <n v="64.08"/>
    <x v="1416"/>
    <x v="1301"/>
    <x v="133"/>
    <n v="3.22"/>
    <n v="0.1447"/>
    <x v="6"/>
    <m/>
    <n v="1"/>
    <x v="6"/>
    <x v="8"/>
    <x v="68"/>
    <x v="0"/>
    <x v="0"/>
    <x v="0"/>
  </r>
  <r>
    <x v="2078"/>
    <n v="65.06"/>
    <x v="1417"/>
    <x v="1302"/>
    <x v="134"/>
    <n v="3.22"/>
    <n v="0.1308"/>
    <x v="6"/>
    <m/>
    <n v="1"/>
    <x v="6"/>
    <x v="8"/>
    <x v="68"/>
    <x v="0"/>
    <x v="0"/>
    <x v="0"/>
  </r>
  <r>
    <x v="2079"/>
    <n v="64.05"/>
    <x v="1418"/>
    <x v="1303"/>
    <x v="135"/>
    <n v="3.19"/>
    <n v="0.18360000000000001"/>
    <x v="6"/>
    <m/>
    <n v="1"/>
    <x v="6"/>
    <x v="8"/>
    <x v="68"/>
    <x v="0"/>
    <x v="1"/>
    <x v="0"/>
  </r>
  <r>
    <x v="2080"/>
    <n v="63.57"/>
    <x v="1419"/>
    <x v="1304"/>
    <x v="128"/>
    <n v="3.24"/>
    <n v="0.15679999999999999"/>
    <x v="6"/>
    <m/>
    <n v="1"/>
    <x v="6"/>
    <x v="8"/>
    <x v="68"/>
    <x v="0"/>
    <x v="1"/>
    <x v="0"/>
  </r>
  <r>
    <x v="2081"/>
    <n v="64.680000000000007"/>
    <x v="1420"/>
    <x v="1305"/>
    <x v="136"/>
    <n v="3.14"/>
    <n v="0.14419999999999999"/>
    <x v="6"/>
    <m/>
    <n v="1"/>
    <x v="6"/>
    <x v="8"/>
    <x v="68"/>
    <x v="1"/>
    <x v="0"/>
    <x v="0"/>
  </r>
  <r>
    <x v="2082"/>
    <n v="64.680000000000007"/>
    <x v="3"/>
    <x v="3"/>
    <x v="131"/>
    <n v="2.98"/>
    <n v="0.13739999999999999"/>
    <x v="6"/>
    <m/>
    <n v="0"/>
    <x v="6"/>
    <x v="8"/>
    <x v="68"/>
    <x v="1"/>
    <x v="2"/>
    <x v="0"/>
  </r>
  <r>
    <x v="2083"/>
    <n v="64.680000000000007"/>
    <x v="3"/>
    <x v="3"/>
    <x v="137"/>
    <n v="3.04"/>
    <n v="6.1800000000000001E-2"/>
    <x v="6"/>
    <m/>
    <n v="0"/>
    <x v="6"/>
    <x v="8"/>
    <x v="68"/>
    <x v="1"/>
    <x v="2"/>
    <x v="1"/>
  </r>
  <r>
    <x v="2084"/>
    <n v="64.680000000000007"/>
    <x v="3"/>
    <x v="3"/>
    <x v="138"/>
    <n v="3.03"/>
    <n v="0.15379999999999999"/>
    <x v="6"/>
    <m/>
    <n v="0"/>
    <x v="6"/>
    <x v="8"/>
    <x v="68"/>
    <x v="0"/>
    <x v="2"/>
    <x v="0"/>
  </r>
  <r>
    <x v="2085"/>
    <n v="64.900000000000006"/>
    <x v="1421"/>
    <x v="1306"/>
    <x v="139"/>
    <n v="2.92"/>
    <n v="0.13750000000000001"/>
    <x v="6"/>
    <m/>
    <n v="1"/>
    <x v="6"/>
    <x v="8"/>
    <x v="68"/>
    <x v="0"/>
    <x v="0"/>
    <x v="0"/>
  </r>
  <r>
    <x v="2086"/>
    <n v="65.459999999999994"/>
    <x v="1422"/>
    <x v="1307"/>
    <x v="121"/>
    <n v="2.97"/>
    <n v="9.6699999999999994E-2"/>
    <x v="6"/>
    <m/>
    <n v="1"/>
    <x v="6"/>
    <x v="8"/>
    <x v="68"/>
    <x v="0"/>
    <x v="0"/>
    <x v="1"/>
  </r>
  <r>
    <x v="2087"/>
    <n v="64.77"/>
    <x v="1423"/>
    <x v="1308"/>
    <x v="140"/>
    <n v="2.97"/>
    <n v="0.16450000000000001"/>
    <x v="6"/>
    <m/>
    <n v="1"/>
    <x v="6"/>
    <x v="8"/>
    <x v="68"/>
    <x v="0"/>
    <x v="1"/>
    <x v="0"/>
  </r>
  <r>
    <x v="2088"/>
    <n v="64.16"/>
    <x v="1424"/>
    <x v="1309"/>
    <x v="141"/>
    <n v="3.12"/>
    <n v="0.17449999999999999"/>
    <x v="6"/>
    <m/>
    <n v="1"/>
    <x v="6"/>
    <x v="8"/>
    <x v="68"/>
    <x v="1"/>
    <x v="1"/>
    <x v="0"/>
  </r>
  <r>
    <x v="2089"/>
    <n v="64.16"/>
    <x v="3"/>
    <x v="3"/>
    <x v="127"/>
    <n v="3.06"/>
    <n v="0.13769999999999999"/>
    <x v="6"/>
    <m/>
    <n v="0"/>
    <x v="6"/>
    <x v="9"/>
    <x v="69"/>
    <x v="1"/>
    <x v="2"/>
    <x v="0"/>
  </r>
  <r>
    <x v="2090"/>
    <n v="64.16"/>
    <x v="3"/>
    <x v="3"/>
    <x v="142"/>
    <n v="2.93"/>
    <n v="0.10009999999999999"/>
    <x v="6"/>
    <m/>
    <n v="0"/>
    <x v="6"/>
    <x v="9"/>
    <x v="69"/>
    <x v="0"/>
    <x v="2"/>
    <x v="0"/>
  </r>
  <r>
    <x v="2091"/>
    <n v="63.38"/>
    <x v="1425"/>
    <x v="1310"/>
    <x v="143"/>
    <n v="2.9"/>
    <n v="9.4299999999999995E-2"/>
    <x v="6"/>
    <m/>
    <n v="1"/>
    <x v="6"/>
    <x v="9"/>
    <x v="69"/>
    <x v="0"/>
    <x v="1"/>
    <x v="1"/>
  </r>
  <r>
    <x v="2092"/>
    <n v="63.16"/>
    <x v="1426"/>
    <x v="1311"/>
    <x v="141"/>
    <n v="3.02"/>
    <n v="0.11310000000000001"/>
    <x v="6"/>
    <m/>
    <n v="1"/>
    <x v="6"/>
    <x v="9"/>
    <x v="69"/>
    <x v="0"/>
    <x v="1"/>
    <x v="0"/>
  </r>
  <r>
    <x v="2093"/>
    <n v="65.03"/>
    <x v="1427"/>
    <x v="743"/>
    <x v="144"/>
    <n v="3.11"/>
    <n v="0.11799999999999999"/>
    <x v="6"/>
    <m/>
    <n v="1"/>
    <x v="6"/>
    <x v="9"/>
    <x v="69"/>
    <x v="0"/>
    <x v="0"/>
    <x v="0"/>
  </r>
  <r>
    <x v="2094"/>
    <n v="64.849999999999994"/>
    <x v="1428"/>
    <x v="1312"/>
    <x v="129"/>
    <m/>
    <m/>
    <x v="6"/>
    <m/>
    <n v="1"/>
    <x v="6"/>
    <x v="9"/>
    <x v="69"/>
    <x v="0"/>
    <x v="0"/>
    <x v="1"/>
  </r>
  <r>
    <x v="2095"/>
    <n v="64.150000000000006"/>
    <x v="1429"/>
    <x v="1313"/>
    <x v="129"/>
    <m/>
    <m/>
    <x v="6"/>
    <m/>
    <n v="1"/>
    <x v="6"/>
    <x v="9"/>
    <x v="69"/>
    <x v="1"/>
    <x v="1"/>
    <x v="1"/>
  </r>
  <r>
    <x v="2096"/>
    <n v="64.150000000000006"/>
    <x v="3"/>
    <x v="3"/>
    <x v="129"/>
    <m/>
    <m/>
    <x v="6"/>
    <m/>
    <n v="0"/>
    <x v="6"/>
    <x v="9"/>
    <x v="69"/>
    <x v="1"/>
    <x v="2"/>
    <x v="1"/>
  </r>
  <r>
    <x v="2097"/>
    <n v="64.150000000000006"/>
    <x v="3"/>
    <x v="3"/>
    <x v="129"/>
    <m/>
    <m/>
    <x v="6"/>
    <m/>
    <n v="0"/>
    <x v="6"/>
    <x v="9"/>
    <x v="69"/>
    <x v="0"/>
    <x v="2"/>
    <x v="1"/>
  </r>
  <r>
    <x v="2098"/>
    <n v="64.45"/>
    <x v="1430"/>
    <x v="422"/>
    <x v="140"/>
    <n v="2.8"/>
    <n v="8.6300000000000002E-2"/>
    <x v="6"/>
    <m/>
    <n v="1"/>
    <x v="6"/>
    <x v="9"/>
    <x v="69"/>
    <x v="0"/>
    <x v="0"/>
    <x v="1"/>
  </r>
  <r>
    <x v="2099"/>
    <n v="64.86"/>
    <x v="1431"/>
    <x v="1314"/>
    <x v="135"/>
    <n v="2.81"/>
    <n v="0.1069"/>
    <x v="6"/>
    <m/>
    <n v="1"/>
    <x v="6"/>
    <x v="9"/>
    <x v="69"/>
    <x v="0"/>
    <x v="0"/>
    <x v="0"/>
  </r>
  <r>
    <x v="2100"/>
    <n v="65.010000000000005"/>
    <x v="1432"/>
    <x v="1315"/>
    <x v="145"/>
    <n v="3.03"/>
    <n v="0.13009999999999999"/>
    <x v="6"/>
    <m/>
    <n v="1"/>
    <x v="6"/>
    <x v="9"/>
    <x v="69"/>
    <x v="0"/>
    <x v="1"/>
    <x v="0"/>
  </r>
  <r>
    <x v="2101"/>
    <n v="65.33"/>
    <x v="1433"/>
    <x v="1316"/>
    <x v="146"/>
    <n v="2.5299999999999998"/>
    <n v="6.7999999999999996E-3"/>
    <x v="6"/>
    <m/>
    <n v="1"/>
    <x v="6"/>
    <x v="9"/>
    <x v="69"/>
    <x v="0"/>
    <x v="0"/>
    <x v="1"/>
  </r>
  <r>
    <x v="2102"/>
    <n v="66.94"/>
    <x v="1434"/>
    <x v="1317"/>
    <x v="141"/>
    <n v="2.74"/>
    <n v="0.1444"/>
    <x v="6"/>
    <m/>
    <n v="1"/>
    <x v="6"/>
    <x v="9"/>
    <x v="69"/>
    <x v="1"/>
    <x v="0"/>
    <x v="0"/>
  </r>
  <r>
    <x v="2103"/>
    <n v="66.94"/>
    <x v="3"/>
    <x v="3"/>
    <x v="147"/>
    <n v="3.13"/>
    <n v="0.13469999999999999"/>
    <x v="6"/>
    <m/>
    <n v="0"/>
    <x v="6"/>
    <x v="9"/>
    <x v="69"/>
    <x v="1"/>
    <x v="2"/>
    <x v="0"/>
  </r>
  <r>
    <x v="2104"/>
    <n v="66.94"/>
    <x v="3"/>
    <x v="3"/>
    <x v="148"/>
    <n v="2.81"/>
    <n v="9.9699999999999997E-2"/>
    <x v="6"/>
    <m/>
    <n v="0"/>
    <x v="6"/>
    <x v="9"/>
    <x v="69"/>
    <x v="0"/>
    <x v="2"/>
    <x v="1"/>
  </r>
  <r>
    <x v="2105"/>
    <n v="67.58"/>
    <x v="1435"/>
    <x v="1318"/>
    <x v="149"/>
    <n v="2.93"/>
    <n v="0.1328"/>
    <x v="6"/>
    <m/>
    <n v="1"/>
    <x v="6"/>
    <x v="9"/>
    <x v="69"/>
    <x v="0"/>
    <x v="0"/>
    <x v="0"/>
  </r>
  <r>
    <x v="2106"/>
    <n v="68.569999999999993"/>
    <x v="1436"/>
    <x v="1319"/>
    <x v="23"/>
    <n v="2.56"/>
    <n v="8.0699999999999994E-2"/>
    <x v="6"/>
    <m/>
    <n v="1"/>
    <x v="6"/>
    <x v="9"/>
    <x v="69"/>
    <x v="1"/>
    <x v="0"/>
    <x v="1"/>
  </r>
  <r>
    <x v="2107"/>
    <n v="68.569999999999993"/>
    <x v="3"/>
    <x v="3"/>
    <x v="129"/>
    <m/>
    <m/>
    <x v="6"/>
    <m/>
    <n v="0"/>
    <x v="6"/>
    <x v="9"/>
    <x v="69"/>
    <x v="0"/>
    <x v="2"/>
    <x v="1"/>
  </r>
  <r>
    <x v="2108"/>
    <n v="67.900000000000006"/>
    <x v="1437"/>
    <x v="1320"/>
    <x v="129"/>
    <m/>
    <m/>
    <x v="6"/>
    <m/>
    <n v="1"/>
    <x v="6"/>
    <x v="9"/>
    <x v="69"/>
    <x v="0"/>
    <x v="1"/>
    <x v="1"/>
  </r>
  <r>
    <x v="2109"/>
    <n v="68.61"/>
    <x v="1438"/>
    <x v="579"/>
    <x v="129"/>
    <m/>
    <m/>
    <x v="6"/>
    <m/>
    <n v="1"/>
    <x v="6"/>
    <x v="9"/>
    <x v="69"/>
    <x v="1"/>
    <x v="0"/>
    <x v="1"/>
  </r>
  <r>
    <x v="2110"/>
    <n v="68.61"/>
    <x v="3"/>
    <x v="3"/>
    <x v="150"/>
    <n v="2"/>
    <n v="0.43099999999999999"/>
    <x v="6"/>
    <m/>
    <n v="0"/>
    <x v="6"/>
    <x v="9"/>
    <x v="69"/>
    <x v="1"/>
    <x v="2"/>
    <x v="0"/>
  </r>
  <r>
    <x v="2111"/>
    <n v="68.61"/>
    <x v="3"/>
    <x v="3"/>
    <x v="129"/>
    <m/>
    <m/>
    <x v="6"/>
    <m/>
    <n v="0"/>
    <x v="6"/>
    <x v="9"/>
    <x v="69"/>
    <x v="0"/>
    <x v="2"/>
    <x v="1"/>
  </r>
  <r>
    <x v="2112"/>
    <n v="66.900000000000006"/>
    <x v="1439"/>
    <x v="1321"/>
    <x v="151"/>
    <n v="5"/>
    <n v="0"/>
    <x v="6"/>
    <m/>
    <n v="1"/>
    <x v="6"/>
    <x v="9"/>
    <x v="69"/>
    <x v="0"/>
    <x v="1"/>
    <x v="1"/>
  </r>
  <r>
    <x v="2113"/>
    <n v="67.239999999999995"/>
    <x v="1355"/>
    <x v="1322"/>
    <x v="129"/>
    <m/>
    <m/>
    <x v="6"/>
    <m/>
    <n v="1"/>
    <x v="6"/>
    <x v="9"/>
    <x v="69"/>
    <x v="0"/>
    <x v="1"/>
    <x v="1"/>
  </r>
  <r>
    <x v="2114"/>
    <n v="67.77"/>
    <x v="1440"/>
    <x v="1323"/>
    <x v="151"/>
    <n v="5"/>
    <n v="0.44040000000000001"/>
    <x v="6"/>
    <m/>
    <n v="1"/>
    <x v="6"/>
    <x v="9"/>
    <x v="69"/>
    <x v="0"/>
    <x v="0"/>
    <x v="0"/>
  </r>
  <r>
    <x v="2115"/>
    <n v="68.430000000000007"/>
    <x v="1441"/>
    <x v="863"/>
    <x v="129"/>
    <m/>
    <m/>
    <x v="6"/>
    <m/>
    <n v="1"/>
    <x v="6"/>
    <x v="9"/>
    <x v="69"/>
    <x v="0"/>
    <x v="0"/>
    <x v="1"/>
  </r>
  <r>
    <x v="2116"/>
    <n v="67.489999999999995"/>
    <x v="1442"/>
    <x v="1324"/>
    <x v="129"/>
    <m/>
    <m/>
    <x v="6"/>
    <m/>
    <n v="1"/>
    <x v="6"/>
    <x v="9"/>
    <x v="69"/>
    <x v="1"/>
    <x v="1"/>
    <x v="1"/>
  </r>
  <r>
    <x v="2117"/>
    <n v="67.489999999999995"/>
    <x v="3"/>
    <x v="3"/>
    <x v="129"/>
    <m/>
    <m/>
    <x v="6"/>
    <m/>
    <n v="0"/>
    <x v="6"/>
    <x v="9"/>
    <x v="69"/>
    <x v="1"/>
    <x v="2"/>
    <x v="1"/>
  </r>
  <r>
    <x v="2118"/>
    <n v="67.489999999999995"/>
    <x v="3"/>
    <x v="3"/>
    <x v="129"/>
    <m/>
    <m/>
    <x v="6"/>
    <m/>
    <n v="0"/>
    <x v="6"/>
    <x v="9"/>
    <x v="69"/>
    <x v="0"/>
    <x v="2"/>
    <x v="1"/>
  </r>
  <r>
    <x v="2119"/>
    <n v="67.36"/>
    <x v="1443"/>
    <x v="1325"/>
    <x v="129"/>
    <m/>
    <m/>
    <x v="6"/>
    <m/>
    <n v="1"/>
    <x v="6"/>
    <x v="10"/>
    <x v="70"/>
    <x v="0"/>
    <x v="1"/>
    <x v="1"/>
  </r>
  <r>
    <x v="2120"/>
    <n v="67.959999999999994"/>
    <x v="1444"/>
    <x v="1326"/>
    <x v="151"/>
    <n v="2"/>
    <n v="0.72689999999999999"/>
    <x v="6"/>
    <m/>
    <n v="1"/>
    <x v="6"/>
    <x v="10"/>
    <x v="70"/>
    <x v="0"/>
    <x v="0"/>
    <x v="0"/>
  </r>
  <r>
    <x v="2121"/>
    <n v="68.25"/>
    <x v="1445"/>
    <x v="1327"/>
    <x v="150"/>
    <n v="4.5"/>
    <n v="0.22020000000000001"/>
    <x v="6"/>
    <m/>
    <n v="1"/>
    <x v="6"/>
    <x v="10"/>
    <x v="70"/>
    <x v="1"/>
    <x v="0"/>
    <x v="0"/>
  </r>
  <r>
    <x v="2122"/>
    <n v="68.25"/>
    <x v="3"/>
    <x v="3"/>
    <x v="129"/>
    <m/>
    <m/>
    <x v="6"/>
    <m/>
    <n v="0"/>
    <x v="6"/>
    <x v="10"/>
    <x v="70"/>
    <x v="0"/>
    <x v="2"/>
    <x v="1"/>
  </r>
  <r>
    <x v="2123"/>
    <n v="69.069999999999993"/>
    <x v="1446"/>
    <x v="739"/>
    <x v="152"/>
    <n v="2.33"/>
    <n v="-0.1351"/>
    <x v="6"/>
    <m/>
    <n v="1"/>
    <x v="6"/>
    <x v="10"/>
    <x v="70"/>
    <x v="1"/>
    <x v="0"/>
    <x v="2"/>
  </r>
  <r>
    <x v="2124"/>
    <n v="69.069999999999993"/>
    <x v="3"/>
    <x v="3"/>
    <x v="151"/>
    <n v="5"/>
    <n v="0.62490000000000001"/>
    <x v="6"/>
    <m/>
    <n v="0"/>
    <x v="6"/>
    <x v="10"/>
    <x v="70"/>
    <x v="1"/>
    <x v="2"/>
    <x v="0"/>
  </r>
  <r>
    <x v="2125"/>
    <n v="69.069999999999993"/>
    <x v="3"/>
    <x v="3"/>
    <x v="152"/>
    <n v="4"/>
    <n v="0.311"/>
    <x v="6"/>
    <m/>
    <n v="0"/>
    <x v="6"/>
    <x v="10"/>
    <x v="70"/>
    <x v="0"/>
    <x v="2"/>
    <x v="0"/>
  </r>
  <r>
    <x v="2126"/>
    <n v="68.569999999999993"/>
    <x v="1447"/>
    <x v="1328"/>
    <x v="151"/>
    <n v="1"/>
    <n v="-0.67049999999999998"/>
    <x v="6"/>
    <m/>
    <n v="1"/>
    <x v="6"/>
    <x v="10"/>
    <x v="70"/>
    <x v="0"/>
    <x v="1"/>
    <x v="2"/>
  </r>
  <r>
    <x v="2127"/>
    <n v="68.569999999999993"/>
    <x v="1448"/>
    <x v="430"/>
    <x v="129"/>
    <m/>
    <m/>
    <x v="6"/>
    <m/>
    <n v="1"/>
    <x v="6"/>
    <x v="10"/>
    <x v="70"/>
    <x v="0"/>
    <x v="1"/>
    <x v="1"/>
  </r>
  <r>
    <x v="2128"/>
    <n v="67.760000000000005"/>
    <x v="1449"/>
    <x v="1329"/>
    <x v="150"/>
    <n v="3.5"/>
    <n v="0.63139999999999996"/>
    <x v="6"/>
    <m/>
    <n v="1"/>
    <x v="6"/>
    <x v="10"/>
    <x v="70"/>
    <x v="0"/>
    <x v="1"/>
    <x v="0"/>
  </r>
  <r>
    <x v="2129"/>
    <n v="65.28"/>
    <x v="1450"/>
    <x v="1330"/>
    <x v="129"/>
    <m/>
    <m/>
    <x v="6"/>
    <m/>
    <n v="1"/>
    <x v="6"/>
    <x v="10"/>
    <x v="70"/>
    <x v="0"/>
    <x v="1"/>
    <x v="1"/>
  </r>
  <r>
    <x v="2130"/>
    <n v="64.760000000000005"/>
    <x v="1451"/>
    <x v="307"/>
    <x v="129"/>
    <m/>
    <m/>
    <x v="6"/>
    <m/>
    <n v="1"/>
    <x v="6"/>
    <x v="10"/>
    <x v="70"/>
    <x v="1"/>
    <x v="1"/>
    <x v="1"/>
  </r>
  <r>
    <x v="2131"/>
    <n v="64.760000000000005"/>
    <x v="3"/>
    <x v="3"/>
    <x v="129"/>
    <m/>
    <m/>
    <x v="6"/>
    <m/>
    <n v="0"/>
    <x v="6"/>
    <x v="10"/>
    <x v="70"/>
    <x v="1"/>
    <x v="2"/>
    <x v="1"/>
  </r>
  <r>
    <x v="2132"/>
    <n v="64.760000000000005"/>
    <x v="3"/>
    <x v="3"/>
    <x v="151"/>
    <n v="4"/>
    <n v="0"/>
    <x v="6"/>
    <m/>
    <n v="0"/>
    <x v="6"/>
    <x v="10"/>
    <x v="70"/>
    <x v="0"/>
    <x v="2"/>
    <x v="1"/>
  </r>
  <r>
    <x v="2133"/>
    <n v="65.64"/>
    <x v="1452"/>
    <x v="1331"/>
    <x v="129"/>
    <m/>
    <m/>
    <x v="6"/>
    <m/>
    <n v="1"/>
    <x v="6"/>
    <x v="10"/>
    <x v="70"/>
    <x v="0"/>
    <x v="0"/>
    <x v="1"/>
  </r>
  <r>
    <x v="2134"/>
    <n v="65.63"/>
    <x v="1453"/>
    <x v="1332"/>
    <x v="129"/>
    <m/>
    <m/>
    <x v="6"/>
    <m/>
    <n v="1"/>
    <x v="6"/>
    <x v="10"/>
    <x v="70"/>
    <x v="0"/>
    <x v="1"/>
    <x v="1"/>
  </r>
  <r>
    <x v="2135"/>
    <n v="64.75"/>
    <x v="1454"/>
    <x v="16"/>
    <x v="129"/>
    <m/>
    <m/>
    <x v="6"/>
    <m/>
    <n v="1"/>
    <x v="6"/>
    <x v="10"/>
    <x v="70"/>
    <x v="0"/>
    <x v="1"/>
    <x v="1"/>
  </r>
  <r>
    <x v="2136"/>
    <n v="64.3"/>
    <x v="1455"/>
    <x v="1333"/>
    <x v="129"/>
    <m/>
    <m/>
    <x v="6"/>
    <m/>
    <n v="1"/>
    <x v="6"/>
    <x v="10"/>
    <x v="70"/>
    <x v="0"/>
    <x v="1"/>
    <x v="1"/>
  </r>
  <r>
    <x v="2137"/>
    <n v="63.33"/>
    <x v="1456"/>
    <x v="1334"/>
    <x v="129"/>
    <m/>
    <m/>
    <x v="6"/>
    <m/>
    <n v="1"/>
    <x v="6"/>
    <x v="10"/>
    <x v="70"/>
    <x v="1"/>
    <x v="1"/>
    <x v="1"/>
  </r>
  <r>
    <x v="2138"/>
    <n v="63.33"/>
    <x v="3"/>
    <x v="3"/>
    <x v="129"/>
    <m/>
    <m/>
    <x v="6"/>
    <m/>
    <n v="0"/>
    <x v="6"/>
    <x v="10"/>
    <x v="70"/>
    <x v="1"/>
    <x v="2"/>
    <x v="1"/>
  </r>
  <r>
    <x v="2139"/>
    <n v="63.33"/>
    <x v="3"/>
    <x v="3"/>
    <x v="151"/>
    <n v="5"/>
    <n v="0.63690000000000002"/>
    <x v="6"/>
    <m/>
    <n v="0"/>
    <x v="6"/>
    <x v="10"/>
    <x v="70"/>
    <x v="0"/>
    <x v="2"/>
    <x v="0"/>
  </r>
  <r>
    <x v="2140"/>
    <n v="64.75"/>
    <x v="1457"/>
    <x v="1335"/>
    <x v="151"/>
    <n v="5"/>
    <n v="0.72689999999999999"/>
    <x v="6"/>
    <m/>
    <n v="1"/>
    <x v="6"/>
    <x v="10"/>
    <x v="70"/>
    <x v="0"/>
    <x v="0"/>
    <x v="0"/>
  </r>
  <r>
    <x v="2141"/>
    <n v="64.28"/>
    <x v="1458"/>
    <x v="793"/>
    <x v="151"/>
    <n v="5"/>
    <n v="0.49270000000000003"/>
    <x v="6"/>
    <m/>
    <n v="1"/>
    <x v="6"/>
    <x v="10"/>
    <x v="70"/>
    <x v="0"/>
    <x v="1"/>
    <x v="0"/>
  </r>
  <r>
    <x v="2142"/>
    <n v="63.6"/>
    <x v="1459"/>
    <x v="1230"/>
    <x v="150"/>
    <n v="2.5"/>
    <n v="0.47560000000000002"/>
    <x v="6"/>
    <m/>
    <n v="1"/>
    <x v="6"/>
    <x v="10"/>
    <x v="70"/>
    <x v="0"/>
    <x v="0"/>
    <x v="0"/>
  </r>
  <r>
    <x v="2143"/>
    <n v="63.41"/>
    <x v="1460"/>
    <x v="1336"/>
    <x v="129"/>
    <m/>
    <m/>
    <x v="6"/>
    <m/>
    <n v="1"/>
    <x v="6"/>
    <x v="10"/>
    <x v="70"/>
    <x v="0"/>
    <x v="1"/>
    <x v="1"/>
  </r>
  <r>
    <x v="2144"/>
    <n v="63.14"/>
    <x v="1461"/>
    <x v="1337"/>
    <x v="129"/>
    <m/>
    <m/>
    <x v="6"/>
    <m/>
    <n v="1"/>
    <x v="6"/>
    <x v="10"/>
    <x v="70"/>
    <x v="1"/>
    <x v="1"/>
    <x v="1"/>
  </r>
  <r>
    <x v="2145"/>
    <n v="63.14"/>
    <x v="3"/>
    <x v="3"/>
    <x v="129"/>
    <m/>
    <m/>
    <x v="6"/>
    <m/>
    <n v="0"/>
    <x v="6"/>
    <x v="10"/>
    <x v="70"/>
    <x v="1"/>
    <x v="2"/>
    <x v="1"/>
  </r>
  <r>
    <x v="2146"/>
    <n v="63.14"/>
    <x v="3"/>
    <x v="3"/>
    <x v="151"/>
    <n v="5"/>
    <n v="0.40189999999999998"/>
    <x v="6"/>
    <m/>
    <n v="0"/>
    <x v="6"/>
    <x v="10"/>
    <x v="70"/>
    <x v="0"/>
    <x v="2"/>
    <x v="0"/>
  </r>
  <r>
    <x v="2147"/>
    <n v="62.7"/>
    <x v="1462"/>
    <x v="1338"/>
    <x v="150"/>
    <n v="2"/>
    <n v="0.22020000000000001"/>
    <x v="6"/>
    <m/>
    <n v="1"/>
    <x v="6"/>
    <x v="10"/>
    <x v="70"/>
    <x v="0"/>
    <x v="1"/>
    <x v="0"/>
  </r>
  <r>
    <x v="2148"/>
    <n v="62.26"/>
    <x v="1463"/>
    <x v="1339"/>
    <x v="151"/>
    <n v="5"/>
    <n v="0.77829999999999999"/>
    <x v="6"/>
    <m/>
    <n v="1"/>
    <x v="6"/>
    <x v="10"/>
    <x v="70"/>
    <x v="0"/>
    <x v="1"/>
    <x v="0"/>
  </r>
  <r>
    <x v="2149"/>
    <n v="62.83"/>
    <x v="1464"/>
    <x v="1340"/>
    <x v="129"/>
    <m/>
    <m/>
    <x v="6"/>
    <m/>
    <n v="1"/>
    <x v="6"/>
    <x v="10"/>
    <x v="70"/>
    <x v="0"/>
    <x v="0"/>
    <x v="1"/>
  </r>
  <r>
    <x v="2150"/>
    <n v="62.49"/>
    <x v="1465"/>
    <x v="1341"/>
    <x v="152"/>
    <n v="3.67"/>
    <n v="-0.28639999999999999"/>
    <x v="6"/>
    <m/>
    <n v="1"/>
    <x v="6"/>
    <x v="11"/>
    <x v="71"/>
    <x v="0"/>
    <x v="1"/>
    <x v="2"/>
  </r>
  <r>
    <x v="2151"/>
    <n v="61.36"/>
    <x v="1466"/>
    <x v="22"/>
    <x v="151"/>
    <n v="5"/>
    <n v="0.42149999999999999"/>
    <x v="6"/>
    <m/>
    <n v="1"/>
    <x v="6"/>
    <x v="11"/>
    <x v="71"/>
    <x v="1"/>
    <x v="1"/>
    <x v="0"/>
  </r>
  <r>
    <x v="2152"/>
    <n v="61.36"/>
    <x v="3"/>
    <x v="3"/>
    <x v="129"/>
    <m/>
    <m/>
    <x v="6"/>
    <m/>
    <n v="0"/>
    <x v="6"/>
    <x v="11"/>
    <x v="71"/>
    <x v="1"/>
    <x v="2"/>
    <x v="1"/>
  </r>
  <r>
    <x v="2153"/>
    <n v="61.36"/>
    <x v="3"/>
    <x v="3"/>
    <x v="129"/>
    <m/>
    <m/>
    <x v="6"/>
    <m/>
    <n v="0"/>
    <x v="6"/>
    <x v="11"/>
    <x v="71"/>
    <x v="0"/>
    <x v="2"/>
    <x v="1"/>
  </r>
  <r>
    <x v="2154"/>
    <n v="59.85"/>
    <x v="1467"/>
    <x v="1342"/>
    <x v="151"/>
    <n v="5"/>
    <n v="0.44040000000000001"/>
    <x v="6"/>
    <m/>
    <n v="1"/>
    <x v="6"/>
    <x v="11"/>
    <x v="71"/>
    <x v="0"/>
    <x v="0"/>
    <x v="0"/>
  </r>
  <r>
    <x v="2155"/>
    <n v="60.96"/>
    <x v="1468"/>
    <x v="1343"/>
    <x v="129"/>
    <m/>
    <m/>
    <x v="6"/>
    <m/>
    <n v="1"/>
    <x v="6"/>
    <x v="11"/>
    <x v="71"/>
    <x v="0"/>
    <x v="0"/>
    <x v="1"/>
  </r>
  <r>
    <x v="2156"/>
    <n v="61.15"/>
    <x v="1469"/>
    <x v="1344"/>
    <x v="109"/>
    <n v="2.83"/>
    <n v="0.17050000000000001"/>
    <x v="6"/>
    <m/>
    <n v="1"/>
    <x v="6"/>
    <x v="11"/>
    <x v="71"/>
    <x v="0"/>
    <x v="1"/>
    <x v="0"/>
  </r>
  <r>
    <x v="2157"/>
    <n v="63.03"/>
    <x v="1470"/>
    <x v="803"/>
    <x v="89"/>
    <n v="3.22"/>
    <n v="0.2112"/>
    <x v="6"/>
    <m/>
    <n v="1"/>
    <x v="6"/>
    <x v="11"/>
    <x v="71"/>
    <x v="0"/>
    <x v="0"/>
    <x v="0"/>
  </r>
  <r>
    <x v="2158"/>
    <n v="63.39"/>
    <x v="1471"/>
    <x v="228"/>
    <x v="117"/>
    <n v="3.18"/>
    <n v="0.19109999999999999"/>
    <x v="6"/>
    <m/>
    <n v="1"/>
    <x v="6"/>
    <x v="11"/>
    <x v="71"/>
    <x v="1"/>
    <x v="0"/>
    <x v="0"/>
  </r>
  <r>
    <x v="2159"/>
    <n v="63.39"/>
    <x v="3"/>
    <x v="3"/>
    <x v="90"/>
    <n v="3.22"/>
    <n v="8.8099999999999998E-2"/>
    <x v="6"/>
    <m/>
    <n v="0"/>
    <x v="6"/>
    <x v="11"/>
    <x v="71"/>
    <x v="1"/>
    <x v="2"/>
    <x v="1"/>
  </r>
  <r>
    <x v="2160"/>
    <n v="63.39"/>
    <x v="3"/>
    <x v="3"/>
    <x v="96"/>
    <n v="3.11"/>
    <n v="0.12180000000000001"/>
    <x v="6"/>
    <m/>
    <n v="0"/>
    <x v="6"/>
    <x v="11"/>
    <x v="71"/>
    <x v="0"/>
    <x v="2"/>
    <x v="0"/>
  </r>
  <r>
    <x v="2161"/>
    <n v="63.31"/>
    <x v="1472"/>
    <x v="1345"/>
    <x v="149"/>
    <n v="3.04"/>
    <n v="0.15490000000000001"/>
    <x v="6"/>
    <m/>
    <n v="1"/>
    <x v="6"/>
    <x v="11"/>
    <x v="71"/>
    <x v="0"/>
    <x v="0"/>
    <x v="0"/>
  </r>
  <r>
    <x v="2162"/>
    <n v="64.8"/>
    <x v="1473"/>
    <x v="1346"/>
    <x v="153"/>
    <n v="2.78"/>
    <n v="0.16189999999999999"/>
    <x v="6"/>
    <m/>
    <n v="1"/>
    <x v="6"/>
    <x v="11"/>
    <x v="71"/>
    <x v="0"/>
    <x v="0"/>
    <x v="0"/>
  </r>
  <r>
    <x v="2163"/>
    <n v="66.17"/>
    <x v="1474"/>
    <x v="1347"/>
    <x v="154"/>
    <n v="3.13"/>
    <n v="0.19969999999999999"/>
    <x v="6"/>
    <m/>
    <n v="1"/>
    <x v="6"/>
    <x v="11"/>
    <x v="71"/>
    <x v="0"/>
    <x v="0"/>
    <x v="0"/>
  </r>
  <r>
    <x v="2164"/>
    <n v="66.319999999999993"/>
    <x v="1475"/>
    <x v="1235"/>
    <x v="155"/>
    <n v="3.32"/>
    <n v="0.18940000000000001"/>
    <x v="6"/>
    <m/>
    <n v="1"/>
    <x v="6"/>
    <x v="11"/>
    <x v="71"/>
    <x v="0"/>
    <x v="1"/>
    <x v="0"/>
  </r>
  <r>
    <x v="2165"/>
    <n v="67.41"/>
    <x v="1476"/>
    <x v="867"/>
    <x v="98"/>
    <n v="3.36"/>
    <n v="0.2452"/>
    <x v="6"/>
    <m/>
    <n v="1"/>
    <x v="6"/>
    <x v="11"/>
    <x v="71"/>
    <x v="1"/>
    <x v="0"/>
    <x v="0"/>
  </r>
  <r>
    <x v="2166"/>
    <n v="67.41"/>
    <x v="3"/>
    <x v="3"/>
    <x v="122"/>
    <n v="3.07"/>
    <n v="0.22259999999999999"/>
    <x v="6"/>
    <m/>
    <n v="0"/>
    <x v="6"/>
    <x v="11"/>
    <x v="71"/>
    <x v="1"/>
    <x v="2"/>
    <x v="0"/>
  </r>
  <r>
    <x v="2167"/>
    <n v="67.41"/>
    <x v="3"/>
    <x v="3"/>
    <x v="72"/>
    <n v="2.77"/>
    <n v="0.12970000000000001"/>
    <x v="6"/>
    <m/>
    <n v="0"/>
    <x v="6"/>
    <x v="11"/>
    <x v="71"/>
    <x v="0"/>
    <x v="2"/>
    <x v="0"/>
  </r>
  <r>
    <x v="2168"/>
    <n v="68.849999999999994"/>
    <x v="1477"/>
    <x v="1348"/>
    <x v="156"/>
    <n v="2.92"/>
    <n v="8.7900000000000006E-2"/>
    <x v="6"/>
    <m/>
    <n v="1"/>
    <x v="6"/>
    <x v="11"/>
    <x v="71"/>
    <x v="0"/>
    <x v="0"/>
    <x v="1"/>
  </r>
  <r>
    <x v="2169"/>
    <n v="69.849999999999994"/>
    <x v="1478"/>
    <x v="1349"/>
    <x v="118"/>
    <n v="2.98"/>
    <n v="0.15060000000000001"/>
    <x v="6"/>
    <m/>
    <n v="1"/>
    <x v="6"/>
    <x v="11"/>
    <x v="71"/>
    <x v="0"/>
    <x v="0"/>
    <x v="0"/>
  </r>
  <r>
    <x v="2170"/>
    <n v="69.709999999999994"/>
    <x v="1479"/>
    <x v="1350"/>
    <x v="95"/>
    <n v="2.9"/>
    <n v="9.6600000000000005E-2"/>
    <x v="6"/>
    <m/>
    <n v="1"/>
    <x v="6"/>
    <x v="11"/>
    <x v="71"/>
    <x v="0"/>
    <x v="0"/>
    <x v="1"/>
  </r>
  <r>
    <x v="2171"/>
    <n v="68.900000000000006"/>
    <x v="1480"/>
    <x v="1351"/>
    <x v="77"/>
    <n v="2.91"/>
    <n v="0.14449999999999999"/>
    <x v="6"/>
    <m/>
    <n v="1"/>
    <x v="6"/>
    <x v="11"/>
    <x v="71"/>
    <x v="0"/>
    <x v="1"/>
    <x v="0"/>
  </r>
  <r>
    <x v="2172"/>
    <n v="68.67"/>
    <x v="1481"/>
    <x v="831"/>
    <x v="8"/>
    <n v="3.12"/>
    <n v="0.1182"/>
    <x v="6"/>
    <m/>
    <n v="1"/>
    <x v="6"/>
    <x v="11"/>
    <x v="71"/>
    <x v="1"/>
    <x v="1"/>
    <x v="0"/>
  </r>
  <r>
    <x v="2173"/>
    <n v="68.67"/>
    <x v="3"/>
    <x v="3"/>
    <x v="151"/>
    <n v="1"/>
    <n v="-0.37059999999999998"/>
    <x v="6"/>
    <m/>
    <n v="0"/>
    <x v="6"/>
    <x v="11"/>
    <x v="71"/>
    <x v="1"/>
    <x v="2"/>
    <x v="2"/>
  </r>
  <r>
    <x v="2174"/>
    <n v="68.67"/>
    <x v="3"/>
    <x v="3"/>
    <x v="129"/>
    <m/>
    <m/>
    <x v="6"/>
    <m/>
    <n v="0"/>
    <x v="6"/>
    <x v="11"/>
    <x v="71"/>
    <x v="0"/>
    <x v="2"/>
    <x v="1"/>
  </r>
  <r>
    <x v="2175"/>
    <n v="68.84"/>
    <x v="1482"/>
    <x v="1352"/>
    <x v="152"/>
    <n v="4"/>
    <n v="9.1000000000000004E-3"/>
    <x v="6"/>
    <m/>
    <n v="1"/>
    <x v="6"/>
    <x v="11"/>
    <x v="71"/>
    <x v="0"/>
    <x v="0"/>
    <x v="1"/>
  </r>
  <r>
    <x v="2176"/>
    <n v="69.569999999999993"/>
    <x v="1483"/>
    <x v="1353"/>
    <x v="151"/>
    <n v="5"/>
    <n v="0"/>
    <x v="6"/>
    <m/>
    <n v="1"/>
    <x v="6"/>
    <x v="11"/>
    <x v="71"/>
    <x v="0"/>
    <x v="0"/>
    <x v="1"/>
  </r>
  <r>
    <x v="2177"/>
    <n v="68.38"/>
    <x v="1484"/>
    <x v="1354"/>
    <x v="151"/>
    <n v="5"/>
    <n v="0"/>
    <x v="6"/>
    <m/>
    <n v="1"/>
    <x v="6"/>
    <x v="11"/>
    <x v="71"/>
    <x v="0"/>
    <x v="1"/>
    <x v="1"/>
  </r>
  <r>
    <x v="2178"/>
    <n v="69.25"/>
    <x v="1485"/>
    <x v="1355"/>
    <x v="129"/>
    <m/>
    <m/>
    <x v="6"/>
    <m/>
    <n v="1"/>
    <x v="6"/>
    <x v="11"/>
    <x v="71"/>
    <x v="0"/>
    <x v="0"/>
    <x v="1"/>
  </r>
  <r>
    <x v="2179"/>
    <n v="70.14"/>
    <x v="1486"/>
    <x v="1356"/>
    <x v="129"/>
    <m/>
    <m/>
    <x v="6"/>
    <m/>
    <n v="1"/>
    <x v="6"/>
    <x v="11"/>
    <x v="71"/>
    <x v="1"/>
    <x v="0"/>
    <x v="1"/>
  </r>
  <r>
    <x v="2180"/>
    <n v="70.14"/>
    <x v="3"/>
    <x v="3"/>
    <x v="151"/>
    <n v="1"/>
    <n v="0"/>
    <x v="6"/>
    <m/>
    <n v="0"/>
    <x v="6"/>
    <x v="11"/>
    <x v="71"/>
    <x v="1"/>
    <x v="2"/>
    <x v="1"/>
  </r>
  <r>
    <x v="2181"/>
    <n v="70.14"/>
    <x v="3"/>
    <x v="3"/>
    <x v="129"/>
    <m/>
    <m/>
    <x v="6"/>
    <m/>
    <n v="0"/>
    <x v="6"/>
    <x v="0"/>
    <x v="72"/>
    <x v="1"/>
    <x v="2"/>
    <x v="1"/>
  </r>
  <r>
    <x v="2182"/>
    <n v="70.14"/>
    <x v="3"/>
    <x v="3"/>
    <x v="129"/>
    <m/>
    <m/>
    <x v="6"/>
    <m/>
    <n v="0"/>
    <x v="6"/>
    <x v="0"/>
    <x v="72"/>
    <x v="0"/>
    <x v="2"/>
    <x v="1"/>
  </r>
  <r>
    <x v="2183"/>
    <n v="67.53"/>
    <x v="1487"/>
    <x v="1357"/>
    <x v="129"/>
    <m/>
    <m/>
    <x v="6"/>
    <m/>
    <n v="1"/>
    <x v="6"/>
    <x v="0"/>
    <x v="72"/>
    <x v="0"/>
    <x v="1"/>
    <x v="1"/>
  </r>
  <r>
    <x v="2184"/>
    <n v="67.97"/>
    <x v="1488"/>
    <x v="171"/>
    <x v="151"/>
    <n v="1"/>
    <n v="-0.87019999999999997"/>
    <x v="6"/>
    <m/>
    <n v="1"/>
    <x v="6"/>
    <x v="0"/>
    <x v="72"/>
    <x v="0"/>
    <x v="0"/>
    <x v="2"/>
  </r>
  <r>
    <x v="2185"/>
    <n v="68.36"/>
    <x v="1489"/>
    <x v="1358"/>
    <x v="129"/>
    <m/>
    <m/>
    <x v="6"/>
    <m/>
    <n v="1"/>
    <x v="6"/>
    <x v="0"/>
    <x v="72"/>
    <x v="0"/>
    <x v="0"/>
    <x v="1"/>
  </r>
  <r>
    <x v="2186"/>
    <n v="66.58"/>
    <x v="1490"/>
    <x v="1359"/>
    <x v="129"/>
    <m/>
    <m/>
    <x v="6"/>
    <m/>
    <n v="1"/>
    <x v="6"/>
    <x v="0"/>
    <x v="72"/>
    <x v="1"/>
    <x v="1"/>
    <x v="1"/>
  </r>
  <r>
    <x v="2187"/>
    <n v="66.58"/>
    <x v="3"/>
    <x v="3"/>
    <x v="129"/>
    <m/>
    <m/>
    <x v="6"/>
    <m/>
    <n v="0"/>
    <x v="6"/>
    <x v="0"/>
    <x v="72"/>
    <x v="1"/>
    <x v="2"/>
    <x v="1"/>
  </r>
  <r>
    <x v="2188"/>
    <n v="66.58"/>
    <x v="3"/>
    <x v="3"/>
    <x v="129"/>
    <m/>
    <m/>
    <x v="6"/>
    <m/>
    <n v="0"/>
    <x v="6"/>
    <x v="0"/>
    <x v="72"/>
    <x v="0"/>
    <x v="2"/>
    <x v="1"/>
  </r>
  <r>
    <x v="2189"/>
    <n v="67.540000000000006"/>
    <x v="1491"/>
    <x v="1360"/>
    <x v="129"/>
    <m/>
    <m/>
    <x v="6"/>
    <m/>
    <n v="1"/>
    <x v="6"/>
    <x v="0"/>
    <x v="72"/>
    <x v="0"/>
    <x v="0"/>
    <x v="1"/>
  </r>
  <r>
    <x v="2190"/>
    <n v="67.36"/>
    <x v="1492"/>
    <x v="1361"/>
    <x v="129"/>
    <m/>
    <m/>
    <x v="6"/>
    <m/>
    <n v="1"/>
    <x v="6"/>
    <x v="0"/>
    <x v="72"/>
    <x v="0"/>
    <x v="1"/>
    <x v="1"/>
  </r>
  <r>
    <x v="2191"/>
    <n v="68.150000000000006"/>
    <x v="1493"/>
    <x v="411"/>
    <x v="129"/>
    <m/>
    <m/>
    <x v="6"/>
    <m/>
    <n v="1"/>
    <x v="6"/>
    <x v="0"/>
    <x v="72"/>
    <x v="0"/>
    <x v="0"/>
    <x v="1"/>
  </r>
  <r>
    <x v="2192"/>
    <n v="68.680000000000007"/>
    <x v="1494"/>
    <x v="1362"/>
    <x v="129"/>
    <m/>
    <m/>
    <x v="6"/>
    <m/>
    <n v="1"/>
    <x v="6"/>
    <x v="0"/>
    <x v="72"/>
    <x v="0"/>
    <x v="0"/>
    <x v="1"/>
  </r>
  <r>
    <x v="2193"/>
    <n v="69.709999999999994"/>
    <x v="1495"/>
    <x v="1363"/>
    <x v="129"/>
    <m/>
    <m/>
    <x v="6"/>
    <m/>
    <n v="1"/>
    <x v="6"/>
    <x v="0"/>
    <x v="72"/>
    <x v="1"/>
    <x v="0"/>
    <x v="1"/>
  </r>
  <r>
    <x v="2194"/>
    <n v="69.709999999999994"/>
    <x v="3"/>
    <x v="3"/>
    <x v="129"/>
    <m/>
    <m/>
    <x v="6"/>
    <m/>
    <n v="0"/>
    <x v="6"/>
    <x v="0"/>
    <x v="72"/>
    <x v="1"/>
    <x v="2"/>
    <x v="1"/>
  </r>
  <r>
    <x v="2195"/>
    <n v="69.709999999999994"/>
    <x v="3"/>
    <x v="3"/>
    <x v="151"/>
    <n v="1"/>
    <n v="0.95709999999999995"/>
    <x v="6"/>
    <m/>
    <n v="0"/>
    <x v="6"/>
    <x v="0"/>
    <x v="72"/>
    <x v="0"/>
    <x v="2"/>
    <x v="0"/>
  </r>
  <r>
    <x v="2196"/>
    <n v="69.650000000000006"/>
    <x v="1496"/>
    <x v="1364"/>
    <x v="151"/>
    <n v="5"/>
    <n v="0"/>
    <x v="6"/>
    <m/>
    <n v="1"/>
    <x v="6"/>
    <x v="0"/>
    <x v="72"/>
    <x v="0"/>
    <x v="1"/>
    <x v="1"/>
  </r>
  <r>
    <x v="2197"/>
    <n v="70.69"/>
    <x v="1497"/>
    <x v="1365"/>
    <x v="129"/>
    <m/>
    <m/>
    <x v="6"/>
    <m/>
    <n v="1"/>
    <x v="6"/>
    <x v="0"/>
    <x v="72"/>
    <x v="0"/>
    <x v="0"/>
    <x v="1"/>
  </r>
  <r>
    <x v="2198"/>
    <n v="69.05"/>
    <x v="1498"/>
    <x v="1366"/>
    <x v="129"/>
    <m/>
    <m/>
    <x v="6"/>
    <m/>
    <n v="1"/>
    <x v="6"/>
    <x v="0"/>
    <x v="72"/>
    <x v="0"/>
    <x v="1"/>
    <x v="1"/>
  </r>
  <r>
    <x v="2199"/>
    <n v="70.430000000000007"/>
    <x v="1499"/>
    <x v="1367"/>
    <x v="152"/>
    <n v="3"/>
    <n v="-0.25769999999999998"/>
    <x v="6"/>
    <m/>
    <n v="1"/>
    <x v="6"/>
    <x v="0"/>
    <x v="72"/>
    <x v="0"/>
    <x v="1"/>
    <x v="2"/>
  </r>
  <r>
    <x v="2200"/>
    <n v="70.099999999999994"/>
    <x v="1500"/>
    <x v="1368"/>
    <x v="129"/>
    <m/>
    <m/>
    <x v="6"/>
    <m/>
    <n v="1"/>
    <x v="6"/>
    <x v="0"/>
    <x v="72"/>
    <x v="1"/>
    <x v="1"/>
    <x v="1"/>
  </r>
  <r>
    <x v="2201"/>
    <n v="70.099999999999994"/>
    <x v="3"/>
    <x v="3"/>
    <x v="129"/>
    <m/>
    <m/>
    <x v="6"/>
    <m/>
    <n v="0"/>
    <x v="6"/>
    <x v="0"/>
    <x v="72"/>
    <x v="1"/>
    <x v="2"/>
    <x v="1"/>
  </r>
  <r>
    <x v="2202"/>
    <n v="70.099999999999994"/>
    <x v="3"/>
    <x v="3"/>
    <x v="151"/>
    <n v="1"/>
    <n v="0"/>
    <x v="6"/>
    <m/>
    <n v="0"/>
    <x v="6"/>
    <x v="0"/>
    <x v="72"/>
    <x v="0"/>
    <x v="2"/>
    <x v="1"/>
  </r>
  <r>
    <x v="2203"/>
    <n v="70.540000000000006"/>
    <x v="1501"/>
    <x v="1369"/>
    <x v="129"/>
    <m/>
    <m/>
    <x v="6"/>
    <m/>
    <n v="1"/>
    <x v="6"/>
    <x v="0"/>
    <x v="72"/>
    <x v="0"/>
    <x v="0"/>
    <x v="1"/>
  </r>
  <r>
    <x v="2204"/>
    <n v="72.23"/>
    <x v="1502"/>
    <x v="1370"/>
    <x v="129"/>
    <m/>
    <m/>
    <x v="6"/>
    <m/>
    <n v="1"/>
    <x v="6"/>
    <x v="0"/>
    <x v="72"/>
    <x v="0"/>
    <x v="0"/>
    <x v="1"/>
  </r>
  <r>
    <x v="2205"/>
    <n v="72.16"/>
    <x v="1503"/>
    <x v="1371"/>
    <x v="129"/>
    <m/>
    <m/>
    <x v="6"/>
    <m/>
    <n v="1"/>
    <x v="6"/>
    <x v="0"/>
    <x v="72"/>
    <x v="0"/>
    <x v="0"/>
    <x v="1"/>
  </r>
  <r>
    <x v="2206"/>
    <n v="71.14"/>
    <x v="1504"/>
    <x v="792"/>
    <x v="129"/>
    <m/>
    <m/>
    <x v="6"/>
    <m/>
    <n v="1"/>
    <x v="6"/>
    <x v="0"/>
    <x v="72"/>
    <x v="0"/>
    <x v="1"/>
    <x v="1"/>
  </r>
  <r>
    <x v="2207"/>
    <n v="70.739999999999995"/>
    <x v="1505"/>
    <x v="1372"/>
    <x v="129"/>
    <m/>
    <m/>
    <x v="6"/>
    <m/>
    <n v="1"/>
    <x v="6"/>
    <x v="0"/>
    <x v="72"/>
    <x v="1"/>
    <x v="1"/>
    <x v="1"/>
  </r>
  <r>
    <x v="2208"/>
    <n v="70.739999999999995"/>
    <x v="3"/>
    <x v="3"/>
    <x v="151"/>
    <n v="1"/>
    <n v="-0.89070000000000005"/>
    <x v="6"/>
    <m/>
    <n v="0"/>
    <x v="6"/>
    <x v="0"/>
    <x v="72"/>
    <x v="1"/>
    <x v="2"/>
    <x v="2"/>
  </r>
  <r>
    <x v="2209"/>
    <n v="70.739999999999995"/>
    <x v="3"/>
    <x v="3"/>
    <x v="129"/>
    <m/>
    <m/>
    <x v="6"/>
    <m/>
    <n v="0"/>
    <x v="6"/>
    <x v="0"/>
    <x v="72"/>
    <x v="0"/>
    <x v="2"/>
    <x v="1"/>
  </r>
  <r>
    <x v="2210"/>
    <n v="70.930000000000007"/>
    <x v="1506"/>
    <x v="522"/>
    <x v="129"/>
    <m/>
    <m/>
    <x v="6"/>
    <m/>
    <n v="1"/>
    <x v="6"/>
    <x v="0"/>
    <x v="72"/>
    <x v="0"/>
    <x v="0"/>
    <x v="1"/>
  </r>
  <r>
    <x v="2211"/>
    <n v="70.61"/>
    <x v="1507"/>
    <x v="1373"/>
    <x v="129"/>
    <m/>
    <m/>
    <x v="6"/>
    <m/>
    <n v="1"/>
    <x v="6"/>
    <x v="1"/>
    <x v="73"/>
    <x v="0"/>
    <x v="1"/>
    <x v="1"/>
  </r>
  <r>
    <x v="2212"/>
    <n v="71.11"/>
    <x v="1508"/>
    <x v="801"/>
    <x v="129"/>
    <m/>
    <m/>
    <x v="6"/>
    <m/>
    <n v="1"/>
    <x v="6"/>
    <x v="1"/>
    <x v="73"/>
    <x v="0"/>
    <x v="0"/>
    <x v="1"/>
  </r>
  <r>
    <x v="2213"/>
    <n v="70.680000000000007"/>
    <x v="1509"/>
    <x v="1374"/>
    <x v="129"/>
    <m/>
    <m/>
    <x v="6"/>
    <m/>
    <n v="1"/>
    <x v="6"/>
    <x v="1"/>
    <x v="73"/>
    <x v="0"/>
    <x v="0"/>
    <x v="1"/>
  </r>
  <r>
    <x v="2214"/>
    <n v="71.97"/>
    <x v="1510"/>
    <x v="1375"/>
    <x v="151"/>
    <n v="1"/>
    <n v="-0.46379999999999999"/>
    <x v="6"/>
    <m/>
    <n v="1"/>
    <x v="6"/>
    <x v="1"/>
    <x v="73"/>
    <x v="1"/>
    <x v="0"/>
    <x v="2"/>
  </r>
  <r>
    <x v="2215"/>
    <n v="71.97"/>
    <x v="3"/>
    <x v="3"/>
    <x v="129"/>
    <m/>
    <m/>
    <x v="6"/>
    <m/>
    <n v="0"/>
    <x v="6"/>
    <x v="1"/>
    <x v="73"/>
    <x v="1"/>
    <x v="2"/>
    <x v="1"/>
  </r>
  <r>
    <x v="2216"/>
    <n v="71.97"/>
    <x v="3"/>
    <x v="3"/>
    <x v="151"/>
    <n v="1"/>
    <n v="0"/>
    <x v="6"/>
    <m/>
    <n v="0"/>
    <x v="6"/>
    <x v="1"/>
    <x v="73"/>
    <x v="0"/>
    <x v="2"/>
    <x v="1"/>
  </r>
  <r>
    <x v="2217"/>
    <n v="70.19"/>
    <x v="1511"/>
    <x v="1376"/>
    <x v="71"/>
    <n v="2.96"/>
    <n v="0.1065"/>
    <x v="6"/>
    <m/>
    <n v="1"/>
    <x v="6"/>
    <x v="1"/>
    <x v="73"/>
    <x v="0"/>
    <x v="1"/>
    <x v="0"/>
  </r>
  <r>
    <x v="2218"/>
    <n v="72.180000000000007"/>
    <x v="1512"/>
    <x v="1377"/>
    <x v="76"/>
    <n v="2.91"/>
    <n v="0.17399999999999999"/>
    <x v="6"/>
    <m/>
    <n v="1"/>
    <x v="6"/>
    <x v="1"/>
    <x v="73"/>
    <x v="0"/>
    <x v="0"/>
    <x v="0"/>
  </r>
  <r>
    <x v="2219"/>
    <n v="72.739999999999995"/>
    <x v="1513"/>
    <x v="1378"/>
    <x v="79"/>
    <n v="2.63"/>
    <n v="9.6600000000000005E-2"/>
    <x v="6"/>
    <m/>
    <n v="1"/>
    <x v="6"/>
    <x v="1"/>
    <x v="73"/>
    <x v="0"/>
    <x v="0"/>
    <x v="1"/>
  </r>
  <r>
    <x v="2220"/>
    <n v="73.03"/>
    <x v="1514"/>
    <x v="1379"/>
    <x v="66"/>
    <n v="3.17"/>
    <n v="0.21829999999999999"/>
    <x v="6"/>
    <m/>
    <n v="1"/>
    <x v="6"/>
    <x v="1"/>
    <x v="73"/>
    <x v="0"/>
    <x v="0"/>
    <x v="0"/>
  </r>
  <r>
    <x v="2221"/>
    <n v="72.28"/>
    <x v="1515"/>
    <x v="278"/>
    <x v="93"/>
    <n v="3.1"/>
    <n v="0.1794"/>
    <x v="6"/>
    <m/>
    <n v="1"/>
    <x v="6"/>
    <x v="1"/>
    <x v="73"/>
    <x v="1"/>
    <x v="1"/>
    <x v="0"/>
  </r>
  <r>
    <x v="2222"/>
    <n v="72.28"/>
    <x v="3"/>
    <x v="3"/>
    <x v="72"/>
    <n v="2.98"/>
    <n v="0.1711"/>
    <x v="6"/>
    <m/>
    <n v="0"/>
    <x v="6"/>
    <x v="1"/>
    <x v="73"/>
    <x v="1"/>
    <x v="2"/>
    <x v="0"/>
  </r>
  <r>
    <x v="2223"/>
    <n v="72.28"/>
    <x v="3"/>
    <x v="3"/>
    <x v="101"/>
    <n v="2.97"/>
    <n v="0.12139999999999999"/>
    <x v="6"/>
    <m/>
    <n v="0"/>
    <x v="6"/>
    <x v="1"/>
    <x v="73"/>
    <x v="0"/>
    <x v="2"/>
    <x v="0"/>
  </r>
  <r>
    <x v="2224"/>
    <n v="71.3"/>
    <x v="1516"/>
    <x v="1380"/>
    <x v="62"/>
    <n v="3.2"/>
    <n v="0.19520000000000001"/>
    <x v="6"/>
    <m/>
    <n v="1"/>
    <x v="6"/>
    <x v="1"/>
    <x v="73"/>
    <x v="0"/>
    <x v="1"/>
    <x v="0"/>
  </r>
  <r>
    <x v="2225"/>
    <n v="70.599999999999994"/>
    <x v="1517"/>
    <x v="1381"/>
    <x v="85"/>
    <n v="3.1"/>
    <n v="0.1996"/>
    <x v="6"/>
    <m/>
    <n v="1"/>
    <x v="6"/>
    <x v="1"/>
    <x v="73"/>
    <x v="0"/>
    <x v="1"/>
    <x v="0"/>
  </r>
  <r>
    <x v="2226"/>
    <n v="70.2"/>
    <x v="1518"/>
    <x v="45"/>
    <x v="73"/>
    <n v="3.01"/>
    <n v="0.13189999999999999"/>
    <x v="6"/>
    <m/>
    <n v="1"/>
    <x v="6"/>
    <x v="1"/>
    <x v="73"/>
    <x v="0"/>
    <x v="1"/>
    <x v="0"/>
  </r>
  <r>
    <x v="2227"/>
    <n v="68.760000000000005"/>
    <x v="1519"/>
    <x v="1382"/>
    <x v="52"/>
    <n v="3.01"/>
    <n v="0.17599999999999999"/>
    <x v="6"/>
    <m/>
    <n v="1"/>
    <x v="6"/>
    <x v="1"/>
    <x v="73"/>
    <x v="0"/>
    <x v="1"/>
    <x v="0"/>
  </r>
  <r>
    <x v="2228"/>
    <n v="76.39"/>
    <x v="1520"/>
    <x v="375"/>
    <x v="84"/>
    <n v="3.32"/>
    <n v="0.17380000000000001"/>
    <x v="6"/>
    <m/>
    <n v="1"/>
    <x v="6"/>
    <x v="1"/>
    <x v="73"/>
    <x v="1"/>
    <x v="0"/>
    <x v="0"/>
  </r>
  <r>
    <x v="2229"/>
    <n v="76.39"/>
    <x v="3"/>
    <x v="3"/>
    <x v="98"/>
    <n v="3.04"/>
    <n v="0.16689999999999999"/>
    <x v="6"/>
    <m/>
    <n v="0"/>
    <x v="6"/>
    <x v="1"/>
    <x v="73"/>
    <x v="1"/>
    <x v="2"/>
    <x v="0"/>
  </r>
  <r>
    <x v="2230"/>
    <n v="76.39"/>
    <x v="3"/>
    <x v="3"/>
    <x v="75"/>
    <n v="2.68"/>
    <n v="0.16739999999999999"/>
    <x v="6"/>
    <m/>
    <n v="0"/>
    <x v="6"/>
    <x v="1"/>
    <x v="73"/>
    <x v="0"/>
    <x v="2"/>
    <x v="0"/>
  </r>
  <r>
    <x v="2231"/>
    <n v="77.209999999999994"/>
    <x v="1521"/>
    <x v="1383"/>
    <x v="68"/>
    <n v="2.98"/>
    <n v="0.1321"/>
    <x v="6"/>
    <m/>
    <n v="1"/>
    <x v="6"/>
    <x v="1"/>
    <x v="73"/>
    <x v="0"/>
    <x v="0"/>
    <x v="0"/>
  </r>
  <r>
    <x v="2232"/>
    <n v="76.42"/>
    <x v="1522"/>
    <x v="1384"/>
    <x v="73"/>
    <n v="2.4"/>
    <n v="7.3499999999999996E-2"/>
    <x v="6"/>
    <m/>
    <n v="1"/>
    <x v="6"/>
    <x v="1"/>
    <x v="73"/>
    <x v="0"/>
    <x v="1"/>
    <x v="1"/>
  </r>
  <r>
    <x v="2233"/>
    <n v="74.930000000000007"/>
    <x v="1523"/>
    <x v="1385"/>
    <x v="30"/>
    <n v="2.9"/>
    <n v="0.13109999999999999"/>
    <x v="6"/>
    <m/>
    <n v="1"/>
    <x v="6"/>
    <x v="1"/>
    <x v="73"/>
    <x v="0"/>
    <x v="1"/>
    <x v="0"/>
  </r>
  <r>
    <x v="2234"/>
    <n v="75.459999999999994"/>
    <x v="1524"/>
    <x v="1386"/>
    <x v="59"/>
    <n v="3.19"/>
    <n v="0.2596"/>
    <x v="6"/>
    <m/>
    <n v="1"/>
    <x v="6"/>
    <x v="1"/>
    <x v="73"/>
    <x v="0"/>
    <x v="0"/>
    <x v="0"/>
  </r>
  <r>
    <x v="2235"/>
    <n v="75.47"/>
    <x v="1525"/>
    <x v="1387"/>
    <x v="73"/>
    <n v="3.42"/>
    <n v="0.12559999999999999"/>
    <x v="6"/>
    <m/>
    <n v="1"/>
    <x v="6"/>
    <x v="1"/>
    <x v="73"/>
    <x v="1"/>
    <x v="1"/>
    <x v="0"/>
  </r>
  <r>
    <x v="2236"/>
    <n v="75.47"/>
    <x v="3"/>
    <x v="3"/>
    <x v="29"/>
    <n v="3.08"/>
    <n v="0.1168"/>
    <x v="6"/>
    <m/>
    <n v="0"/>
    <x v="6"/>
    <x v="1"/>
    <x v="73"/>
    <x v="1"/>
    <x v="2"/>
    <x v="0"/>
  </r>
  <r>
    <x v="2237"/>
    <n v="75.47"/>
    <x v="3"/>
    <x v="3"/>
    <x v="88"/>
    <n v="3.06"/>
    <n v="8.7400000000000005E-2"/>
    <x v="6"/>
    <m/>
    <n v="0"/>
    <x v="6"/>
    <x v="1"/>
    <x v="73"/>
    <x v="0"/>
    <x v="2"/>
    <x v="1"/>
  </r>
  <r>
    <x v="2238"/>
    <n v="74.91"/>
    <x v="1526"/>
    <x v="235"/>
    <x v="97"/>
    <n v="2.93"/>
    <n v="7.0000000000000007E-2"/>
    <x v="6"/>
    <m/>
    <n v="1"/>
    <x v="6"/>
    <x v="1"/>
    <x v="73"/>
    <x v="0"/>
    <x v="1"/>
    <x v="1"/>
  </r>
  <r>
    <x v="2239"/>
    <n v="75.94"/>
    <x v="1527"/>
    <x v="1388"/>
    <x v="29"/>
    <n v="3.37"/>
    <n v="0.15459999999999999"/>
    <x v="6"/>
    <m/>
    <n v="1"/>
    <x v="6"/>
    <x v="1"/>
    <x v="73"/>
    <x v="0"/>
    <x v="0"/>
    <x v="0"/>
  </r>
  <r>
    <x v="2240"/>
    <n v="75.37"/>
    <x v="1528"/>
    <x v="1389"/>
    <x v="73"/>
    <n v="3.05"/>
    <n v="0.14219999999999999"/>
    <x v="6"/>
    <m/>
    <n v="1"/>
    <x v="6"/>
    <x v="1"/>
    <x v="73"/>
    <x v="0"/>
    <x v="1"/>
    <x v="0"/>
  </r>
  <r>
    <x v="2241"/>
    <n v="75.599999999999994"/>
    <x v="1529"/>
    <x v="1390"/>
    <x v="84"/>
    <n v="3.26"/>
    <n v="0.20330000000000001"/>
    <x v="6"/>
    <m/>
    <n v="1"/>
    <x v="6"/>
    <x v="1"/>
    <x v="73"/>
    <x v="0"/>
    <x v="0"/>
    <x v="0"/>
  </r>
  <r>
    <x v="2242"/>
    <n v="75.61"/>
    <x v="1530"/>
    <x v="1391"/>
    <x v="94"/>
    <n v="3.01"/>
    <n v="0.15859999999999999"/>
    <x v="6"/>
    <m/>
    <n v="1"/>
    <x v="6"/>
    <x v="2"/>
    <x v="74"/>
    <x v="1"/>
    <x v="0"/>
    <x v="0"/>
  </r>
  <r>
    <x v="2243"/>
    <n v="75.61"/>
    <x v="3"/>
    <x v="3"/>
    <x v="29"/>
    <n v="3"/>
    <n v="0.1885"/>
    <x v="6"/>
    <m/>
    <n v="0"/>
    <x v="6"/>
    <x v="2"/>
    <x v="74"/>
    <x v="1"/>
    <x v="2"/>
    <x v="0"/>
  </r>
  <r>
    <x v="2244"/>
    <n v="75.61"/>
    <x v="3"/>
    <x v="3"/>
    <x v="79"/>
    <n v="2.98"/>
    <n v="0.1076"/>
    <x v="6"/>
    <m/>
    <n v="0"/>
    <x v="6"/>
    <x v="2"/>
    <x v="74"/>
    <x v="0"/>
    <x v="2"/>
    <x v="0"/>
  </r>
  <r>
    <x v="2245"/>
    <n v="75.55"/>
    <x v="1531"/>
    <x v="414"/>
    <x v="49"/>
    <n v="2.7"/>
    <n v="8.0100000000000005E-2"/>
    <x v="6"/>
    <m/>
    <n v="1"/>
    <x v="6"/>
    <x v="2"/>
    <x v="74"/>
    <x v="0"/>
    <x v="0"/>
    <x v="1"/>
  </r>
  <r>
    <x v="2246"/>
    <n v="76.39"/>
    <x v="1532"/>
    <x v="1392"/>
    <x v="74"/>
    <n v="2.8"/>
    <n v="9.69E-2"/>
    <x v="6"/>
    <m/>
    <n v="1"/>
    <x v="6"/>
    <x v="2"/>
    <x v="74"/>
    <x v="0"/>
    <x v="0"/>
    <x v="1"/>
  </r>
  <r>
    <x v="2247"/>
    <n v="78.02"/>
    <x v="1533"/>
    <x v="640"/>
    <x v="53"/>
    <n v="3.23"/>
    <n v="0.1754"/>
    <x v="6"/>
    <m/>
    <n v="1"/>
    <x v="6"/>
    <x v="2"/>
    <x v="74"/>
    <x v="0"/>
    <x v="0"/>
    <x v="0"/>
  </r>
  <r>
    <x v="2248"/>
    <n v="79.650000000000006"/>
    <x v="1534"/>
    <x v="1393"/>
    <x v="94"/>
    <n v="2.69"/>
    <n v="0.1081"/>
    <x v="6"/>
    <m/>
    <n v="1"/>
    <x v="6"/>
    <x v="2"/>
    <x v="74"/>
    <x v="0"/>
    <x v="0"/>
    <x v="0"/>
  </r>
  <r>
    <x v="2249"/>
    <n v="79.5"/>
    <x v="1535"/>
    <x v="1394"/>
    <x v="86"/>
    <n v="2.92"/>
    <n v="0.1489"/>
    <x v="6"/>
    <m/>
    <n v="1"/>
    <x v="6"/>
    <x v="2"/>
    <x v="74"/>
    <x v="1"/>
    <x v="1"/>
    <x v="0"/>
  </r>
  <r>
    <x v="2250"/>
    <n v="79.5"/>
    <x v="3"/>
    <x v="3"/>
    <x v="71"/>
    <n v="2.8"/>
    <n v="7.0499999999999993E-2"/>
    <x v="6"/>
    <m/>
    <n v="0"/>
    <x v="6"/>
    <x v="2"/>
    <x v="74"/>
    <x v="1"/>
    <x v="2"/>
    <x v="1"/>
  </r>
  <r>
    <x v="2251"/>
    <n v="79.5"/>
    <x v="3"/>
    <x v="3"/>
    <x v="29"/>
    <n v="3.21"/>
    <n v="0.1711"/>
    <x v="6"/>
    <m/>
    <n v="0"/>
    <x v="6"/>
    <x v="2"/>
    <x v="74"/>
    <x v="0"/>
    <x v="2"/>
    <x v="0"/>
  </r>
  <r>
    <x v="2252"/>
    <n v="80.540000000000006"/>
    <x v="1536"/>
    <x v="1395"/>
    <x v="54"/>
    <n v="2.9"/>
    <n v="9.2299999999999993E-2"/>
    <x v="6"/>
    <m/>
    <n v="1"/>
    <x v="6"/>
    <x v="2"/>
    <x v="74"/>
    <x v="0"/>
    <x v="0"/>
    <x v="1"/>
  </r>
  <r>
    <x v="2253"/>
    <n v="81.95"/>
    <x v="1537"/>
    <x v="1319"/>
    <x v="22"/>
    <n v="2.65"/>
    <n v="2.0400000000000001E-2"/>
    <x v="6"/>
    <m/>
    <n v="1"/>
    <x v="6"/>
    <x v="2"/>
    <x v="74"/>
    <x v="0"/>
    <x v="0"/>
    <x v="1"/>
  </r>
  <r>
    <x v="2254"/>
    <n v="83.05"/>
    <x v="1538"/>
    <x v="1396"/>
    <x v="24"/>
    <n v="3"/>
    <n v="5.7299999999999997E-2"/>
    <x v="6"/>
    <m/>
    <n v="1"/>
    <x v="6"/>
    <x v="2"/>
    <x v="74"/>
    <x v="0"/>
    <x v="0"/>
    <x v="1"/>
  </r>
  <r>
    <x v="2255"/>
    <n v="83.73"/>
    <x v="1539"/>
    <x v="1397"/>
    <x v="49"/>
    <n v="2.8"/>
    <n v="0.1331"/>
    <x v="6"/>
    <m/>
    <n v="1"/>
    <x v="6"/>
    <x v="2"/>
    <x v="74"/>
    <x v="0"/>
    <x v="0"/>
    <x v="0"/>
  </r>
  <r>
    <x v="2256"/>
    <n v="82.4"/>
    <x v="1540"/>
    <x v="1398"/>
    <x v="102"/>
    <n v="2.44"/>
    <n v="2.1899999999999999E-2"/>
    <x v="6"/>
    <m/>
    <n v="1"/>
    <x v="6"/>
    <x v="2"/>
    <x v="74"/>
    <x v="1"/>
    <x v="1"/>
    <x v="1"/>
  </r>
  <r>
    <x v="2257"/>
    <n v="82.4"/>
    <x v="3"/>
    <x v="3"/>
    <x v="157"/>
    <n v="1"/>
    <n v="-0.21340000000000001"/>
    <x v="6"/>
    <m/>
    <n v="0"/>
    <x v="6"/>
    <x v="2"/>
    <x v="74"/>
    <x v="1"/>
    <x v="2"/>
    <x v="2"/>
  </r>
  <r>
    <x v="2258"/>
    <n v="82.4"/>
    <x v="3"/>
    <x v="3"/>
    <x v="150"/>
    <n v="3"/>
    <n v="-0.22020000000000001"/>
    <x v="6"/>
    <m/>
    <n v="0"/>
    <x v="6"/>
    <x v="2"/>
    <x v="74"/>
    <x v="0"/>
    <x v="2"/>
    <x v="2"/>
  </r>
  <r>
    <x v="2259"/>
    <n v="84.71"/>
    <x v="1541"/>
    <x v="1399"/>
    <x v="129"/>
    <m/>
    <m/>
    <x v="6"/>
    <m/>
    <n v="1"/>
    <x v="6"/>
    <x v="2"/>
    <x v="74"/>
    <x v="0"/>
    <x v="0"/>
    <x v="1"/>
  </r>
  <r>
    <x v="2260"/>
    <n v="87.13"/>
    <x v="1542"/>
    <x v="1400"/>
    <x v="48"/>
    <n v="2.5099999999999998"/>
    <n v="3.4700000000000002E-2"/>
    <x v="6"/>
    <m/>
    <n v="1"/>
    <x v="6"/>
    <x v="2"/>
    <x v="74"/>
    <x v="0"/>
    <x v="0"/>
    <x v="1"/>
  </r>
  <r>
    <x v="2261"/>
    <n v="88.39"/>
    <x v="1543"/>
    <x v="1401"/>
    <x v="24"/>
    <n v="2.79"/>
    <n v="6.2899999999999998E-2"/>
    <x v="6"/>
    <m/>
    <n v="1"/>
    <x v="6"/>
    <x v="2"/>
    <x v="74"/>
    <x v="0"/>
    <x v="0"/>
    <x v="1"/>
  </r>
  <r>
    <x v="2262"/>
    <n v="89.75"/>
    <x v="1544"/>
    <x v="1233"/>
    <x v="8"/>
    <n v="2.88"/>
    <n v="0.115"/>
    <x v="6"/>
    <m/>
    <n v="1"/>
    <x v="6"/>
    <x v="2"/>
    <x v="74"/>
    <x v="0"/>
    <x v="0"/>
    <x v="0"/>
  </r>
  <r>
    <x v="2263"/>
    <n v="89.78"/>
    <x v="1545"/>
    <x v="1402"/>
    <x v="49"/>
    <n v="3.11"/>
    <n v="2.41E-2"/>
    <x v="6"/>
    <m/>
    <n v="1"/>
    <x v="6"/>
    <x v="2"/>
    <x v="74"/>
    <x v="1"/>
    <x v="0"/>
    <x v="1"/>
  </r>
  <r>
    <x v="2264"/>
    <n v="89.78"/>
    <x v="3"/>
    <x v="3"/>
    <x v="21"/>
    <n v="2.8"/>
    <n v="0.14940000000000001"/>
    <x v="6"/>
    <m/>
    <n v="0"/>
    <x v="6"/>
    <x v="2"/>
    <x v="74"/>
    <x v="1"/>
    <x v="2"/>
    <x v="0"/>
  </r>
  <r>
    <x v="2265"/>
    <n v="89.78"/>
    <x v="3"/>
    <x v="3"/>
    <x v="53"/>
    <n v="2.64"/>
    <n v="0.1236"/>
    <x v="6"/>
    <m/>
    <n v="0"/>
    <x v="6"/>
    <x v="2"/>
    <x v="74"/>
    <x v="0"/>
    <x v="2"/>
    <x v="0"/>
  </r>
  <r>
    <x v="2266"/>
    <n v="86.56"/>
    <x v="1546"/>
    <x v="1403"/>
    <x v="45"/>
    <n v="2.75"/>
    <n v="0.20849999999999999"/>
    <x v="6"/>
    <m/>
    <n v="1"/>
    <x v="6"/>
    <x v="2"/>
    <x v="74"/>
    <x v="0"/>
    <x v="1"/>
    <x v="0"/>
  </r>
  <r>
    <x v="2267"/>
    <n v="87.26"/>
    <x v="1547"/>
    <x v="1404"/>
    <x v="44"/>
    <n v="3.38"/>
    <n v="0.14610000000000001"/>
    <x v="6"/>
    <m/>
    <n v="1"/>
    <x v="6"/>
    <x v="2"/>
    <x v="74"/>
    <x v="0"/>
    <x v="0"/>
    <x v="0"/>
  </r>
  <r>
    <x v="2268"/>
    <n v="87.73"/>
    <x v="1548"/>
    <x v="1405"/>
    <x v="88"/>
    <n v="3.02"/>
    <n v="6.59E-2"/>
    <x v="6"/>
    <m/>
    <n v="1"/>
    <x v="6"/>
    <x v="2"/>
    <x v="74"/>
    <x v="1"/>
    <x v="0"/>
    <x v="1"/>
  </r>
  <r>
    <x v="2269"/>
    <n v="87.73"/>
    <x v="3"/>
    <x v="3"/>
    <x v="75"/>
    <n v="3.45"/>
    <n v="0.22459999999999999"/>
    <x v="6"/>
    <m/>
    <n v="0"/>
    <x v="6"/>
    <x v="2"/>
    <x v="74"/>
    <x v="0"/>
    <x v="2"/>
    <x v="0"/>
  </r>
  <r>
    <x v="2270"/>
    <n v="88.68"/>
    <x v="1549"/>
    <x v="1406"/>
    <x v="86"/>
    <n v="3.08"/>
    <n v="0.1178"/>
    <x v="6"/>
    <m/>
    <n v="1"/>
    <x v="6"/>
    <x v="2"/>
    <x v="74"/>
    <x v="1"/>
    <x v="0"/>
    <x v="0"/>
  </r>
  <r>
    <x v="2271"/>
    <n v="88.68"/>
    <x v="3"/>
    <x v="3"/>
    <x v="83"/>
    <n v="3.48"/>
    <n v="0.1963"/>
    <x v="6"/>
    <m/>
    <n v="0"/>
    <x v="6"/>
    <x v="2"/>
    <x v="74"/>
    <x v="1"/>
    <x v="2"/>
    <x v="0"/>
  </r>
  <r>
    <x v="2272"/>
    <n v="88.68"/>
    <x v="3"/>
    <x v="3"/>
    <x v="101"/>
    <n v="3.13"/>
    <n v="0.14149999999999999"/>
    <x v="6"/>
    <m/>
    <n v="0"/>
    <x v="6"/>
    <x v="3"/>
    <x v="75"/>
    <x v="0"/>
    <x v="2"/>
    <x v="0"/>
  </r>
  <r>
    <x v="2273"/>
    <n v="89.77"/>
    <x v="1550"/>
    <x v="193"/>
    <x v="97"/>
    <n v="2.88"/>
    <n v="0.11"/>
    <x v="6"/>
    <m/>
    <n v="1"/>
    <x v="6"/>
    <x v="3"/>
    <x v="75"/>
    <x v="0"/>
    <x v="0"/>
    <x v="0"/>
  </r>
  <r>
    <x v="2274"/>
    <n v="90.22"/>
    <x v="1551"/>
    <x v="1177"/>
    <x v="82"/>
    <n v="3.21"/>
    <n v="0.16239999999999999"/>
    <x v="6"/>
    <m/>
    <n v="1"/>
    <x v="6"/>
    <x v="3"/>
    <x v="75"/>
    <x v="0"/>
    <x v="0"/>
    <x v="0"/>
  </r>
  <r>
    <x v="2275"/>
    <n v="91.11"/>
    <x v="1552"/>
    <x v="1407"/>
    <x v="77"/>
    <n v="2.66"/>
    <n v="9.0200000000000002E-2"/>
    <x v="6"/>
    <m/>
    <n v="1"/>
    <x v="6"/>
    <x v="3"/>
    <x v="75"/>
    <x v="0"/>
    <x v="0"/>
    <x v="1"/>
  </r>
  <r>
    <x v="2276"/>
    <n v="91.79"/>
    <x v="1553"/>
    <x v="1408"/>
    <x v="89"/>
    <n v="2.99"/>
    <n v="0.15"/>
    <x v="6"/>
    <m/>
    <n v="1"/>
    <x v="6"/>
    <x v="3"/>
    <x v="75"/>
    <x v="0"/>
    <x v="0"/>
    <x v="0"/>
  </r>
  <r>
    <x v="2277"/>
    <n v="93.47"/>
    <x v="1554"/>
    <x v="1409"/>
    <x v="77"/>
    <n v="3.19"/>
    <n v="0.22520000000000001"/>
    <x v="6"/>
    <m/>
    <n v="1"/>
    <x v="6"/>
    <x v="3"/>
    <x v="75"/>
    <x v="1"/>
    <x v="0"/>
    <x v="0"/>
  </r>
  <r>
    <x v="2278"/>
    <n v="93.47"/>
    <x v="3"/>
    <x v="3"/>
    <x v="156"/>
    <n v="3.07"/>
    <n v="0.20230000000000001"/>
    <x v="6"/>
    <m/>
    <n v="0"/>
    <x v="6"/>
    <x v="3"/>
    <x v="75"/>
    <x v="1"/>
    <x v="2"/>
    <x v="0"/>
  </r>
  <r>
    <x v="2279"/>
    <n v="93.47"/>
    <x v="3"/>
    <x v="3"/>
    <x v="80"/>
    <n v="3.08"/>
    <n v="0.13350000000000001"/>
    <x v="6"/>
    <m/>
    <n v="0"/>
    <x v="6"/>
    <x v="3"/>
    <x v="75"/>
    <x v="0"/>
    <x v="2"/>
    <x v="0"/>
  </r>
  <r>
    <x v="2280"/>
    <n v="91.37"/>
    <x v="1555"/>
    <x v="1410"/>
    <x v="79"/>
    <n v="2.75"/>
    <n v="0.12820000000000001"/>
    <x v="6"/>
    <m/>
    <n v="1"/>
    <x v="6"/>
    <x v="3"/>
    <x v="75"/>
    <x v="0"/>
    <x v="1"/>
    <x v="0"/>
  </r>
  <r>
    <x v="2281"/>
    <n v="91.33"/>
    <x v="1556"/>
    <x v="1411"/>
    <x v="69"/>
    <n v="3.12"/>
    <n v="0.16919999999999999"/>
    <x v="6"/>
    <m/>
    <n v="1"/>
    <x v="6"/>
    <x v="3"/>
    <x v="75"/>
    <x v="0"/>
    <x v="1"/>
    <x v="0"/>
  </r>
  <r>
    <x v="2282"/>
    <n v="93.66"/>
    <x v="1557"/>
    <x v="1412"/>
    <x v="97"/>
    <n v="3"/>
    <n v="6.6500000000000004E-2"/>
    <x v="6"/>
    <m/>
    <n v="1"/>
    <x v="6"/>
    <x v="3"/>
    <x v="75"/>
    <x v="0"/>
    <x v="0"/>
    <x v="1"/>
  </r>
  <r>
    <x v="2283"/>
    <n v="92.56"/>
    <x v="1558"/>
    <x v="475"/>
    <x v="70"/>
    <n v="3.56"/>
    <n v="0.21390000000000001"/>
    <x v="6"/>
    <m/>
    <n v="1"/>
    <x v="6"/>
    <x v="3"/>
    <x v="75"/>
    <x v="0"/>
    <x v="1"/>
    <x v="0"/>
  </r>
  <r>
    <x v="2284"/>
    <n v="91.89"/>
    <x v="1559"/>
    <x v="1413"/>
    <x v="62"/>
    <n v="2.94"/>
    <n v="0.14860000000000001"/>
    <x v="6"/>
    <m/>
    <n v="1"/>
    <x v="6"/>
    <x v="3"/>
    <x v="75"/>
    <x v="1"/>
    <x v="0"/>
    <x v="0"/>
  </r>
  <r>
    <x v="2285"/>
    <n v="91.89"/>
    <x v="3"/>
    <x v="3"/>
    <x v="72"/>
    <n v="3.14"/>
    <n v="0.2334"/>
    <x v="6"/>
    <m/>
    <n v="0"/>
    <x v="6"/>
    <x v="3"/>
    <x v="75"/>
    <x v="1"/>
    <x v="2"/>
    <x v="0"/>
  </r>
  <r>
    <x v="2286"/>
    <n v="91.89"/>
    <x v="3"/>
    <x v="3"/>
    <x v="56"/>
    <n v="3.3"/>
    <n v="0.1308"/>
    <x v="6"/>
    <m/>
    <n v="0"/>
    <x v="6"/>
    <x v="3"/>
    <x v="75"/>
    <x v="0"/>
    <x v="2"/>
    <x v="0"/>
  </r>
  <r>
    <x v="2287"/>
    <n v="92.11"/>
    <x v="1560"/>
    <x v="1414"/>
    <x v="77"/>
    <n v="3.12"/>
    <n v="0.17810000000000001"/>
    <x v="6"/>
    <m/>
    <n v="1"/>
    <x v="6"/>
    <x v="3"/>
    <x v="75"/>
    <x v="0"/>
    <x v="1"/>
    <x v="0"/>
  </r>
  <r>
    <x v="2288"/>
    <n v="91.91"/>
    <x v="1561"/>
    <x v="1415"/>
    <x v="98"/>
    <n v="3.15"/>
    <n v="0.1449"/>
    <x v="6"/>
    <m/>
    <n v="1"/>
    <x v="6"/>
    <x v="3"/>
    <x v="75"/>
    <x v="0"/>
    <x v="1"/>
    <x v="0"/>
  </r>
  <r>
    <x v="2289"/>
    <n v="88.96"/>
    <x v="1562"/>
    <x v="362"/>
    <x v="79"/>
    <n v="3.34"/>
    <n v="0.1673"/>
    <x v="6"/>
    <m/>
    <n v="1"/>
    <x v="6"/>
    <x v="3"/>
    <x v="75"/>
    <x v="0"/>
    <x v="1"/>
    <x v="0"/>
  </r>
  <r>
    <x v="2290"/>
    <n v="90.2"/>
    <x v="1563"/>
    <x v="288"/>
    <x v="63"/>
    <n v="2.84"/>
    <n v="0.15759999999999999"/>
    <x v="6"/>
    <m/>
    <n v="1"/>
    <x v="6"/>
    <x v="3"/>
    <x v="75"/>
    <x v="0"/>
    <x v="1"/>
    <x v="0"/>
  </r>
  <r>
    <x v="2291"/>
    <n v="90.9"/>
    <x v="1564"/>
    <x v="1416"/>
    <x v="154"/>
    <n v="3.45"/>
    <n v="0.253"/>
    <x v="6"/>
    <m/>
    <n v="1"/>
    <x v="6"/>
    <x v="3"/>
    <x v="75"/>
    <x v="1"/>
    <x v="0"/>
    <x v="0"/>
  </r>
  <r>
    <x v="2292"/>
    <n v="90.9"/>
    <x v="3"/>
    <x v="3"/>
    <x v="76"/>
    <n v="3.39"/>
    <n v="0.1822"/>
    <x v="6"/>
    <m/>
    <n v="0"/>
    <x v="6"/>
    <x v="3"/>
    <x v="75"/>
    <x v="1"/>
    <x v="2"/>
    <x v="0"/>
  </r>
  <r>
    <x v="2293"/>
    <n v="90.9"/>
    <x v="3"/>
    <x v="3"/>
    <x v="114"/>
    <n v="3.14"/>
    <n v="0.18459999999999999"/>
    <x v="6"/>
    <m/>
    <n v="0"/>
    <x v="6"/>
    <x v="3"/>
    <x v="75"/>
    <x v="0"/>
    <x v="2"/>
    <x v="0"/>
  </r>
  <r>
    <x v="2294"/>
    <n v="91.14"/>
    <x v="1565"/>
    <x v="10"/>
    <x v="82"/>
    <n v="3.18"/>
    <n v="0.1484"/>
    <x v="6"/>
    <m/>
    <n v="1"/>
    <x v="6"/>
    <x v="3"/>
    <x v="75"/>
    <x v="0"/>
    <x v="1"/>
    <x v="0"/>
  </r>
  <r>
    <x v="2295"/>
    <n v="93.21"/>
    <x v="1566"/>
    <x v="1417"/>
    <x v="77"/>
    <n v="3.27"/>
    <n v="0.19289999999999999"/>
    <x v="6"/>
    <m/>
    <n v="1"/>
    <x v="6"/>
    <x v="3"/>
    <x v="75"/>
    <x v="1"/>
    <x v="0"/>
    <x v="0"/>
  </r>
  <r>
    <x v="2296"/>
    <n v="93.21"/>
    <x v="3"/>
    <x v="3"/>
    <x v="55"/>
    <n v="3.31"/>
    <n v="0.1651"/>
    <x v="6"/>
    <m/>
    <n v="0"/>
    <x v="6"/>
    <x v="3"/>
    <x v="75"/>
    <x v="0"/>
    <x v="2"/>
    <x v="0"/>
  </r>
  <r>
    <x v="2297"/>
    <n v="92.41"/>
    <x v="1567"/>
    <x v="1418"/>
    <x v="90"/>
    <n v="2.97"/>
    <n v="7.4300000000000005E-2"/>
    <x v="6"/>
    <m/>
    <n v="1"/>
    <x v="6"/>
    <x v="3"/>
    <x v="75"/>
    <x v="0"/>
    <x v="1"/>
    <x v="1"/>
  </r>
  <r>
    <x v="2298"/>
    <n v="90.75"/>
    <x v="1568"/>
    <x v="1419"/>
    <x v="113"/>
    <n v="2.89"/>
    <n v="9.1899999999999996E-2"/>
    <x v="6"/>
    <m/>
    <n v="1"/>
    <x v="6"/>
    <x v="3"/>
    <x v="75"/>
    <x v="1"/>
    <x v="1"/>
    <x v="1"/>
  </r>
  <r>
    <x v="2299"/>
    <n v="90.75"/>
    <x v="3"/>
    <x v="3"/>
    <x v="116"/>
    <n v="2.79"/>
    <n v="0.15260000000000001"/>
    <x v="6"/>
    <m/>
    <n v="0"/>
    <x v="6"/>
    <x v="3"/>
    <x v="75"/>
    <x v="1"/>
    <x v="2"/>
    <x v="0"/>
  </r>
  <r>
    <x v="2300"/>
    <n v="90.75"/>
    <x v="3"/>
    <x v="3"/>
    <x v="158"/>
    <n v="2.9"/>
    <n v="0.1055"/>
    <x v="6"/>
    <m/>
    <n v="0"/>
    <x v="6"/>
    <x v="3"/>
    <x v="75"/>
    <x v="0"/>
    <x v="2"/>
    <x v="0"/>
  </r>
  <r>
    <x v="2301"/>
    <n v="90.04"/>
    <x v="1569"/>
    <x v="1420"/>
    <x v="159"/>
    <n v="3.36"/>
    <n v="0.1268"/>
    <x v="6"/>
    <m/>
    <n v="1"/>
    <x v="6"/>
    <x v="3"/>
    <x v="75"/>
    <x v="0"/>
    <x v="0"/>
    <x v="0"/>
  </r>
  <r>
    <x v="2302"/>
    <n v="89.13"/>
    <x v="1570"/>
    <x v="320"/>
    <x v="72"/>
    <n v="3.34"/>
    <n v="0.17080000000000001"/>
    <x v="6"/>
    <m/>
    <n v="1"/>
    <x v="6"/>
    <x v="3"/>
    <x v="75"/>
    <x v="1"/>
    <x v="1"/>
    <x v="0"/>
  </r>
  <r>
    <x v="2303"/>
    <n v="89.13"/>
    <x v="3"/>
    <x v="3"/>
    <x v="85"/>
    <n v="2.89"/>
    <n v="0.16239999999999999"/>
    <x v="6"/>
    <m/>
    <n v="0"/>
    <x v="7"/>
    <x v="4"/>
    <x v="76"/>
    <x v="0"/>
    <x v="2"/>
    <x v="0"/>
  </r>
  <r>
    <x v="2304"/>
    <n v="88.67"/>
    <x v="1571"/>
    <x v="1421"/>
    <x v="109"/>
    <n v="2.83"/>
    <n v="0.12740000000000001"/>
    <x v="6"/>
    <m/>
    <n v="1"/>
    <x v="7"/>
    <x v="4"/>
    <x v="76"/>
    <x v="0"/>
    <x v="1"/>
    <x v="0"/>
  </r>
  <r>
    <x v="2305"/>
    <n v="88.11"/>
    <x v="1572"/>
    <x v="1422"/>
    <x v="83"/>
    <n v="3.04"/>
    <n v="0.1593"/>
    <x v="6"/>
    <m/>
    <n v="1"/>
    <x v="7"/>
    <x v="4"/>
    <x v="76"/>
    <x v="1"/>
    <x v="1"/>
    <x v="0"/>
  </r>
  <r>
    <x v="2306"/>
    <n v="88.11"/>
    <x v="3"/>
    <x v="3"/>
    <x v="136"/>
    <n v="2.92"/>
    <n v="0.15409999999999999"/>
    <x v="6"/>
    <m/>
    <n v="0"/>
    <x v="7"/>
    <x v="4"/>
    <x v="76"/>
    <x v="1"/>
    <x v="2"/>
    <x v="0"/>
  </r>
  <r>
    <x v="2307"/>
    <n v="88.11"/>
    <x v="3"/>
    <x v="3"/>
    <x v="160"/>
    <n v="2.85"/>
    <n v="0.15709999999999999"/>
    <x v="6"/>
    <m/>
    <n v="0"/>
    <x v="7"/>
    <x v="4"/>
    <x v="76"/>
    <x v="0"/>
    <x v="2"/>
    <x v="0"/>
  </r>
  <r>
    <x v="2308"/>
    <n v="88.18"/>
    <x v="1573"/>
    <x v="1423"/>
    <x v="141"/>
    <n v="2.99"/>
    <n v="0.1235"/>
    <x v="6"/>
    <m/>
    <n v="1"/>
    <x v="7"/>
    <x v="4"/>
    <x v="76"/>
    <x v="0"/>
    <x v="1"/>
    <x v="0"/>
  </r>
  <r>
    <x v="2309"/>
    <n v="87.92"/>
    <x v="1574"/>
    <x v="1424"/>
    <x v="95"/>
    <n v="2.82"/>
    <n v="0.1704"/>
    <x v="6"/>
    <m/>
    <n v="1"/>
    <x v="7"/>
    <x v="4"/>
    <x v="76"/>
    <x v="0"/>
    <x v="1"/>
    <x v="0"/>
  </r>
  <r>
    <x v="2310"/>
    <n v="87.5"/>
    <x v="1575"/>
    <x v="1425"/>
    <x v="159"/>
    <n v="3.25"/>
    <n v="0.14269999999999999"/>
    <x v="6"/>
    <m/>
    <n v="1"/>
    <x v="7"/>
    <x v="4"/>
    <x v="76"/>
    <x v="1"/>
    <x v="1"/>
    <x v="0"/>
  </r>
  <r>
    <x v="2311"/>
    <n v="87.5"/>
    <x v="3"/>
    <x v="3"/>
    <x v="161"/>
    <n v="3.5"/>
    <n v="0.2089"/>
    <x v="6"/>
    <m/>
    <n v="0"/>
    <x v="7"/>
    <x v="4"/>
    <x v="76"/>
    <x v="0"/>
    <x v="2"/>
    <x v="0"/>
  </r>
  <r>
    <x v="2312"/>
    <n v="83.77"/>
    <x v="1576"/>
    <x v="1426"/>
    <x v="69"/>
    <n v="3.12"/>
    <n v="0.18210000000000001"/>
    <x v="6"/>
    <m/>
    <n v="1"/>
    <x v="7"/>
    <x v="4"/>
    <x v="76"/>
    <x v="1"/>
    <x v="1"/>
    <x v="0"/>
  </r>
  <r>
    <x v="2313"/>
    <n v="83.77"/>
    <x v="3"/>
    <x v="3"/>
    <x v="142"/>
    <n v="3.24"/>
    <n v="0.2056"/>
    <x v="6"/>
    <m/>
    <n v="0"/>
    <x v="7"/>
    <x v="4"/>
    <x v="76"/>
    <x v="1"/>
    <x v="2"/>
    <x v="0"/>
  </r>
  <r>
    <x v="2314"/>
    <n v="83.77"/>
    <x v="3"/>
    <x v="3"/>
    <x v="153"/>
    <n v="3.41"/>
    <n v="0.1623"/>
    <x v="6"/>
    <m/>
    <n v="0"/>
    <x v="7"/>
    <x v="4"/>
    <x v="76"/>
    <x v="0"/>
    <x v="2"/>
    <x v="0"/>
  </r>
  <r>
    <x v="2315"/>
    <n v="84.03"/>
    <x v="1577"/>
    <x v="1427"/>
    <x v="162"/>
    <n v="3.38"/>
    <n v="0.18529999999999999"/>
    <x v="6"/>
    <m/>
    <n v="1"/>
    <x v="7"/>
    <x v="4"/>
    <x v="76"/>
    <x v="0"/>
    <x v="0"/>
    <x v="0"/>
  </r>
  <r>
    <x v="2316"/>
    <n v="82.84"/>
    <x v="1578"/>
    <x v="1428"/>
    <x v="101"/>
    <n v="3.21"/>
    <n v="0.1565"/>
    <x v="6"/>
    <m/>
    <n v="1"/>
    <x v="7"/>
    <x v="4"/>
    <x v="76"/>
    <x v="0"/>
    <x v="1"/>
    <x v="0"/>
  </r>
  <r>
    <x v="2317"/>
    <n v="84.83"/>
    <x v="1579"/>
    <x v="1429"/>
    <x v="83"/>
    <n v="2.77"/>
    <n v="0.1002"/>
    <x v="6"/>
    <m/>
    <n v="1"/>
    <x v="7"/>
    <x v="4"/>
    <x v="76"/>
    <x v="0"/>
    <x v="0"/>
    <x v="0"/>
  </r>
  <r>
    <x v="2318"/>
    <n v="84.24"/>
    <x v="1580"/>
    <x v="1430"/>
    <x v="158"/>
    <n v="3.27"/>
    <n v="0.20200000000000001"/>
    <x v="6"/>
    <m/>
    <n v="1"/>
    <x v="7"/>
    <x v="4"/>
    <x v="76"/>
    <x v="0"/>
    <x v="1"/>
    <x v="0"/>
  </r>
  <r>
    <x v="2319"/>
    <n v="85.81"/>
    <x v="1294"/>
    <x v="1387"/>
    <x v="122"/>
    <n v="2.88"/>
    <n v="0.16650000000000001"/>
    <x v="6"/>
    <m/>
    <n v="1"/>
    <x v="7"/>
    <x v="4"/>
    <x v="76"/>
    <x v="1"/>
    <x v="1"/>
    <x v="0"/>
  </r>
  <r>
    <x v="2320"/>
    <n v="85.81"/>
    <x v="3"/>
    <x v="3"/>
    <x v="163"/>
    <n v="3.25"/>
    <n v="0.1673"/>
    <x v="6"/>
    <m/>
    <n v="0"/>
    <x v="7"/>
    <x v="4"/>
    <x v="76"/>
    <x v="1"/>
    <x v="2"/>
    <x v="0"/>
  </r>
  <r>
    <x v="2321"/>
    <n v="85.81"/>
    <x v="3"/>
    <x v="3"/>
    <x v="120"/>
    <n v="2.98"/>
    <n v="0.14319999999999999"/>
    <x v="6"/>
    <m/>
    <n v="0"/>
    <x v="7"/>
    <x v="4"/>
    <x v="76"/>
    <x v="1"/>
    <x v="2"/>
    <x v="0"/>
  </r>
  <r>
    <x v="2322"/>
    <n v="85.81"/>
    <x v="3"/>
    <x v="3"/>
    <x v="72"/>
    <n v="2.99"/>
    <n v="0.17230000000000001"/>
    <x v="6"/>
    <m/>
    <n v="0"/>
    <x v="7"/>
    <x v="4"/>
    <x v="76"/>
    <x v="0"/>
    <x v="2"/>
    <x v="0"/>
  </r>
  <r>
    <x v="2323"/>
    <n v="86.97"/>
    <x v="1581"/>
    <x v="1431"/>
    <x v="164"/>
    <n v="2.79"/>
    <n v="0.1198"/>
    <x v="6"/>
    <m/>
    <n v="1"/>
    <x v="7"/>
    <x v="4"/>
    <x v="76"/>
    <x v="0"/>
    <x v="0"/>
    <x v="0"/>
  </r>
  <r>
    <x v="2324"/>
    <n v="95.4"/>
    <x v="1582"/>
    <x v="1432"/>
    <x v="165"/>
    <n v="2.61"/>
    <n v="9.5299999999999996E-2"/>
    <x v="6"/>
    <m/>
    <n v="1"/>
    <x v="7"/>
    <x v="4"/>
    <x v="76"/>
    <x v="0"/>
    <x v="1"/>
    <x v="1"/>
  </r>
  <r>
    <x v="2325"/>
    <n v="98.49"/>
    <x v="1583"/>
    <x v="1433"/>
    <x v="153"/>
    <n v="3.2"/>
    <n v="0.20849999999999999"/>
    <x v="6"/>
    <m/>
    <n v="1"/>
    <x v="7"/>
    <x v="4"/>
    <x v="76"/>
    <x v="0"/>
    <x v="0"/>
    <x v="0"/>
  </r>
  <r>
    <x v="2326"/>
    <n v="97.76"/>
    <x v="1584"/>
    <x v="1434"/>
    <x v="98"/>
    <n v="3.02"/>
    <n v="0.1333"/>
    <x v="6"/>
    <m/>
    <n v="1"/>
    <x v="7"/>
    <x v="4"/>
    <x v="76"/>
    <x v="1"/>
    <x v="1"/>
    <x v="0"/>
  </r>
  <r>
    <x v="2327"/>
    <n v="97.76"/>
    <x v="3"/>
    <x v="3"/>
    <x v="98"/>
    <n v="2.92"/>
    <n v="0.1013"/>
    <x v="6"/>
    <m/>
    <n v="0"/>
    <x v="7"/>
    <x v="4"/>
    <x v="76"/>
    <x v="1"/>
    <x v="2"/>
    <x v="0"/>
  </r>
  <r>
    <x v="2328"/>
    <n v="97.76"/>
    <x v="3"/>
    <x v="3"/>
    <x v="64"/>
    <n v="3.46"/>
    <n v="0.27600000000000002"/>
    <x v="6"/>
    <m/>
    <n v="0"/>
    <x v="7"/>
    <x v="4"/>
    <x v="76"/>
    <x v="0"/>
    <x v="2"/>
    <x v="0"/>
  </r>
  <r>
    <x v="2329"/>
    <n v="97.19"/>
    <x v="1585"/>
    <x v="1435"/>
    <x v="77"/>
    <n v="3.29"/>
    <n v="0.223"/>
    <x v="6"/>
    <m/>
    <n v="1"/>
    <x v="7"/>
    <x v="4"/>
    <x v="76"/>
    <x v="0"/>
    <x v="0"/>
    <x v="0"/>
  </r>
  <r>
    <x v="2330"/>
    <n v="97.18"/>
    <x v="1586"/>
    <x v="1436"/>
    <x v="88"/>
    <n v="2.86"/>
    <n v="6.3299999999999995E-2"/>
    <x v="6"/>
    <m/>
    <n v="1"/>
    <x v="7"/>
    <x v="4"/>
    <x v="76"/>
    <x v="0"/>
    <x v="0"/>
    <x v="1"/>
  </r>
  <r>
    <x v="2331"/>
    <n v="97.82"/>
    <x v="1587"/>
    <x v="783"/>
    <x v="75"/>
    <n v="3"/>
    <n v="0.1011"/>
    <x v="6"/>
    <m/>
    <n v="1"/>
    <x v="7"/>
    <x v="4"/>
    <x v="76"/>
    <x v="0"/>
    <x v="1"/>
    <x v="0"/>
  </r>
  <r>
    <x v="2332"/>
    <n v="97.32"/>
    <x v="1588"/>
    <x v="816"/>
    <x v="87"/>
    <n v="3.1"/>
    <n v="0.24740000000000001"/>
    <x v="6"/>
    <m/>
    <n v="1"/>
    <x v="7"/>
    <x v="4"/>
    <x v="76"/>
    <x v="0"/>
    <x v="1"/>
    <x v="0"/>
  </r>
  <r>
    <x v="2333"/>
    <n v="97.68"/>
    <x v="1589"/>
    <x v="1437"/>
    <x v="70"/>
    <n v="3.06"/>
    <n v="0.1595"/>
    <x v="6"/>
    <m/>
    <n v="1"/>
    <x v="7"/>
    <x v="4"/>
    <x v="76"/>
    <x v="1"/>
    <x v="0"/>
    <x v="0"/>
  </r>
  <r>
    <x v="2334"/>
    <n v="97.68"/>
    <x v="3"/>
    <x v="3"/>
    <x v="109"/>
    <n v="3.1"/>
    <n v="0.1638"/>
    <x v="6"/>
    <m/>
    <n v="0"/>
    <x v="7"/>
    <x v="5"/>
    <x v="77"/>
    <x v="1"/>
    <x v="2"/>
    <x v="0"/>
  </r>
  <r>
    <x v="2335"/>
    <n v="97.68"/>
    <x v="3"/>
    <x v="3"/>
    <x v="64"/>
    <n v="3.04"/>
    <n v="0.1396"/>
    <x v="6"/>
    <m/>
    <n v="0"/>
    <x v="7"/>
    <x v="5"/>
    <x v="77"/>
    <x v="0"/>
    <x v="2"/>
    <x v="0"/>
  </r>
  <r>
    <x v="2336"/>
    <n v="97.89"/>
    <x v="1590"/>
    <x v="1438"/>
    <x v="68"/>
    <n v="3.18"/>
    <n v="0.17860000000000001"/>
    <x v="6"/>
    <m/>
    <n v="1"/>
    <x v="7"/>
    <x v="5"/>
    <x v="77"/>
    <x v="0"/>
    <x v="0"/>
    <x v="0"/>
  </r>
  <r>
    <x v="2337"/>
    <n v="99.49"/>
    <x v="1591"/>
    <x v="1439"/>
    <x v="98"/>
    <n v="3.21"/>
    <n v="0.16209999999999999"/>
    <x v="6"/>
    <m/>
    <n v="1"/>
    <x v="7"/>
    <x v="5"/>
    <x v="77"/>
    <x v="0"/>
    <x v="0"/>
    <x v="0"/>
  </r>
  <r>
    <x v="2338"/>
    <n v="101.11"/>
    <x v="1592"/>
    <x v="1440"/>
    <x v="77"/>
    <n v="3.1"/>
    <n v="0.20760000000000001"/>
    <x v="6"/>
    <m/>
    <n v="1"/>
    <x v="7"/>
    <x v="5"/>
    <x v="77"/>
    <x v="0"/>
    <x v="0"/>
    <x v="0"/>
  </r>
  <r>
    <x v="2339"/>
    <n v="101.57"/>
    <x v="1593"/>
    <x v="1441"/>
    <x v="89"/>
    <n v="3.16"/>
    <n v="0.186"/>
    <x v="6"/>
    <m/>
    <n v="1"/>
    <x v="7"/>
    <x v="5"/>
    <x v="77"/>
    <x v="0"/>
    <x v="0"/>
    <x v="0"/>
  </r>
  <r>
    <x v="2340"/>
    <n v="101.39"/>
    <x v="1594"/>
    <x v="1442"/>
    <x v="113"/>
    <n v="3.18"/>
    <n v="0.1263"/>
    <x v="6"/>
    <m/>
    <n v="1"/>
    <x v="7"/>
    <x v="5"/>
    <x v="77"/>
    <x v="1"/>
    <x v="1"/>
    <x v="0"/>
  </r>
  <r>
    <x v="2341"/>
    <n v="101.39"/>
    <x v="3"/>
    <x v="3"/>
    <x v="67"/>
    <n v="3.12"/>
    <n v="0.15210000000000001"/>
    <x v="6"/>
    <m/>
    <n v="0"/>
    <x v="7"/>
    <x v="5"/>
    <x v="77"/>
    <x v="1"/>
    <x v="2"/>
    <x v="0"/>
  </r>
  <r>
    <x v="2342"/>
    <n v="101.39"/>
    <x v="3"/>
    <x v="3"/>
    <x v="161"/>
    <n v="3.04"/>
    <n v="0.12280000000000001"/>
    <x v="6"/>
    <m/>
    <n v="0"/>
    <x v="7"/>
    <x v="5"/>
    <x v="77"/>
    <x v="0"/>
    <x v="2"/>
    <x v="0"/>
  </r>
  <r>
    <x v="2343"/>
    <n v="102.76"/>
    <x v="1595"/>
    <x v="1078"/>
    <x v="70"/>
    <n v="3.35"/>
    <n v="0.19339999999999999"/>
    <x v="6"/>
    <m/>
    <n v="1"/>
    <x v="7"/>
    <x v="5"/>
    <x v="77"/>
    <x v="0"/>
    <x v="0"/>
    <x v="0"/>
  </r>
  <r>
    <x v="2344"/>
    <n v="100.81"/>
    <x v="1596"/>
    <x v="40"/>
    <x v="65"/>
    <n v="3.12"/>
    <n v="0.19889999999999999"/>
    <x v="6"/>
    <m/>
    <n v="1"/>
    <x v="7"/>
    <x v="5"/>
    <x v="77"/>
    <x v="0"/>
    <x v="1"/>
    <x v="0"/>
  </r>
  <r>
    <x v="2345"/>
    <n v="102.73"/>
    <x v="1597"/>
    <x v="1443"/>
    <x v="66"/>
    <n v="3.53"/>
    <n v="0.25940000000000002"/>
    <x v="6"/>
    <m/>
    <n v="1"/>
    <x v="7"/>
    <x v="5"/>
    <x v="77"/>
    <x v="0"/>
    <x v="0"/>
    <x v="0"/>
  </r>
  <r>
    <x v="2346"/>
    <n v="104.37"/>
    <x v="1598"/>
    <x v="1444"/>
    <x v="97"/>
    <n v="3.1"/>
    <n v="0.19270000000000001"/>
    <x v="6"/>
    <m/>
    <n v="1"/>
    <x v="7"/>
    <x v="5"/>
    <x v="77"/>
    <x v="0"/>
    <x v="0"/>
    <x v="0"/>
  </r>
  <r>
    <x v="2347"/>
    <n v="105.86"/>
    <x v="1599"/>
    <x v="1445"/>
    <x v="81"/>
    <n v="3.02"/>
    <n v="0.2233"/>
    <x v="6"/>
    <m/>
    <n v="1"/>
    <x v="7"/>
    <x v="5"/>
    <x v="77"/>
    <x v="1"/>
    <x v="0"/>
    <x v="0"/>
  </r>
  <r>
    <x v="2348"/>
    <n v="105.86"/>
    <x v="3"/>
    <x v="3"/>
    <x v="166"/>
    <n v="3.14"/>
    <n v="0.2354"/>
    <x v="6"/>
    <m/>
    <n v="0"/>
    <x v="7"/>
    <x v="5"/>
    <x v="77"/>
    <x v="1"/>
    <x v="2"/>
    <x v="0"/>
  </r>
  <r>
    <x v="2349"/>
    <n v="105.86"/>
    <x v="3"/>
    <x v="3"/>
    <x v="90"/>
    <n v="3.34"/>
    <n v="0.1691"/>
    <x v="6"/>
    <m/>
    <n v="0"/>
    <x v="7"/>
    <x v="5"/>
    <x v="77"/>
    <x v="1"/>
    <x v="2"/>
    <x v="0"/>
  </r>
  <r>
    <x v="2350"/>
    <n v="105.86"/>
    <x v="3"/>
    <x v="3"/>
    <x v="46"/>
    <n v="3.21"/>
    <n v="0.18609999999999999"/>
    <x v="6"/>
    <m/>
    <n v="0"/>
    <x v="7"/>
    <x v="5"/>
    <x v="77"/>
    <x v="0"/>
    <x v="2"/>
    <x v="0"/>
  </r>
  <r>
    <x v="2351"/>
    <n v="103.58"/>
    <x v="1600"/>
    <x v="1446"/>
    <x v="57"/>
    <n v="2.76"/>
    <n v="0.20860000000000001"/>
    <x v="6"/>
    <m/>
    <n v="1"/>
    <x v="7"/>
    <x v="5"/>
    <x v="77"/>
    <x v="0"/>
    <x v="1"/>
    <x v="0"/>
  </r>
  <r>
    <x v="2352"/>
    <n v="104.33"/>
    <x v="1601"/>
    <x v="1258"/>
    <x v="88"/>
    <n v="3.09"/>
    <n v="0.1222"/>
    <x v="6"/>
    <m/>
    <n v="1"/>
    <x v="7"/>
    <x v="5"/>
    <x v="77"/>
    <x v="0"/>
    <x v="0"/>
    <x v="0"/>
  </r>
  <r>
    <x v="2353"/>
    <n v="102.45"/>
    <x v="1602"/>
    <x v="1447"/>
    <x v="52"/>
    <n v="3.16"/>
    <n v="0.24690000000000001"/>
    <x v="6"/>
    <m/>
    <n v="1"/>
    <x v="7"/>
    <x v="5"/>
    <x v="77"/>
    <x v="0"/>
    <x v="1"/>
    <x v="0"/>
  </r>
  <r>
    <x v="2354"/>
    <n v="100.32"/>
    <x v="1603"/>
    <x v="1448"/>
    <x v="71"/>
    <n v="3.13"/>
    <n v="0.18090000000000001"/>
    <x v="6"/>
    <m/>
    <n v="1"/>
    <x v="7"/>
    <x v="5"/>
    <x v="77"/>
    <x v="1"/>
    <x v="1"/>
    <x v="0"/>
  </r>
  <r>
    <x v="2355"/>
    <n v="100.32"/>
    <x v="3"/>
    <x v="3"/>
    <x v="68"/>
    <n v="3.18"/>
    <n v="0.26379999999999998"/>
    <x v="6"/>
    <m/>
    <n v="0"/>
    <x v="7"/>
    <x v="5"/>
    <x v="77"/>
    <x v="1"/>
    <x v="2"/>
    <x v="0"/>
  </r>
  <r>
    <x v="2356"/>
    <n v="100.32"/>
    <x v="3"/>
    <x v="3"/>
    <x v="82"/>
    <n v="3.27"/>
    <n v="0.1148"/>
    <x v="6"/>
    <m/>
    <n v="0"/>
    <x v="7"/>
    <x v="5"/>
    <x v="77"/>
    <x v="0"/>
    <x v="2"/>
    <x v="0"/>
  </r>
  <r>
    <x v="2357"/>
    <n v="98.85"/>
    <x v="1604"/>
    <x v="1449"/>
    <x v="25"/>
    <n v="3.19"/>
    <n v="0.24210000000000001"/>
    <x v="6"/>
    <m/>
    <n v="1"/>
    <x v="7"/>
    <x v="5"/>
    <x v="77"/>
    <x v="0"/>
    <x v="1"/>
    <x v="0"/>
  </r>
  <r>
    <x v="2358"/>
    <n v="97.72"/>
    <x v="1605"/>
    <x v="1450"/>
    <x v="70"/>
    <n v="2.9"/>
    <n v="0.12180000000000001"/>
    <x v="6"/>
    <m/>
    <n v="1"/>
    <x v="7"/>
    <x v="5"/>
    <x v="77"/>
    <x v="0"/>
    <x v="1"/>
    <x v="0"/>
  </r>
  <r>
    <x v="2359"/>
    <n v="99.01"/>
    <x v="1606"/>
    <x v="1451"/>
    <x v="46"/>
    <n v="3.26"/>
    <n v="0.21959999999999999"/>
    <x v="6"/>
    <m/>
    <n v="1"/>
    <x v="7"/>
    <x v="5"/>
    <x v="77"/>
    <x v="0"/>
    <x v="0"/>
    <x v="0"/>
  </r>
  <r>
    <x v="2360"/>
    <n v="96.31"/>
    <x v="1607"/>
    <x v="1452"/>
    <x v="68"/>
    <n v="3.31"/>
    <n v="0.1661"/>
    <x v="6"/>
    <m/>
    <n v="1"/>
    <x v="7"/>
    <x v="5"/>
    <x v="77"/>
    <x v="0"/>
    <x v="1"/>
    <x v="0"/>
  </r>
  <r>
    <x v="2361"/>
    <n v="98.06"/>
    <x v="1608"/>
    <x v="580"/>
    <x v="81"/>
    <n v="3.13"/>
    <n v="0.19089999999999999"/>
    <x v="6"/>
    <m/>
    <n v="1"/>
    <x v="7"/>
    <x v="5"/>
    <x v="77"/>
    <x v="1"/>
    <x v="0"/>
    <x v="0"/>
  </r>
  <r>
    <x v="2362"/>
    <n v="98.06"/>
    <x v="3"/>
    <x v="3"/>
    <x v="67"/>
    <n v="3.25"/>
    <n v="0.15820000000000001"/>
    <x v="6"/>
    <m/>
    <n v="0"/>
    <x v="7"/>
    <x v="6"/>
    <x v="78"/>
    <x v="1"/>
    <x v="2"/>
    <x v="0"/>
  </r>
  <r>
    <x v="2363"/>
    <n v="98.06"/>
    <x v="3"/>
    <x v="3"/>
    <x v="87"/>
    <n v="3.02"/>
    <n v="0.18290000000000001"/>
    <x v="6"/>
    <m/>
    <n v="0"/>
    <x v="7"/>
    <x v="6"/>
    <x v="78"/>
    <x v="0"/>
    <x v="2"/>
    <x v="0"/>
  </r>
  <r>
    <x v="2364"/>
    <n v="97.37"/>
    <x v="1609"/>
    <x v="1453"/>
    <x v="74"/>
    <n v="3.13"/>
    <n v="0.20530000000000001"/>
    <x v="6"/>
    <m/>
    <n v="1"/>
    <x v="7"/>
    <x v="6"/>
    <x v="78"/>
    <x v="0"/>
    <x v="1"/>
    <x v="0"/>
  </r>
  <r>
    <x v="2365"/>
    <n v="97.26"/>
    <x v="1610"/>
    <x v="1454"/>
    <x v="30"/>
    <n v="2.85"/>
    <n v="0.18310000000000001"/>
    <x v="6"/>
    <m/>
    <n v="1"/>
    <x v="7"/>
    <x v="6"/>
    <x v="78"/>
    <x v="0"/>
    <x v="0"/>
    <x v="0"/>
  </r>
  <r>
    <x v="2366"/>
    <n v="99.09"/>
    <x v="1611"/>
    <x v="1455"/>
    <x v="73"/>
    <n v="3.07"/>
    <n v="6.8900000000000003E-2"/>
    <x v="6"/>
    <m/>
    <n v="1"/>
    <x v="7"/>
    <x v="6"/>
    <x v="78"/>
    <x v="0"/>
    <x v="0"/>
    <x v="1"/>
  </r>
  <r>
    <x v="2367"/>
    <n v="90.64"/>
    <x v="1612"/>
    <x v="1456"/>
    <x v="70"/>
    <n v="3.16"/>
    <n v="0.20169999999999999"/>
    <x v="6"/>
    <m/>
    <n v="1"/>
    <x v="7"/>
    <x v="6"/>
    <x v="78"/>
    <x v="0"/>
    <x v="1"/>
    <x v="0"/>
  </r>
  <r>
    <x v="2368"/>
    <n v="89.11"/>
    <x v="1613"/>
    <x v="624"/>
    <x v="84"/>
    <n v="3.11"/>
    <n v="0.1789"/>
    <x v="6"/>
    <m/>
    <n v="1"/>
    <x v="7"/>
    <x v="6"/>
    <x v="78"/>
    <x v="1"/>
    <x v="1"/>
    <x v="0"/>
  </r>
  <r>
    <x v="2369"/>
    <n v="89.11"/>
    <x v="3"/>
    <x v="3"/>
    <x v="69"/>
    <n v="3.35"/>
    <n v="0.25309999999999999"/>
    <x v="6"/>
    <m/>
    <n v="0"/>
    <x v="7"/>
    <x v="6"/>
    <x v="78"/>
    <x v="1"/>
    <x v="2"/>
    <x v="0"/>
  </r>
  <r>
    <x v="2370"/>
    <n v="89.11"/>
    <x v="3"/>
    <x v="3"/>
    <x v="92"/>
    <n v="3.41"/>
    <n v="0.20899999999999999"/>
    <x v="6"/>
    <m/>
    <n v="0"/>
    <x v="7"/>
    <x v="6"/>
    <x v="78"/>
    <x v="0"/>
    <x v="2"/>
    <x v="0"/>
  </r>
  <r>
    <x v="2371"/>
    <n v="86.67"/>
    <x v="1614"/>
    <x v="1457"/>
    <x v="53"/>
    <n v="3.01"/>
    <n v="0.1095"/>
    <x v="6"/>
    <m/>
    <n v="1"/>
    <x v="7"/>
    <x v="6"/>
    <x v="78"/>
    <x v="0"/>
    <x v="1"/>
    <x v="0"/>
  </r>
  <r>
    <x v="2372"/>
    <n v="89.51"/>
    <x v="1615"/>
    <x v="1458"/>
    <x v="73"/>
    <n v="2.98"/>
    <n v="0.15479999999999999"/>
    <x v="6"/>
    <m/>
    <n v="1"/>
    <x v="7"/>
    <x v="6"/>
    <x v="78"/>
    <x v="0"/>
    <x v="0"/>
    <x v="0"/>
  </r>
  <r>
    <x v="2373"/>
    <n v="91.97"/>
    <x v="1616"/>
    <x v="1075"/>
    <x v="62"/>
    <n v="3.3"/>
    <n v="0.2107"/>
    <x v="6"/>
    <m/>
    <n v="1"/>
    <x v="7"/>
    <x v="6"/>
    <x v="78"/>
    <x v="0"/>
    <x v="0"/>
    <x v="0"/>
  </r>
  <r>
    <x v="2374"/>
    <n v="89.02"/>
    <x v="1617"/>
    <x v="1459"/>
    <x v="57"/>
    <n v="3.53"/>
    <n v="0.25230000000000002"/>
    <x v="6"/>
    <m/>
    <n v="1"/>
    <x v="7"/>
    <x v="6"/>
    <x v="78"/>
    <x v="0"/>
    <x v="1"/>
    <x v="0"/>
  </r>
  <r>
    <x v="2375"/>
    <n v="91.8"/>
    <x v="1618"/>
    <x v="1460"/>
    <x v="53"/>
    <n v="3.12"/>
    <n v="0.17580000000000001"/>
    <x v="6"/>
    <m/>
    <n v="1"/>
    <x v="7"/>
    <x v="6"/>
    <x v="78"/>
    <x v="1"/>
    <x v="0"/>
    <x v="0"/>
  </r>
  <r>
    <x v="2376"/>
    <n v="91.8"/>
    <x v="3"/>
    <x v="3"/>
    <x v="69"/>
    <n v="3.16"/>
    <n v="0.16350000000000001"/>
    <x v="6"/>
    <m/>
    <n v="0"/>
    <x v="7"/>
    <x v="6"/>
    <x v="78"/>
    <x v="1"/>
    <x v="2"/>
    <x v="0"/>
  </r>
  <r>
    <x v="2377"/>
    <n v="91.8"/>
    <x v="3"/>
    <x v="3"/>
    <x v="81"/>
    <n v="3.14"/>
    <n v="0.1825"/>
    <x v="6"/>
    <m/>
    <n v="0"/>
    <x v="7"/>
    <x v="6"/>
    <x v="78"/>
    <x v="0"/>
    <x v="2"/>
    <x v="0"/>
  </r>
  <r>
    <x v="2378"/>
    <n v="95"/>
    <x v="1619"/>
    <x v="1461"/>
    <x v="21"/>
    <n v="3.39"/>
    <n v="0.20039999999999999"/>
    <x v="6"/>
    <m/>
    <n v="1"/>
    <x v="7"/>
    <x v="6"/>
    <x v="78"/>
    <x v="0"/>
    <x v="0"/>
    <x v="0"/>
  </r>
  <r>
    <x v="2379"/>
    <n v="93"/>
    <x v="1620"/>
    <x v="831"/>
    <x v="24"/>
    <n v="2.75"/>
    <n v="0.1893"/>
    <x v="6"/>
    <m/>
    <n v="1"/>
    <x v="7"/>
    <x v="6"/>
    <x v="78"/>
    <x v="0"/>
    <x v="1"/>
    <x v="0"/>
  </r>
  <r>
    <x v="2380"/>
    <n v="95.95"/>
    <x v="1621"/>
    <x v="1462"/>
    <x v="57"/>
    <n v="3.05"/>
    <n v="0.2009"/>
    <x v="6"/>
    <m/>
    <n v="1"/>
    <x v="7"/>
    <x v="6"/>
    <x v="78"/>
    <x v="0"/>
    <x v="0"/>
    <x v="0"/>
  </r>
  <r>
    <x v="2381"/>
    <n v="95.08"/>
    <x v="1622"/>
    <x v="921"/>
    <x v="129"/>
    <m/>
    <m/>
    <x v="6"/>
    <m/>
    <n v="1"/>
    <x v="7"/>
    <x v="6"/>
    <x v="78"/>
    <x v="0"/>
    <x v="0"/>
    <x v="1"/>
  </r>
  <r>
    <x v="2382"/>
    <n v="96.03"/>
    <x v="1623"/>
    <x v="1463"/>
    <x v="93"/>
    <n v="2.86"/>
    <n v="0.10829999999999999"/>
    <x v="6"/>
    <m/>
    <n v="1"/>
    <x v="7"/>
    <x v="6"/>
    <x v="78"/>
    <x v="1"/>
    <x v="0"/>
    <x v="0"/>
  </r>
  <r>
    <x v="2383"/>
    <n v="96.03"/>
    <x v="3"/>
    <x v="3"/>
    <x v="87"/>
    <n v="2.92"/>
    <n v="0.16520000000000001"/>
    <x v="6"/>
    <m/>
    <n v="0"/>
    <x v="7"/>
    <x v="6"/>
    <x v="78"/>
    <x v="1"/>
    <x v="2"/>
    <x v="0"/>
  </r>
  <r>
    <x v="2384"/>
    <n v="96.03"/>
    <x v="3"/>
    <x v="3"/>
    <x v="52"/>
    <n v="3.06"/>
    <n v="0.19689999999999999"/>
    <x v="6"/>
    <m/>
    <n v="0"/>
    <x v="7"/>
    <x v="6"/>
    <x v="78"/>
    <x v="0"/>
    <x v="2"/>
    <x v="0"/>
  </r>
  <r>
    <x v="2385"/>
    <n v="97.2"/>
    <x v="1624"/>
    <x v="1464"/>
    <x v="52"/>
    <n v="3.15"/>
    <n v="0.21779999999999999"/>
    <x v="6"/>
    <m/>
    <n v="1"/>
    <x v="7"/>
    <x v="6"/>
    <x v="78"/>
    <x v="0"/>
    <x v="0"/>
    <x v="0"/>
  </r>
  <r>
    <x v="2386"/>
    <n v="99.73"/>
    <x v="1625"/>
    <x v="1465"/>
    <x v="68"/>
    <n v="2.67"/>
    <n v="7.4499999999999997E-2"/>
    <x v="6"/>
    <m/>
    <n v="1"/>
    <x v="7"/>
    <x v="6"/>
    <x v="78"/>
    <x v="0"/>
    <x v="0"/>
    <x v="1"/>
  </r>
  <r>
    <x v="2387"/>
    <n v="97.07"/>
    <x v="1626"/>
    <x v="1466"/>
    <x v="65"/>
    <n v="3.23"/>
    <n v="0.16589999999999999"/>
    <x v="6"/>
    <m/>
    <n v="1"/>
    <x v="7"/>
    <x v="6"/>
    <x v="78"/>
    <x v="0"/>
    <x v="1"/>
    <x v="0"/>
  </r>
  <r>
    <x v="2388"/>
    <n v="97.67"/>
    <x v="1627"/>
    <x v="1467"/>
    <x v="45"/>
    <n v="3.19"/>
    <n v="0.1414"/>
    <x v="6"/>
    <m/>
    <n v="1"/>
    <x v="7"/>
    <x v="6"/>
    <x v="78"/>
    <x v="0"/>
    <x v="0"/>
    <x v="0"/>
  </r>
  <r>
    <x v="2389"/>
    <n v="93.39"/>
    <x v="1628"/>
    <x v="1468"/>
    <x v="60"/>
    <n v="3.55"/>
    <n v="0.25180000000000002"/>
    <x v="6"/>
    <m/>
    <n v="1"/>
    <x v="7"/>
    <x v="6"/>
    <x v="78"/>
    <x v="1"/>
    <x v="1"/>
    <x v="0"/>
  </r>
  <r>
    <x v="2390"/>
    <n v="93.39"/>
    <x v="3"/>
    <x v="3"/>
    <x v="24"/>
    <n v="2.76"/>
    <n v="0.17169999999999999"/>
    <x v="6"/>
    <m/>
    <n v="0"/>
    <x v="7"/>
    <x v="6"/>
    <x v="78"/>
    <x v="1"/>
    <x v="2"/>
    <x v="0"/>
  </r>
  <r>
    <x v="2391"/>
    <n v="93.39"/>
    <x v="3"/>
    <x v="3"/>
    <x v="84"/>
    <n v="2.96"/>
    <n v="0.24590000000000001"/>
    <x v="6"/>
    <m/>
    <n v="0"/>
    <x v="7"/>
    <x v="6"/>
    <x v="78"/>
    <x v="0"/>
    <x v="2"/>
    <x v="0"/>
  </r>
  <r>
    <x v="2392"/>
    <n v="93.25"/>
    <x v="515"/>
    <x v="306"/>
    <x v="45"/>
    <n v="2.84"/>
    <n v="0.16370000000000001"/>
    <x v="6"/>
    <m/>
    <n v="1"/>
    <x v="7"/>
    <x v="6"/>
    <x v="78"/>
    <x v="0"/>
    <x v="0"/>
    <x v="0"/>
  </r>
  <r>
    <x v="2393"/>
    <n v="92.84"/>
    <x v="1629"/>
    <x v="1469"/>
    <x v="46"/>
    <n v="3.45"/>
    <n v="0.17960000000000001"/>
    <x v="6"/>
    <m/>
    <n v="1"/>
    <x v="7"/>
    <x v="7"/>
    <x v="79"/>
    <x v="0"/>
    <x v="0"/>
    <x v="0"/>
  </r>
  <r>
    <x v="2394"/>
    <n v="93.55"/>
    <x v="1630"/>
    <x v="1470"/>
    <x v="47"/>
    <n v="2.97"/>
    <n v="0.18770000000000001"/>
    <x v="6"/>
    <m/>
    <n v="1"/>
    <x v="7"/>
    <x v="7"/>
    <x v="79"/>
    <x v="0"/>
    <x v="0"/>
    <x v="0"/>
  </r>
  <r>
    <x v="2395"/>
    <n v="91.71"/>
    <x v="1631"/>
    <x v="1471"/>
    <x v="65"/>
    <n v="2.93"/>
    <n v="0.20150000000000001"/>
    <x v="6"/>
    <m/>
    <n v="1"/>
    <x v="7"/>
    <x v="7"/>
    <x v="79"/>
    <x v="0"/>
    <x v="0"/>
    <x v="0"/>
  </r>
  <r>
    <x v="2396"/>
    <n v="85.59"/>
    <x v="1632"/>
    <x v="1472"/>
    <x v="74"/>
    <n v="3.23"/>
    <n v="0.22320000000000001"/>
    <x v="6"/>
    <m/>
    <n v="1"/>
    <x v="7"/>
    <x v="7"/>
    <x v="79"/>
    <x v="1"/>
    <x v="1"/>
    <x v="0"/>
  </r>
  <r>
    <x v="2397"/>
    <n v="85.59"/>
    <x v="3"/>
    <x v="3"/>
    <x v="65"/>
    <n v="3.3"/>
    <n v="0.25169999999999998"/>
    <x v="6"/>
    <m/>
    <n v="0"/>
    <x v="7"/>
    <x v="7"/>
    <x v="79"/>
    <x v="1"/>
    <x v="2"/>
    <x v="0"/>
  </r>
  <r>
    <x v="2398"/>
    <n v="85.59"/>
    <x v="3"/>
    <x v="3"/>
    <x v="62"/>
    <n v="3.29"/>
    <n v="0.18360000000000001"/>
    <x v="6"/>
    <m/>
    <n v="0"/>
    <x v="7"/>
    <x v="7"/>
    <x v="79"/>
    <x v="0"/>
    <x v="2"/>
    <x v="0"/>
  </r>
  <r>
    <x v="2399"/>
    <n v="86.78"/>
    <x v="1633"/>
    <x v="1473"/>
    <x v="29"/>
    <n v="3.07"/>
    <n v="0.15290000000000001"/>
    <x v="6"/>
    <m/>
    <n v="1"/>
    <x v="7"/>
    <x v="7"/>
    <x v="79"/>
    <x v="0"/>
    <x v="0"/>
    <x v="0"/>
  </r>
  <r>
    <x v="2400"/>
    <n v="87.04"/>
    <x v="1634"/>
    <x v="1474"/>
    <x v="21"/>
    <n v="2.68"/>
    <n v="0.18740000000000001"/>
    <x v="6"/>
    <m/>
    <n v="1"/>
    <x v="7"/>
    <x v="7"/>
    <x v="79"/>
    <x v="0"/>
    <x v="1"/>
    <x v="0"/>
  </r>
  <r>
    <x v="2401"/>
    <n v="94.55"/>
    <x v="1635"/>
    <x v="1475"/>
    <x v="53"/>
    <n v="3.21"/>
    <n v="0.1444"/>
    <x v="6"/>
    <m/>
    <n v="1"/>
    <x v="7"/>
    <x v="7"/>
    <x v="79"/>
    <x v="0"/>
    <x v="0"/>
    <x v="0"/>
  </r>
  <r>
    <x v="2402"/>
    <n v="92.12"/>
    <x v="1636"/>
    <x v="1476"/>
    <x v="65"/>
    <n v="3.38"/>
    <n v="0.28989999999999999"/>
    <x v="6"/>
    <m/>
    <n v="1"/>
    <x v="7"/>
    <x v="7"/>
    <x v="79"/>
    <x v="0"/>
    <x v="1"/>
    <x v="0"/>
  </r>
  <r>
    <x v="2403"/>
    <n v="91.83"/>
    <x v="1637"/>
    <x v="1477"/>
    <x v="47"/>
    <n v="2.85"/>
    <n v="0.1195"/>
    <x v="6"/>
    <m/>
    <n v="1"/>
    <x v="7"/>
    <x v="7"/>
    <x v="79"/>
    <x v="1"/>
    <x v="1"/>
    <x v="0"/>
  </r>
  <r>
    <x v="2404"/>
    <n v="91.83"/>
    <x v="3"/>
    <x v="3"/>
    <x v="54"/>
    <n v="3.36"/>
    <n v="0.26950000000000002"/>
    <x v="6"/>
    <m/>
    <n v="0"/>
    <x v="7"/>
    <x v="7"/>
    <x v="79"/>
    <x v="1"/>
    <x v="2"/>
    <x v="0"/>
  </r>
  <r>
    <x v="2405"/>
    <n v="91.83"/>
    <x v="3"/>
    <x v="3"/>
    <x v="31"/>
    <n v="3"/>
    <n v="0.13669999999999999"/>
    <x v="6"/>
    <m/>
    <n v="0"/>
    <x v="7"/>
    <x v="7"/>
    <x v="79"/>
    <x v="0"/>
    <x v="2"/>
    <x v="0"/>
  </r>
  <r>
    <x v="2406"/>
    <n v="93.13"/>
    <x v="1638"/>
    <x v="1478"/>
    <x v="14"/>
    <n v="2.68"/>
    <n v="0.1656"/>
    <x v="6"/>
    <m/>
    <n v="1"/>
    <x v="7"/>
    <x v="7"/>
    <x v="79"/>
    <x v="0"/>
    <x v="1"/>
    <x v="0"/>
  </r>
  <r>
    <x v="2407"/>
    <n v="97.63"/>
    <x v="1639"/>
    <x v="1479"/>
    <x v="8"/>
    <n v="2.77"/>
    <n v="0.16889999999999999"/>
    <x v="6"/>
    <m/>
    <n v="1"/>
    <x v="7"/>
    <x v="7"/>
    <x v="79"/>
    <x v="0"/>
    <x v="0"/>
    <x v="0"/>
  </r>
  <r>
    <x v="2408"/>
    <n v="96.16"/>
    <x v="1640"/>
    <x v="1480"/>
    <x v="45"/>
    <n v="3.1"/>
    <n v="0.19270000000000001"/>
    <x v="6"/>
    <m/>
    <n v="1"/>
    <x v="7"/>
    <x v="7"/>
    <x v="79"/>
    <x v="0"/>
    <x v="1"/>
    <x v="0"/>
  </r>
  <r>
    <x v="2409"/>
    <n v="97.3"/>
    <x v="1641"/>
    <x v="1481"/>
    <x v="45"/>
    <n v="3.04"/>
    <n v="0.1767"/>
    <x v="6"/>
    <m/>
    <n v="1"/>
    <x v="7"/>
    <x v="7"/>
    <x v="79"/>
    <x v="1"/>
    <x v="0"/>
    <x v="0"/>
  </r>
  <r>
    <x v="2410"/>
    <n v="97.3"/>
    <x v="3"/>
    <x v="3"/>
    <x v="21"/>
    <n v="3.42"/>
    <n v="0.26350000000000001"/>
    <x v="6"/>
    <m/>
    <n v="0"/>
    <x v="7"/>
    <x v="7"/>
    <x v="79"/>
    <x v="1"/>
    <x v="2"/>
    <x v="0"/>
  </r>
  <r>
    <x v="2411"/>
    <n v="97.3"/>
    <x v="3"/>
    <x v="3"/>
    <x v="59"/>
    <n v="3.42"/>
    <n v="0.246"/>
    <x v="6"/>
    <m/>
    <n v="0"/>
    <x v="7"/>
    <x v="7"/>
    <x v="79"/>
    <x v="1"/>
    <x v="2"/>
    <x v="0"/>
  </r>
  <r>
    <x v="2412"/>
    <n v="97.3"/>
    <x v="3"/>
    <x v="3"/>
    <x v="59"/>
    <n v="3.04"/>
    <n v="0.1464"/>
    <x v="6"/>
    <m/>
    <n v="0"/>
    <x v="7"/>
    <x v="7"/>
    <x v="79"/>
    <x v="0"/>
    <x v="2"/>
    <x v="0"/>
  </r>
  <r>
    <x v="2413"/>
    <n v="98.79"/>
    <x v="1642"/>
    <x v="1219"/>
    <x v="59"/>
    <n v="2.94"/>
    <n v="0.1358"/>
    <x v="6"/>
    <m/>
    <n v="1"/>
    <x v="7"/>
    <x v="7"/>
    <x v="79"/>
    <x v="0"/>
    <x v="0"/>
    <x v="0"/>
  </r>
  <r>
    <x v="2414"/>
    <n v="104.03"/>
    <x v="1643"/>
    <x v="1482"/>
    <x v="52"/>
    <n v="3.22"/>
    <n v="0.2084"/>
    <x v="6"/>
    <m/>
    <n v="1"/>
    <x v="7"/>
    <x v="7"/>
    <x v="79"/>
    <x v="0"/>
    <x v="0"/>
    <x v="0"/>
  </r>
  <r>
    <x v="2415"/>
    <n v="104.96"/>
    <x v="1644"/>
    <x v="1483"/>
    <x v="47"/>
    <n v="3.05"/>
    <n v="0.15509999999999999"/>
    <x v="6"/>
    <m/>
    <n v="1"/>
    <x v="7"/>
    <x v="7"/>
    <x v="79"/>
    <x v="0"/>
    <x v="0"/>
    <x v="0"/>
  </r>
  <r>
    <x v="2416"/>
    <n v="109.69"/>
    <x v="1645"/>
    <x v="1484"/>
    <x v="54"/>
    <n v="3.1"/>
    <n v="0.13189999999999999"/>
    <x v="6"/>
    <m/>
    <n v="1"/>
    <x v="7"/>
    <x v="7"/>
    <x v="79"/>
    <x v="0"/>
    <x v="0"/>
    <x v="0"/>
  </r>
  <r>
    <x v="2417"/>
    <n v="110.15"/>
    <x v="1646"/>
    <x v="1485"/>
    <x v="24"/>
    <n v="3.35"/>
    <n v="0.21920000000000001"/>
    <x v="6"/>
    <m/>
    <n v="1"/>
    <x v="7"/>
    <x v="7"/>
    <x v="79"/>
    <x v="1"/>
    <x v="0"/>
    <x v="0"/>
  </r>
  <r>
    <x v="2418"/>
    <n v="110.15"/>
    <x v="3"/>
    <x v="3"/>
    <x v="49"/>
    <n v="3.11"/>
    <n v="5.04E-2"/>
    <x v="6"/>
    <m/>
    <n v="0"/>
    <x v="7"/>
    <x v="7"/>
    <x v="79"/>
    <x v="1"/>
    <x v="2"/>
    <x v="1"/>
  </r>
  <r>
    <x v="2419"/>
    <n v="110.15"/>
    <x v="3"/>
    <x v="3"/>
    <x v="82"/>
    <n v="3.19"/>
    <n v="0.15590000000000001"/>
    <x v="6"/>
    <m/>
    <n v="0"/>
    <x v="7"/>
    <x v="7"/>
    <x v="79"/>
    <x v="0"/>
    <x v="2"/>
    <x v="0"/>
  </r>
  <r>
    <x v="2420"/>
    <n v="111.04"/>
    <x v="1647"/>
    <x v="1486"/>
    <x v="33"/>
    <n v="2.95"/>
    <n v="0.15040000000000001"/>
    <x v="6"/>
    <m/>
    <n v="1"/>
    <x v="7"/>
    <x v="7"/>
    <x v="79"/>
    <x v="0"/>
    <x v="0"/>
    <x v="0"/>
  </r>
  <r>
    <x v="2421"/>
    <n v="112.56"/>
    <x v="1648"/>
    <x v="1487"/>
    <x v="47"/>
    <n v="3.25"/>
    <n v="0.2525"/>
    <x v="6"/>
    <m/>
    <n v="1"/>
    <x v="7"/>
    <x v="7"/>
    <x v="79"/>
    <x v="0"/>
    <x v="0"/>
    <x v="0"/>
  </r>
  <r>
    <x v="2422"/>
    <n v="113.17"/>
    <x v="1649"/>
    <x v="1488"/>
    <x v="54"/>
    <n v="3.07"/>
    <n v="8.4099999999999994E-2"/>
    <x v="6"/>
    <m/>
    <n v="1"/>
    <x v="7"/>
    <x v="7"/>
    <x v="79"/>
    <x v="0"/>
    <x v="0"/>
    <x v="1"/>
  </r>
  <r>
    <x v="2423"/>
    <n v="113.35"/>
    <x v="1650"/>
    <x v="1489"/>
    <x v="65"/>
    <n v="2.8"/>
    <n v="0.16439999999999999"/>
    <x v="6"/>
    <m/>
    <n v="1"/>
    <x v="7"/>
    <x v="8"/>
    <x v="80"/>
    <x v="0"/>
    <x v="0"/>
    <x v="0"/>
  </r>
  <r>
    <x v="2424"/>
    <n v="115.65"/>
    <x v="1651"/>
    <x v="1490"/>
    <x v="24"/>
    <n v="2.88"/>
    <n v="0.24349999999999999"/>
    <x v="6"/>
    <m/>
    <n v="1"/>
    <x v="7"/>
    <x v="8"/>
    <x v="80"/>
    <x v="1"/>
    <x v="0"/>
    <x v="0"/>
  </r>
  <r>
    <x v="2425"/>
    <n v="115.65"/>
    <x v="3"/>
    <x v="3"/>
    <x v="22"/>
    <n v="2.98"/>
    <n v="0.22109999999999999"/>
    <x v="6"/>
    <m/>
    <n v="0"/>
    <x v="7"/>
    <x v="8"/>
    <x v="80"/>
    <x v="1"/>
    <x v="2"/>
    <x v="0"/>
  </r>
  <r>
    <x v="2426"/>
    <n v="115.65"/>
    <x v="3"/>
    <x v="3"/>
    <x v="33"/>
    <n v="2.91"/>
    <n v="0.1268"/>
    <x v="6"/>
    <m/>
    <n v="0"/>
    <x v="7"/>
    <x v="8"/>
    <x v="80"/>
    <x v="0"/>
    <x v="2"/>
    <x v="0"/>
  </r>
  <r>
    <x v="2427"/>
    <n v="113.41"/>
    <x v="1652"/>
    <x v="1491"/>
    <x v="19"/>
    <n v="3.77"/>
    <n v="0.25600000000000001"/>
    <x v="6"/>
    <m/>
    <n v="1"/>
    <x v="7"/>
    <x v="8"/>
    <x v="80"/>
    <x v="0"/>
    <x v="0"/>
    <x v="0"/>
  </r>
  <r>
    <x v="2428"/>
    <n v="113.77"/>
    <x v="1653"/>
    <x v="1492"/>
    <x v="30"/>
    <n v="3"/>
    <n v="0.14199999999999999"/>
    <x v="6"/>
    <m/>
    <n v="1"/>
    <x v="7"/>
    <x v="8"/>
    <x v="80"/>
    <x v="0"/>
    <x v="0"/>
    <x v="0"/>
  </r>
  <r>
    <x v="2429"/>
    <n v="115.54"/>
    <x v="1654"/>
    <x v="1493"/>
    <x v="51"/>
    <n v="3.18"/>
    <n v="0.15570000000000001"/>
    <x v="6"/>
    <m/>
    <n v="1"/>
    <x v="7"/>
    <x v="8"/>
    <x v="80"/>
    <x v="0"/>
    <x v="0"/>
    <x v="0"/>
  </r>
  <r>
    <x v="2430"/>
    <n v="114.44"/>
    <x v="1655"/>
    <x v="1494"/>
    <x v="22"/>
    <n v="3.29"/>
    <n v="0.2109"/>
    <x v="6"/>
    <m/>
    <n v="1"/>
    <x v="7"/>
    <x v="8"/>
    <x v="80"/>
    <x v="0"/>
    <x v="1"/>
    <x v="0"/>
  </r>
  <r>
    <x v="2431"/>
    <n v="114.02"/>
    <x v="1656"/>
    <x v="1495"/>
    <x v="22"/>
    <n v="3.63"/>
    <n v="0.23980000000000001"/>
    <x v="6"/>
    <m/>
    <n v="1"/>
    <x v="7"/>
    <x v="8"/>
    <x v="80"/>
    <x v="1"/>
    <x v="1"/>
    <x v="0"/>
  </r>
  <r>
    <x v="2432"/>
    <n v="114.02"/>
    <x v="3"/>
    <x v="3"/>
    <x v="74"/>
    <n v="2.93"/>
    <n v="0.23069999999999999"/>
    <x v="6"/>
    <m/>
    <n v="0"/>
    <x v="7"/>
    <x v="8"/>
    <x v="80"/>
    <x v="1"/>
    <x v="2"/>
    <x v="0"/>
  </r>
  <r>
    <x v="2433"/>
    <n v="114.02"/>
    <x v="3"/>
    <x v="3"/>
    <x v="73"/>
    <n v="3.21"/>
    <n v="0.1653"/>
    <x v="6"/>
    <m/>
    <n v="0"/>
    <x v="7"/>
    <x v="8"/>
    <x v="80"/>
    <x v="0"/>
    <x v="2"/>
    <x v="0"/>
  </r>
  <r>
    <x v="2434"/>
    <n v="111"/>
    <x v="1657"/>
    <x v="1496"/>
    <x v="49"/>
    <n v="3.21"/>
    <n v="0.18290000000000001"/>
    <x v="6"/>
    <m/>
    <n v="1"/>
    <x v="7"/>
    <x v="8"/>
    <x v="80"/>
    <x v="0"/>
    <x v="1"/>
    <x v="0"/>
  </r>
  <r>
    <x v="2435"/>
    <n v="113.84"/>
    <x v="1658"/>
    <x v="1497"/>
    <x v="30"/>
    <n v="3.25"/>
    <n v="0.1893"/>
    <x v="6"/>
    <m/>
    <n v="1"/>
    <x v="7"/>
    <x v="8"/>
    <x v="80"/>
    <x v="0"/>
    <x v="0"/>
    <x v="0"/>
  </r>
  <r>
    <x v="2436"/>
    <n v="115.1"/>
    <x v="1659"/>
    <x v="1498"/>
    <x v="34"/>
    <n v="3"/>
    <n v="0.2349"/>
    <x v="6"/>
    <m/>
    <n v="1"/>
    <x v="7"/>
    <x v="8"/>
    <x v="80"/>
    <x v="0"/>
    <x v="0"/>
    <x v="0"/>
  </r>
  <r>
    <x v="2437"/>
    <n v="117.8"/>
    <x v="1660"/>
    <x v="1499"/>
    <x v="34"/>
    <n v="3.09"/>
    <n v="0.1857"/>
    <x v="6"/>
    <m/>
    <n v="1"/>
    <x v="7"/>
    <x v="8"/>
    <x v="80"/>
    <x v="0"/>
    <x v="0"/>
    <x v="0"/>
  </r>
  <r>
    <x v="2438"/>
    <n v="119.15"/>
    <x v="1661"/>
    <x v="1384"/>
    <x v="28"/>
    <n v="3.12"/>
    <n v="0.14990000000000001"/>
    <x v="6"/>
    <m/>
    <n v="1"/>
    <x v="7"/>
    <x v="8"/>
    <x v="80"/>
    <x v="1"/>
    <x v="1"/>
    <x v="0"/>
  </r>
  <r>
    <x v="2439"/>
    <n v="119.15"/>
    <x v="3"/>
    <x v="3"/>
    <x v="93"/>
    <n v="3.14"/>
    <n v="0.1234"/>
    <x v="6"/>
    <m/>
    <n v="0"/>
    <x v="7"/>
    <x v="8"/>
    <x v="80"/>
    <x v="1"/>
    <x v="2"/>
    <x v="0"/>
  </r>
  <r>
    <x v="2440"/>
    <n v="119.15"/>
    <x v="3"/>
    <x v="3"/>
    <x v="62"/>
    <n v="3.34"/>
    <n v="0.2215"/>
    <x v="6"/>
    <m/>
    <n v="0"/>
    <x v="7"/>
    <x v="8"/>
    <x v="80"/>
    <x v="0"/>
    <x v="2"/>
    <x v="0"/>
  </r>
  <r>
    <x v="2441"/>
    <n v="119.16"/>
    <x v="1662"/>
    <x v="1500"/>
    <x v="42"/>
    <n v="2.67"/>
    <n v="1.1000000000000001E-3"/>
    <x v="6"/>
    <m/>
    <n v="1"/>
    <x v="7"/>
    <x v="8"/>
    <x v="80"/>
    <x v="0"/>
    <x v="0"/>
    <x v="1"/>
  </r>
  <r>
    <x v="2442"/>
    <n v="119.2"/>
    <x v="1663"/>
    <x v="1501"/>
    <x v="24"/>
    <n v="3.1"/>
    <n v="8.9499999999999996E-2"/>
    <x v="6"/>
    <m/>
    <n v="1"/>
    <x v="7"/>
    <x v="8"/>
    <x v="80"/>
    <x v="0"/>
    <x v="0"/>
    <x v="1"/>
  </r>
  <r>
    <x v="2443"/>
    <n v="119.46"/>
    <x v="1664"/>
    <x v="1502"/>
    <x v="59"/>
    <n v="3.01"/>
    <n v="0.13950000000000001"/>
    <x v="6"/>
    <m/>
    <n v="1"/>
    <x v="7"/>
    <x v="8"/>
    <x v="80"/>
    <x v="0"/>
    <x v="0"/>
    <x v="0"/>
  </r>
  <r>
    <x v="2444"/>
    <n v="118.8"/>
    <x v="1665"/>
    <x v="1503"/>
    <x v="34"/>
    <n v="3.39"/>
    <n v="0.2422"/>
    <x v="6"/>
    <m/>
    <n v="1"/>
    <x v="7"/>
    <x v="8"/>
    <x v="80"/>
    <x v="0"/>
    <x v="1"/>
    <x v="0"/>
  </r>
  <r>
    <x v="2445"/>
    <n v="118.54"/>
    <x v="1666"/>
    <x v="1504"/>
    <x v="8"/>
    <n v="2.81"/>
    <n v="0.2041"/>
    <x v="6"/>
    <m/>
    <n v="1"/>
    <x v="7"/>
    <x v="8"/>
    <x v="80"/>
    <x v="1"/>
    <x v="0"/>
    <x v="0"/>
  </r>
  <r>
    <x v="2446"/>
    <n v="118.54"/>
    <x v="3"/>
    <x v="3"/>
    <x v="8"/>
    <n v="3.46"/>
    <n v="0.1885"/>
    <x v="6"/>
    <m/>
    <n v="0"/>
    <x v="7"/>
    <x v="8"/>
    <x v="80"/>
    <x v="1"/>
    <x v="2"/>
    <x v="0"/>
  </r>
  <r>
    <x v="2447"/>
    <n v="118.54"/>
    <x v="3"/>
    <x v="3"/>
    <x v="22"/>
    <n v="3.11"/>
    <n v="0.14630000000000001"/>
    <x v="6"/>
    <m/>
    <n v="0"/>
    <x v="7"/>
    <x v="8"/>
    <x v="80"/>
    <x v="1"/>
    <x v="2"/>
    <x v="0"/>
  </r>
  <r>
    <x v="2448"/>
    <n v="118.54"/>
    <x v="3"/>
    <x v="3"/>
    <x v="8"/>
    <n v="3.42"/>
    <n v="0.2621"/>
    <x v="6"/>
    <m/>
    <n v="0"/>
    <x v="7"/>
    <x v="8"/>
    <x v="80"/>
    <x v="0"/>
    <x v="2"/>
    <x v="0"/>
  </r>
  <r>
    <x v="2449"/>
    <n v="121.16"/>
    <x v="1667"/>
    <x v="1505"/>
    <x v="21"/>
    <n v="2.98"/>
    <n v="0.20369999999999999"/>
    <x v="6"/>
    <m/>
    <n v="1"/>
    <x v="7"/>
    <x v="8"/>
    <x v="80"/>
    <x v="0"/>
    <x v="0"/>
    <x v="0"/>
  </r>
  <r>
    <x v="2450"/>
    <n v="120.86"/>
    <x v="1668"/>
    <x v="590"/>
    <x v="4"/>
    <n v="3"/>
    <n v="0.15440000000000001"/>
    <x v="6"/>
    <m/>
    <n v="1"/>
    <x v="7"/>
    <x v="8"/>
    <x v="80"/>
    <x v="0"/>
    <x v="1"/>
    <x v="0"/>
  </r>
  <r>
    <x v="2451"/>
    <n v="118.49"/>
    <x v="1669"/>
    <x v="1506"/>
    <x v="42"/>
    <n v="3.3"/>
    <n v="0.2137"/>
    <x v="6"/>
    <m/>
    <n v="1"/>
    <x v="7"/>
    <x v="8"/>
    <x v="80"/>
    <x v="0"/>
    <x v="1"/>
    <x v="0"/>
  </r>
  <r>
    <x v="2452"/>
    <n v="120.72"/>
    <x v="1670"/>
    <x v="1507"/>
    <x v="142"/>
    <n v="2.44"/>
    <n v="5.5E-2"/>
    <x v="6"/>
    <m/>
    <n v="1"/>
    <x v="7"/>
    <x v="8"/>
    <x v="80"/>
    <x v="1"/>
    <x v="0"/>
    <x v="1"/>
  </r>
  <r>
    <x v="2453"/>
    <n v="120.72"/>
    <x v="3"/>
    <x v="3"/>
    <x v="31"/>
    <n v="2.94"/>
    <n v="0.16569999999999999"/>
    <x v="6"/>
    <m/>
    <n v="0"/>
    <x v="7"/>
    <x v="8"/>
    <x v="80"/>
    <x v="1"/>
    <x v="2"/>
    <x v="0"/>
  </r>
  <r>
    <x v="2454"/>
    <n v="120.72"/>
    <x v="3"/>
    <x v="3"/>
    <x v="63"/>
    <n v="2.9"/>
    <n v="0.19989999999999999"/>
    <x v="6"/>
    <m/>
    <n v="0"/>
    <x v="7"/>
    <x v="9"/>
    <x v="81"/>
    <x v="0"/>
    <x v="2"/>
    <x v="0"/>
  </r>
  <r>
    <x v="2455"/>
    <n v="121.9"/>
    <x v="1671"/>
    <x v="1508"/>
    <x v="57"/>
    <n v="3.03"/>
    <n v="0.20130000000000001"/>
    <x v="6"/>
    <m/>
    <n v="1"/>
    <x v="7"/>
    <x v="9"/>
    <x v="81"/>
    <x v="0"/>
    <x v="0"/>
    <x v="0"/>
  </r>
  <r>
    <x v="2456"/>
    <n v="121.79"/>
    <x v="1672"/>
    <x v="1509"/>
    <x v="20"/>
    <n v="3.16"/>
    <n v="8.1699999999999995E-2"/>
    <x v="6"/>
    <m/>
    <n v="1"/>
    <x v="7"/>
    <x v="9"/>
    <x v="81"/>
    <x v="0"/>
    <x v="1"/>
    <x v="1"/>
  </r>
  <r>
    <x v="2457"/>
    <n v="123.97"/>
    <x v="1673"/>
    <x v="1510"/>
    <x v="22"/>
    <n v="3.31"/>
    <n v="0.19339999999999999"/>
    <x v="6"/>
    <m/>
    <n v="1"/>
    <x v="7"/>
    <x v="9"/>
    <x v="81"/>
    <x v="0"/>
    <x v="0"/>
    <x v="0"/>
  </r>
  <r>
    <x v="2458"/>
    <n v="125.05"/>
    <x v="1674"/>
    <x v="1511"/>
    <x v="74"/>
    <n v="3.07"/>
    <n v="0.14660000000000001"/>
    <x v="6"/>
    <m/>
    <n v="1"/>
    <x v="7"/>
    <x v="9"/>
    <x v="81"/>
    <x v="0"/>
    <x v="0"/>
    <x v="0"/>
  </r>
  <r>
    <x v="2459"/>
    <n v="124.15"/>
    <x v="1675"/>
    <x v="1512"/>
    <x v="50"/>
    <n v="3.11"/>
    <n v="0.2021"/>
    <x v="6"/>
    <m/>
    <n v="1"/>
    <x v="7"/>
    <x v="9"/>
    <x v="81"/>
    <x v="1"/>
    <x v="1"/>
    <x v="0"/>
  </r>
  <r>
    <x v="2460"/>
    <n v="124.15"/>
    <x v="3"/>
    <x v="3"/>
    <x v="58"/>
    <n v="3.39"/>
    <n v="0.22989999999999999"/>
    <x v="6"/>
    <m/>
    <n v="0"/>
    <x v="7"/>
    <x v="9"/>
    <x v="81"/>
    <x v="1"/>
    <x v="2"/>
    <x v="0"/>
  </r>
  <r>
    <x v="2461"/>
    <n v="124.15"/>
    <x v="3"/>
    <x v="3"/>
    <x v="94"/>
    <n v="2.91"/>
    <n v="0.1144"/>
    <x v="6"/>
    <m/>
    <n v="0"/>
    <x v="7"/>
    <x v="9"/>
    <x v="81"/>
    <x v="0"/>
    <x v="2"/>
    <x v="0"/>
  </r>
  <r>
    <x v="2462"/>
    <n v="122.45"/>
    <x v="1676"/>
    <x v="1513"/>
    <x v="21"/>
    <n v="3.26"/>
    <n v="0.1938"/>
    <x v="6"/>
    <m/>
    <n v="1"/>
    <x v="7"/>
    <x v="9"/>
    <x v="81"/>
    <x v="0"/>
    <x v="1"/>
    <x v="0"/>
  </r>
  <r>
    <x v="2463"/>
    <n v="120.36"/>
    <x v="1677"/>
    <x v="1514"/>
    <x v="28"/>
    <n v="3.29"/>
    <n v="0.14510000000000001"/>
    <x v="6"/>
    <m/>
    <n v="1"/>
    <x v="7"/>
    <x v="9"/>
    <x v="81"/>
    <x v="0"/>
    <x v="1"/>
    <x v="0"/>
  </r>
  <r>
    <x v="2464"/>
    <n v="121.99"/>
    <x v="1678"/>
    <x v="1515"/>
    <x v="86"/>
    <n v="3.26"/>
    <n v="5.4199999999999998E-2"/>
    <x v="6"/>
    <m/>
    <n v="1"/>
    <x v="7"/>
    <x v="9"/>
    <x v="81"/>
    <x v="0"/>
    <x v="0"/>
    <x v="1"/>
  </r>
  <r>
    <x v="2465"/>
    <n v="121.5"/>
    <x v="1679"/>
    <x v="1516"/>
    <x v="93"/>
    <n v="3.06"/>
    <n v="0.15160000000000001"/>
    <x v="6"/>
    <m/>
    <n v="1"/>
    <x v="7"/>
    <x v="9"/>
    <x v="81"/>
    <x v="0"/>
    <x v="1"/>
    <x v="0"/>
  </r>
  <r>
    <x v="2466"/>
    <n v="121.21"/>
    <x v="1680"/>
    <x v="1517"/>
    <x v="22"/>
    <n v="3.23"/>
    <n v="7.1300000000000002E-2"/>
    <x v="6"/>
    <m/>
    <n v="1"/>
    <x v="7"/>
    <x v="9"/>
    <x v="81"/>
    <x v="1"/>
    <x v="0"/>
    <x v="1"/>
  </r>
  <r>
    <x v="2467"/>
    <n v="121.21"/>
    <x v="3"/>
    <x v="3"/>
    <x v="21"/>
    <n v="3.05"/>
    <n v="0.19309999999999999"/>
    <x v="6"/>
    <m/>
    <n v="0"/>
    <x v="7"/>
    <x v="9"/>
    <x v="81"/>
    <x v="1"/>
    <x v="2"/>
    <x v="0"/>
  </r>
  <r>
    <x v="2468"/>
    <n v="121.21"/>
    <x v="3"/>
    <x v="3"/>
    <x v="84"/>
    <n v="3.21"/>
    <n v="0.17169999999999999"/>
    <x v="6"/>
    <m/>
    <n v="0"/>
    <x v="7"/>
    <x v="9"/>
    <x v="81"/>
    <x v="0"/>
    <x v="2"/>
    <x v="0"/>
  </r>
  <r>
    <x v="2469"/>
    <n v="122.54"/>
    <x v="1681"/>
    <x v="1518"/>
    <x v="42"/>
    <n v="2.8"/>
    <n v="0.1208"/>
    <x v="6"/>
    <m/>
    <n v="1"/>
    <x v="7"/>
    <x v="9"/>
    <x v="81"/>
    <x v="0"/>
    <x v="0"/>
    <x v="0"/>
  </r>
  <r>
    <x v="2470"/>
    <n v="122.07"/>
    <x v="1682"/>
    <x v="1519"/>
    <x v="30"/>
    <n v="3.01"/>
    <n v="0.20380000000000001"/>
    <x v="6"/>
    <m/>
    <n v="1"/>
    <x v="7"/>
    <x v="9"/>
    <x v="81"/>
    <x v="0"/>
    <x v="0"/>
    <x v="0"/>
  </r>
  <r>
    <x v="2471"/>
    <n v="122.23"/>
    <x v="1683"/>
    <x v="755"/>
    <x v="31"/>
    <n v="3.18"/>
    <n v="0.1482"/>
    <x v="6"/>
    <m/>
    <n v="1"/>
    <x v="7"/>
    <x v="9"/>
    <x v="81"/>
    <x v="1"/>
    <x v="1"/>
    <x v="0"/>
  </r>
  <r>
    <x v="2472"/>
    <n v="122.23"/>
    <x v="3"/>
    <x v="3"/>
    <x v="25"/>
    <n v="2.68"/>
    <n v="0.1484"/>
    <x v="6"/>
    <m/>
    <n v="0"/>
    <x v="7"/>
    <x v="9"/>
    <x v="81"/>
    <x v="0"/>
    <x v="2"/>
    <x v="0"/>
  </r>
  <r>
    <x v="2473"/>
    <n v="123.14"/>
    <x v="1684"/>
    <x v="1520"/>
    <x v="47"/>
    <n v="3.1"/>
    <n v="0.2442"/>
    <x v="6"/>
    <m/>
    <n v="1"/>
    <x v="7"/>
    <x v="9"/>
    <x v="81"/>
    <x v="1"/>
    <x v="1"/>
    <x v="0"/>
  </r>
  <r>
    <x v="2474"/>
    <n v="123.14"/>
    <x v="3"/>
    <x v="3"/>
    <x v="14"/>
    <n v="3.32"/>
    <n v="0.2535"/>
    <x v="6"/>
    <m/>
    <n v="0"/>
    <x v="7"/>
    <x v="9"/>
    <x v="81"/>
    <x v="1"/>
    <x v="2"/>
    <x v="0"/>
  </r>
  <r>
    <x v="2475"/>
    <n v="123.14"/>
    <x v="3"/>
    <x v="3"/>
    <x v="31"/>
    <n v="2.9"/>
    <n v="8.9399999999999993E-2"/>
    <x v="6"/>
    <m/>
    <n v="0"/>
    <x v="7"/>
    <x v="9"/>
    <x v="81"/>
    <x v="0"/>
    <x v="2"/>
    <x v="1"/>
  </r>
  <r>
    <x v="2476"/>
    <n v="125.35"/>
    <x v="1685"/>
    <x v="1521"/>
    <x v="86"/>
    <n v="2.92"/>
    <n v="0.16569999999999999"/>
    <x v="6"/>
    <m/>
    <n v="1"/>
    <x v="7"/>
    <x v="9"/>
    <x v="81"/>
    <x v="0"/>
    <x v="0"/>
    <x v="0"/>
  </r>
  <r>
    <x v="2477"/>
    <n v="127.91"/>
    <x v="1686"/>
    <x v="1522"/>
    <x v="24"/>
    <n v="3.31"/>
    <n v="0.2283"/>
    <x v="6"/>
    <m/>
    <n v="1"/>
    <x v="7"/>
    <x v="9"/>
    <x v="81"/>
    <x v="0"/>
    <x v="0"/>
    <x v="0"/>
  </r>
  <r>
    <x v="2478"/>
    <n v="127.53"/>
    <x v="1687"/>
    <x v="1523"/>
    <x v="8"/>
    <n v="3.15"/>
    <n v="0.20349999999999999"/>
    <x v="6"/>
    <m/>
    <n v="1"/>
    <x v="7"/>
    <x v="9"/>
    <x v="81"/>
    <x v="0"/>
    <x v="1"/>
    <x v="0"/>
  </r>
  <r>
    <x v="2479"/>
    <n v="130.66999999999999"/>
    <x v="1688"/>
    <x v="1524"/>
    <x v="45"/>
    <n v="3.67"/>
    <n v="0.26269999999999999"/>
    <x v="6"/>
    <m/>
    <n v="1"/>
    <x v="7"/>
    <x v="9"/>
    <x v="81"/>
    <x v="0"/>
    <x v="0"/>
    <x v="0"/>
  </r>
  <r>
    <x v="2480"/>
    <n v="132.31"/>
    <x v="1689"/>
    <x v="1525"/>
    <x v="150"/>
    <n v="3"/>
    <n v="-0.4506"/>
    <x v="6"/>
    <m/>
    <n v="1"/>
    <x v="7"/>
    <x v="9"/>
    <x v="81"/>
    <x v="1"/>
    <x v="0"/>
    <x v="2"/>
  </r>
  <r>
    <x v="2481"/>
    <n v="132.31"/>
    <x v="3"/>
    <x v="3"/>
    <x v="129"/>
    <m/>
    <m/>
    <x v="6"/>
    <m/>
    <n v="0"/>
    <x v="7"/>
    <x v="9"/>
    <x v="81"/>
    <x v="1"/>
    <x v="2"/>
    <x v="1"/>
  </r>
  <r>
    <x v="2482"/>
    <n v="132.31"/>
    <x v="3"/>
    <x v="3"/>
    <x v="129"/>
    <m/>
    <m/>
    <x v="6"/>
    <m/>
    <n v="0"/>
    <x v="7"/>
    <x v="9"/>
    <x v="81"/>
    <x v="0"/>
    <x v="2"/>
    <x v="1"/>
  </r>
  <r>
    <x v="2483"/>
    <n v="133.91"/>
    <x v="1690"/>
    <x v="1526"/>
    <x v="151"/>
    <n v="3"/>
    <n v="-0.75790000000000002"/>
    <x v="6"/>
    <m/>
    <n v="1"/>
    <x v="7"/>
    <x v="9"/>
    <x v="81"/>
    <x v="0"/>
    <x v="0"/>
    <x v="2"/>
  </r>
  <r>
    <x v="2484"/>
    <n v="129.36000000000001"/>
    <x v="1691"/>
    <x v="1527"/>
    <x v="151"/>
    <n v="5"/>
    <n v="0"/>
    <x v="6"/>
    <m/>
    <n v="1"/>
    <x v="7"/>
    <x v="10"/>
    <x v="82"/>
    <x v="0"/>
    <x v="1"/>
    <x v="1"/>
  </r>
  <r>
    <x v="2485"/>
    <n v="128.49"/>
    <x v="1692"/>
    <x v="1528"/>
    <x v="129"/>
    <m/>
    <m/>
    <x v="6"/>
    <m/>
    <n v="1"/>
    <x v="7"/>
    <x v="10"/>
    <x v="82"/>
    <x v="0"/>
    <x v="1"/>
    <x v="1"/>
  </r>
  <r>
    <x v="2486"/>
    <n v="129.72"/>
    <x v="1693"/>
    <x v="137"/>
    <x v="129"/>
    <m/>
    <m/>
    <x v="6"/>
    <m/>
    <n v="1"/>
    <x v="7"/>
    <x v="10"/>
    <x v="82"/>
    <x v="1"/>
    <x v="0"/>
    <x v="1"/>
  </r>
  <r>
    <x v="2487"/>
    <n v="129.72"/>
    <x v="3"/>
    <x v="3"/>
    <x v="151"/>
    <n v="1"/>
    <n v="-0.96779999999999999"/>
    <x v="6"/>
    <m/>
    <n v="0"/>
    <x v="7"/>
    <x v="10"/>
    <x v="82"/>
    <x v="1"/>
    <x v="2"/>
    <x v="2"/>
  </r>
  <r>
    <x v="2488"/>
    <n v="129.72"/>
    <x v="3"/>
    <x v="3"/>
    <x v="151"/>
    <n v="5"/>
    <n v="0"/>
    <x v="6"/>
    <m/>
    <n v="0"/>
    <x v="7"/>
    <x v="10"/>
    <x v="82"/>
    <x v="1"/>
    <x v="2"/>
    <x v="1"/>
  </r>
  <r>
    <x v="2489"/>
    <n v="129.72"/>
    <x v="3"/>
    <x v="3"/>
    <x v="129"/>
    <m/>
    <m/>
    <x v="6"/>
    <m/>
    <n v="0"/>
    <x v="7"/>
    <x v="10"/>
    <x v="82"/>
    <x v="0"/>
    <x v="2"/>
    <x v="1"/>
  </r>
  <r>
    <x v="2490"/>
    <n v="128.96"/>
    <x v="1694"/>
    <x v="1529"/>
    <x v="129"/>
    <m/>
    <m/>
    <x v="6"/>
    <m/>
    <n v="1"/>
    <x v="7"/>
    <x v="10"/>
    <x v="82"/>
    <x v="0"/>
    <x v="1"/>
    <x v="1"/>
  </r>
  <r>
    <x v="2491"/>
    <n v="127.53"/>
    <x v="1695"/>
    <x v="1031"/>
    <x v="129"/>
    <m/>
    <m/>
    <x v="6"/>
    <m/>
    <n v="1"/>
    <x v="7"/>
    <x v="10"/>
    <x v="82"/>
    <x v="0"/>
    <x v="1"/>
    <x v="1"/>
  </r>
  <r>
    <x v="2492"/>
    <n v="128.83000000000001"/>
    <x v="1696"/>
    <x v="1530"/>
    <x v="129"/>
    <m/>
    <m/>
    <x v="6"/>
    <m/>
    <n v="1"/>
    <x v="7"/>
    <x v="10"/>
    <x v="82"/>
    <x v="0"/>
    <x v="0"/>
    <x v="1"/>
  </r>
  <r>
    <x v="2493"/>
    <n v="125.06"/>
    <x v="1697"/>
    <x v="1531"/>
    <x v="151"/>
    <n v="1"/>
    <n v="-0.42149999999999999"/>
    <x v="6"/>
    <m/>
    <n v="1"/>
    <x v="7"/>
    <x v="10"/>
    <x v="82"/>
    <x v="0"/>
    <x v="1"/>
    <x v="2"/>
  </r>
  <r>
    <x v="2494"/>
    <n v="124.51"/>
    <x v="1698"/>
    <x v="261"/>
    <x v="129"/>
    <m/>
    <m/>
    <x v="6"/>
    <m/>
    <n v="1"/>
    <x v="7"/>
    <x v="10"/>
    <x v="82"/>
    <x v="1"/>
    <x v="1"/>
    <x v="1"/>
  </r>
  <r>
    <x v="2495"/>
    <n v="124.51"/>
    <x v="3"/>
    <x v="3"/>
    <x v="129"/>
    <m/>
    <m/>
    <x v="6"/>
    <m/>
    <n v="0"/>
    <x v="7"/>
    <x v="10"/>
    <x v="82"/>
    <x v="1"/>
    <x v="2"/>
    <x v="1"/>
  </r>
  <r>
    <x v="2496"/>
    <n v="124.51"/>
    <x v="3"/>
    <x v="3"/>
    <x v="151"/>
    <n v="5"/>
    <n v="0"/>
    <x v="6"/>
    <m/>
    <n v="0"/>
    <x v="7"/>
    <x v="10"/>
    <x v="82"/>
    <x v="0"/>
    <x v="2"/>
    <x v="1"/>
  </r>
  <r>
    <x v="2497"/>
    <n v="126.19"/>
    <x v="1699"/>
    <x v="1532"/>
    <x v="151"/>
    <n v="3"/>
    <n v="0.89339999999999997"/>
    <x v="6"/>
    <m/>
    <n v="1"/>
    <x v="7"/>
    <x v="10"/>
    <x v="82"/>
    <x v="0"/>
    <x v="0"/>
    <x v="0"/>
  </r>
  <r>
    <x v="2498"/>
    <n v="126.03"/>
    <x v="1700"/>
    <x v="1533"/>
    <x v="129"/>
    <m/>
    <m/>
    <x v="6"/>
    <m/>
    <n v="1"/>
    <x v="7"/>
    <x v="10"/>
    <x v="82"/>
    <x v="0"/>
    <x v="1"/>
    <x v="1"/>
  </r>
  <r>
    <x v="2499"/>
    <n v="125.03"/>
    <x v="1701"/>
    <x v="1534"/>
    <x v="129"/>
    <m/>
    <m/>
    <x v="6"/>
    <m/>
    <n v="1"/>
    <x v="7"/>
    <x v="10"/>
    <x v="82"/>
    <x v="0"/>
    <x v="1"/>
    <x v="1"/>
  </r>
  <r>
    <x v="2500"/>
    <n v="127.42"/>
    <x v="1702"/>
    <x v="1535"/>
    <x v="129"/>
    <m/>
    <m/>
    <x v="6"/>
    <m/>
    <n v="1"/>
    <x v="7"/>
    <x v="10"/>
    <x v="82"/>
    <x v="0"/>
    <x v="0"/>
    <x v="1"/>
  </r>
  <r>
    <x v="2501"/>
    <n v="120.92"/>
    <x v="1703"/>
    <x v="1536"/>
    <x v="151"/>
    <n v="1"/>
    <n v="-0.47310000000000002"/>
    <x v="6"/>
    <m/>
    <n v="1"/>
    <x v="7"/>
    <x v="10"/>
    <x v="82"/>
    <x v="1"/>
    <x v="1"/>
    <x v="2"/>
  </r>
  <r>
    <x v="2502"/>
    <n v="120.92"/>
    <x v="3"/>
    <x v="3"/>
    <x v="129"/>
    <m/>
    <m/>
    <x v="6"/>
    <m/>
    <n v="0"/>
    <x v="7"/>
    <x v="10"/>
    <x v="82"/>
    <x v="1"/>
    <x v="2"/>
    <x v="1"/>
  </r>
  <r>
    <x v="2503"/>
    <n v="120.92"/>
    <x v="3"/>
    <x v="3"/>
    <x v="129"/>
    <m/>
    <m/>
    <x v="6"/>
    <m/>
    <n v="0"/>
    <x v="7"/>
    <x v="10"/>
    <x v="82"/>
    <x v="0"/>
    <x v="2"/>
    <x v="1"/>
  </r>
  <r>
    <x v="2504"/>
    <n v="123.33"/>
    <x v="1704"/>
    <x v="1537"/>
    <x v="129"/>
    <m/>
    <m/>
    <x v="6"/>
    <m/>
    <n v="1"/>
    <x v="7"/>
    <x v="10"/>
    <x v="82"/>
    <x v="0"/>
    <x v="0"/>
    <x v="1"/>
  </r>
  <r>
    <x v="2505"/>
    <n v="119.01"/>
    <x v="1705"/>
    <x v="1538"/>
    <x v="151"/>
    <n v="1"/>
    <n v="-0.6996"/>
    <x v="6"/>
    <m/>
    <n v="1"/>
    <x v="7"/>
    <x v="10"/>
    <x v="82"/>
    <x v="0"/>
    <x v="1"/>
    <x v="2"/>
  </r>
  <r>
    <x v="2506"/>
    <n v="117.68"/>
    <x v="1706"/>
    <x v="668"/>
    <x v="129"/>
    <m/>
    <m/>
    <x v="6"/>
    <m/>
    <n v="1"/>
    <x v="7"/>
    <x v="10"/>
    <x v="82"/>
    <x v="0"/>
    <x v="1"/>
    <x v="1"/>
  </r>
  <r>
    <x v="2507"/>
    <n v="118.08"/>
    <x v="1707"/>
    <x v="1539"/>
    <x v="129"/>
    <m/>
    <m/>
    <x v="6"/>
    <m/>
    <n v="1"/>
    <x v="7"/>
    <x v="10"/>
    <x v="82"/>
    <x v="0"/>
    <x v="0"/>
    <x v="1"/>
  </r>
  <r>
    <x v="2508"/>
    <n v="118.05"/>
    <x v="1708"/>
    <x v="1540"/>
    <x v="129"/>
    <m/>
    <m/>
    <x v="6"/>
    <m/>
    <n v="1"/>
    <x v="7"/>
    <x v="10"/>
    <x v="82"/>
    <x v="1"/>
    <x v="0"/>
    <x v="1"/>
  </r>
  <r>
    <x v="2509"/>
    <n v="118.05"/>
    <x v="3"/>
    <x v="3"/>
    <x v="129"/>
    <m/>
    <m/>
    <x v="6"/>
    <m/>
    <n v="0"/>
    <x v="7"/>
    <x v="10"/>
    <x v="82"/>
    <x v="1"/>
    <x v="2"/>
    <x v="1"/>
  </r>
  <r>
    <x v="2510"/>
    <n v="118.05"/>
    <x v="3"/>
    <x v="3"/>
    <x v="129"/>
    <m/>
    <m/>
    <x v="6"/>
    <m/>
    <n v="0"/>
    <x v="7"/>
    <x v="10"/>
    <x v="82"/>
    <x v="0"/>
    <x v="2"/>
    <x v="1"/>
  </r>
  <r>
    <x v="2511"/>
    <n v="117.46"/>
    <x v="1709"/>
    <x v="1541"/>
    <x v="129"/>
    <m/>
    <m/>
    <x v="6"/>
    <m/>
    <n v="1"/>
    <x v="7"/>
    <x v="10"/>
    <x v="82"/>
    <x v="0"/>
    <x v="1"/>
    <x v="1"/>
  </r>
  <r>
    <x v="2512"/>
    <n v="116.87"/>
    <x v="1710"/>
    <x v="1244"/>
    <x v="151"/>
    <n v="2"/>
    <n v="0.89339999999999997"/>
    <x v="6"/>
    <m/>
    <n v="1"/>
    <x v="7"/>
    <x v="10"/>
    <x v="82"/>
    <x v="0"/>
    <x v="1"/>
    <x v="0"/>
  </r>
  <r>
    <x v="2513"/>
    <n v="118.42"/>
    <x v="1244"/>
    <x v="1542"/>
    <x v="151"/>
    <n v="5"/>
    <n v="0.93600000000000005"/>
    <x v="6"/>
    <m/>
    <n v="1"/>
    <x v="7"/>
    <x v="10"/>
    <x v="82"/>
    <x v="0"/>
    <x v="0"/>
    <x v="0"/>
  </r>
  <r>
    <x v="2514"/>
    <n v="115.94"/>
    <x v="1711"/>
    <x v="1543"/>
    <x v="151"/>
    <n v="1"/>
    <n v="-0.34"/>
    <x v="6"/>
    <m/>
    <n v="1"/>
    <x v="7"/>
    <x v="10"/>
    <x v="82"/>
    <x v="0"/>
    <x v="1"/>
    <x v="2"/>
  </r>
  <r>
    <x v="2515"/>
    <n v="115.86"/>
    <x v="1712"/>
    <x v="1544"/>
    <x v="129"/>
    <m/>
    <m/>
    <x v="6"/>
    <m/>
    <n v="1"/>
    <x v="7"/>
    <x v="11"/>
    <x v="83"/>
    <x v="1"/>
    <x v="1"/>
    <x v="1"/>
  </r>
  <r>
    <x v="2516"/>
    <n v="115.86"/>
    <x v="3"/>
    <x v="3"/>
    <x v="129"/>
    <m/>
    <m/>
    <x v="6"/>
    <m/>
    <n v="0"/>
    <x v="7"/>
    <x v="11"/>
    <x v="83"/>
    <x v="1"/>
    <x v="2"/>
    <x v="1"/>
  </r>
  <r>
    <x v="2517"/>
    <n v="115.86"/>
    <x v="3"/>
    <x v="3"/>
    <x v="151"/>
    <n v="1"/>
    <n v="-0.45879999999999999"/>
    <x v="6"/>
    <m/>
    <n v="0"/>
    <x v="7"/>
    <x v="11"/>
    <x v="83"/>
    <x v="0"/>
    <x v="2"/>
    <x v="2"/>
  </r>
  <r>
    <x v="2518"/>
    <n v="117.1"/>
    <x v="1713"/>
    <x v="1127"/>
    <x v="151"/>
    <n v="5"/>
    <n v="0"/>
    <x v="6"/>
    <m/>
    <n v="1"/>
    <x v="7"/>
    <x v="11"/>
    <x v="83"/>
    <x v="0"/>
    <x v="0"/>
    <x v="1"/>
  </r>
  <r>
    <x v="2519"/>
    <n v="114.79"/>
    <x v="1714"/>
    <x v="1545"/>
    <x v="129"/>
    <m/>
    <m/>
    <x v="6"/>
    <m/>
    <n v="1"/>
    <x v="7"/>
    <x v="11"/>
    <x v="83"/>
    <x v="0"/>
    <x v="1"/>
    <x v="1"/>
  </r>
  <r>
    <x v="2520"/>
    <n v="117.85"/>
    <x v="1715"/>
    <x v="1546"/>
    <x v="129"/>
    <m/>
    <m/>
    <x v="6"/>
    <m/>
    <n v="1"/>
    <x v="7"/>
    <x v="11"/>
    <x v="83"/>
    <x v="0"/>
    <x v="0"/>
    <x v="1"/>
  </r>
  <r>
    <x v="2521"/>
    <n v="118.04"/>
    <x v="1379"/>
    <x v="1547"/>
    <x v="129"/>
    <m/>
    <m/>
    <x v="6"/>
    <m/>
    <n v="1"/>
    <x v="7"/>
    <x v="11"/>
    <x v="83"/>
    <x v="0"/>
    <x v="1"/>
    <x v="1"/>
  </r>
  <r>
    <x v="2522"/>
    <n v="121.16"/>
    <x v="1716"/>
    <x v="1548"/>
    <x v="151"/>
    <n v="5"/>
    <n v="0"/>
    <x v="6"/>
    <m/>
    <n v="1"/>
    <x v="7"/>
    <x v="11"/>
    <x v="83"/>
    <x v="1"/>
    <x v="0"/>
    <x v="1"/>
  </r>
  <r>
    <x v="2523"/>
    <n v="121.16"/>
    <x v="3"/>
    <x v="3"/>
    <x v="129"/>
    <m/>
    <m/>
    <x v="6"/>
    <m/>
    <n v="0"/>
    <x v="7"/>
    <x v="11"/>
    <x v="83"/>
    <x v="1"/>
    <x v="2"/>
    <x v="1"/>
  </r>
  <r>
    <x v="2524"/>
    <n v="121.16"/>
    <x v="3"/>
    <x v="3"/>
    <x v="151"/>
    <n v="5"/>
    <n v="0"/>
    <x v="6"/>
    <m/>
    <n v="0"/>
    <x v="7"/>
    <x v="11"/>
    <x v="83"/>
    <x v="0"/>
    <x v="2"/>
    <x v="1"/>
  </r>
  <r>
    <x v="2525"/>
    <n v="121.83"/>
    <x v="1717"/>
    <x v="1549"/>
    <x v="129"/>
    <m/>
    <m/>
    <x v="6"/>
    <m/>
    <n v="1"/>
    <x v="7"/>
    <x v="11"/>
    <x v="83"/>
    <x v="0"/>
    <x v="0"/>
    <x v="1"/>
  </r>
  <r>
    <x v="2526"/>
    <n v="122.53"/>
    <x v="1718"/>
    <x v="1550"/>
    <x v="151"/>
    <n v="5"/>
    <n v="0.44040000000000001"/>
    <x v="6"/>
    <m/>
    <n v="1"/>
    <x v="7"/>
    <x v="11"/>
    <x v="83"/>
    <x v="0"/>
    <x v="0"/>
    <x v="0"/>
  </r>
  <r>
    <x v="2527"/>
    <n v="120.44"/>
    <x v="1719"/>
    <x v="1551"/>
    <x v="151"/>
    <n v="1"/>
    <n v="0"/>
    <x v="6"/>
    <m/>
    <n v="1"/>
    <x v="7"/>
    <x v="11"/>
    <x v="83"/>
    <x v="0"/>
    <x v="1"/>
    <x v="1"/>
  </r>
  <r>
    <x v="2528"/>
    <n v="123.06"/>
    <x v="1720"/>
    <x v="1552"/>
    <x v="151"/>
    <n v="5"/>
    <n v="0"/>
    <x v="6"/>
    <m/>
    <n v="1"/>
    <x v="7"/>
    <x v="11"/>
    <x v="83"/>
    <x v="0"/>
    <x v="0"/>
    <x v="1"/>
  </r>
  <r>
    <x v="2529"/>
    <n v="123.89"/>
    <x v="1538"/>
    <x v="1553"/>
    <x v="129"/>
    <m/>
    <m/>
    <x v="6"/>
    <m/>
    <n v="1"/>
    <x v="7"/>
    <x v="11"/>
    <x v="83"/>
    <x v="1"/>
    <x v="0"/>
    <x v="1"/>
  </r>
  <r>
    <x v="2530"/>
    <n v="123.89"/>
    <x v="3"/>
    <x v="3"/>
    <x v="150"/>
    <n v="1"/>
    <n v="-0.3488"/>
    <x v="6"/>
    <m/>
    <n v="0"/>
    <x v="7"/>
    <x v="11"/>
    <x v="83"/>
    <x v="1"/>
    <x v="2"/>
    <x v="2"/>
  </r>
  <r>
    <x v="2531"/>
    <n v="123.89"/>
    <x v="3"/>
    <x v="3"/>
    <x v="129"/>
    <m/>
    <m/>
    <x v="6"/>
    <m/>
    <n v="0"/>
    <x v="7"/>
    <x v="11"/>
    <x v="83"/>
    <x v="0"/>
    <x v="2"/>
    <x v="1"/>
  </r>
  <r>
    <x v="2532"/>
    <n v="124.51"/>
    <x v="1721"/>
    <x v="1554"/>
    <x v="151"/>
    <n v="5"/>
    <n v="0"/>
    <x v="6"/>
    <m/>
    <n v="1"/>
    <x v="7"/>
    <x v="11"/>
    <x v="83"/>
    <x v="0"/>
    <x v="0"/>
    <x v="1"/>
  </r>
  <r>
    <x v="2533"/>
    <n v="121.42"/>
    <x v="1722"/>
    <x v="1555"/>
    <x v="129"/>
    <m/>
    <m/>
    <x v="6"/>
    <m/>
    <n v="1"/>
    <x v="7"/>
    <x v="11"/>
    <x v="83"/>
    <x v="0"/>
    <x v="1"/>
    <x v="1"/>
  </r>
  <r>
    <x v="2534"/>
    <n v="121.39"/>
    <x v="1723"/>
    <x v="1556"/>
    <x v="129"/>
    <m/>
    <m/>
    <x v="6"/>
    <m/>
    <n v="1"/>
    <x v="7"/>
    <x v="11"/>
    <x v="83"/>
    <x v="0"/>
    <x v="1"/>
    <x v="1"/>
  </r>
  <r>
    <x v="2535"/>
    <n v="120.62"/>
    <x v="1724"/>
    <x v="1557"/>
    <x v="129"/>
    <m/>
    <m/>
    <x v="6"/>
    <m/>
    <n v="1"/>
    <x v="7"/>
    <x v="11"/>
    <x v="83"/>
    <x v="0"/>
    <x v="1"/>
    <x v="1"/>
  </r>
  <r>
    <x v="2536"/>
    <n v="120.46"/>
    <x v="1725"/>
    <x v="1558"/>
    <x v="129"/>
    <m/>
    <m/>
    <x v="6"/>
    <m/>
    <n v="1"/>
    <x v="7"/>
    <x v="11"/>
    <x v="83"/>
    <x v="1"/>
    <x v="1"/>
    <x v="1"/>
  </r>
  <r>
    <x v="2537"/>
    <n v="120.46"/>
    <x v="3"/>
    <x v="3"/>
    <x v="151"/>
    <n v="1"/>
    <n v="0.55740000000000001"/>
    <x v="6"/>
    <m/>
    <n v="0"/>
    <x v="7"/>
    <x v="11"/>
    <x v="83"/>
    <x v="1"/>
    <x v="2"/>
    <x v="0"/>
  </r>
  <r>
    <x v="2538"/>
    <n v="120.46"/>
    <x v="3"/>
    <x v="3"/>
    <x v="151"/>
    <n v="2"/>
    <n v="7.6200000000000004E-2"/>
    <x v="6"/>
    <m/>
    <n v="0"/>
    <x v="7"/>
    <x v="11"/>
    <x v="83"/>
    <x v="0"/>
    <x v="2"/>
    <x v="1"/>
  </r>
  <r>
    <x v="2539"/>
    <n v="121.81"/>
    <x v="1726"/>
    <x v="1559"/>
    <x v="129"/>
    <m/>
    <m/>
    <x v="6"/>
    <m/>
    <n v="1"/>
    <x v="7"/>
    <x v="11"/>
    <x v="83"/>
    <x v="0"/>
    <x v="0"/>
    <x v="1"/>
  </r>
  <r>
    <x v="2540"/>
    <n v="122.61"/>
    <x v="1727"/>
    <x v="1560"/>
    <x v="151"/>
    <n v="5"/>
    <n v="0"/>
    <x v="6"/>
    <m/>
    <n v="1"/>
    <x v="7"/>
    <x v="11"/>
    <x v="83"/>
    <x v="0"/>
    <x v="0"/>
    <x v="1"/>
  </r>
  <r>
    <x v="2541"/>
    <n v="122.35"/>
    <x v="1728"/>
    <x v="667"/>
    <x v="129"/>
    <m/>
    <m/>
    <x v="6"/>
    <m/>
    <n v="1"/>
    <x v="7"/>
    <x v="11"/>
    <x v="83"/>
    <x v="0"/>
    <x v="1"/>
    <x v="1"/>
  </r>
  <r>
    <x v="2542"/>
    <n v="123.14"/>
    <x v="1729"/>
    <x v="81"/>
    <x v="129"/>
    <m/>
    <m/>
    <x v="6"/>
    <m/>
    <n v="1"/>
    <x v="7"/>
    <x v="11"/>
    <x v="83"/>
    <x v="0"/>
    <x v="0"/>
    <x v="1"/>
  </r>
  <r>
    <x v="2543"/>
    <n v="120.82"/>
    <x v="1730"/>
    <x v="1561"/>
    <x v="129"/>
    <m/>
    <m/>
    <x v="6"/>
    <m/>
    <n v="1"/>
    <x v="7"/>
    <x v="11"/>
    <x v="83"/>
    <x v="1"/>
    <x v="1"/>
    <x v="1"/>
  </r>
  <r>
    <x v="2544"/>
    <n v="120.82"/>
    <x v="3"/>
    <x v="3"/>
    <x v="151"/>
    <n v="5"/>
    <n v="0"/>
    <x v="6"/>
    <m/>
    <n v="0"/>
    <x v="7"/>
    <x v="11"/>
    <x v="83"/>
    <x v="1"/>
    <x v="2"/>
    <x v="1"/>
  </r>
  <r>
    <x v="2545"/>
    <n v="120.82"/>
    <x v="3"/>
    <x v="3"/>
    <x v="129"/>
    <m/>
    <m/>
    <x v="6"/>
    <m/>
    <n v="0"/>
    <x v="7"/>
    <x v="11"/>
    <x v="83"/>
    <x v="1"/>
    <x v="2"/>
    <x v="1"/>
  </r>
  <r>
    <x v="2546"/>
    <n v="120.82"/>
    <x v="3"/>
    <x v="3"/>
    <x v="129"/>
    <m/>
    <m/>
    <x v="6"/>
    <m/>
    <n v="0"/>
    <x v="7"/>
    <x v="0"/>
    <x v="84"/>
    <x v="0"/>
    <x v="2"/>
    <x v="1"/>
  </r>
  <r>
    <x v="2547"/>
    <n v="121.41"/>
    <x v="1731"/>
    <x v="1562"/>
    <x v="129"/>
    <m/>
    <m/>
    <x v="6"/>
    <m/>
    <n v="1"/>
    <x v="7"/>
    <x v="0"/>
    <x v="84"/>
    <x v="0"/>
    <x v="0"/>
    <x v="1"/>
  </r>
  <r>
    <x v="2548"/>
    <n v="122.62"/>
    <x v="1732"/>
    <x v="1563"/>
    <x v="167"/>
    <n v="3.73"/>
    <n v="0.1946"/>
    <x v="6"/>
    <m/>
    <n v="1"/>
    <x v="7"/>
    <x v="0"/>
    <x v="84"/>
    <x v="0"/>
    <x v="0"/>
    <x v="0"/>
  </r>
  <r>
    <x v="2549"/>
    <n v="125.75"/>
    <x v="1733"/>
    <x v="1564"/>
    <x v="8"/>
    <n v="3.12"/>
    <n v="9.6799999999999997E-2"/>
    <x v="6"/>
    <m/>
    <n v="1"/>
    <x v="7"/>
    <x v="0"/>
    <x v="84"/>
    <x v="0"/>
    <x v="0"/>
    <x v="1"/>
  </r>
  <r>
    <x v="2550"/>
    <n v="124.38"/>
    <x v="1734"/>
    <x v="1565"/>
    <x v="8"/>
    <n v="3.23"/>
    <n v="0.24809999999999999"/>
    <x v="6"/>
    <m/>
    <n v="1"/>
    <x v="7"/>
    <x v="0"/>
    <x v="84"/>
    <x v="1"/>
    <x v="1"/>
    <x v="0"/>
  </r>
  <r>
    <x v="2551"/>
    <n v="124.38"/>
    <x v="3"/>
    <x v="3"/>
    <x v="25"/>
    <n v="2.75"/>
    <n v="0.1867"/>
    <x v="6"/>
    <m/>
    <n v="0"/>
    <x v="7"/>
    <x v="0"/>
    <x v="84"/>
    <x v="1"/>
    <x v="2"/>
    <x v="0"/>
  </r>
  <r>
    <x v="2552"/>
    <n v="124.38"/>
    <x v="3"/>
    <x v="3"/>
    <x v="47"/>
    <n v="3.43"/>
    <n v="0.1893"/>
    <x v="6"/>
    <m/>
    <n v="0"/>
    <x v="7"/>
    <x v="0"/>
    <x v="84"/>
    <x v="0"/>
    <x v="2"/>
    <x v="0"/>
  </r>
  <r>
    <x v="2553"/>
    <n v="124.48"/>
    <x v="1735"/>
    <x v="1215"/>
    <x v="1"/>
    <n v="3.35"/>
    <n v="0.21740000000000001"/>
    <x v="6"/>
    <m/>
    <n v="1"/>
    <x v="7"/>
    <x v="0"/>
    <x v="84"/>
    <x v="0"/>
    <x v="1"/>
    <x v="0"/>
  </r>
  <r>
    <x v="2554"/>
    <n v="126.32"/>
    <x v="1736"/>
    <x v="1099"/>
    <x v="42"/>
    <n v="3.2"/>
    <n v="9.5200000000000007E-2"/>
    <x v="6"/>
    <m/>
    <n v="1"/>
    <x v="7"/>
    <x v="0"/>
    <x v="84"/>
    <x v="0"/>
    <x v="0"/>
    <x v="1"/>
  </r>
  <r>
    <x v="2555"/>
    <n v="124.77"/>
    <x v="1737"/>
    <x v="1566"/>
    <x v="26"/>
    <n v="3.71"/>
    <n v="0.25019999999999998"/>
    <x v="6"/>
    <m/>
    <n v="1"/>
    <x v="7"/>
    <x v="0"/>
    <x v="84"/>
    <x v="0"/>
    <x v="1"/>
    <x v="0"/>
  </r>
  <r>
    <x v="2556"/>
    <n v="120.35"/>
    <x v="1738"/>
    <x v="1567"/>
    <x v="41"/>
    <n v="3.22"/>
    <n v="0.1744"/>
    <x v="6"/>
    <m/>
    <n v="1"/>
    <x v="7"/>
    <x v="0"/>
    <x v="84"/>
    <x v="0"/>
    <x v="1"/>
    <x v="0"/>
  </r>
  <r>
    <x v="2557"/>
    <n v="118.84"/>
    <x v="1739"/>
    <x v="1568"/>
    <x v="26"/>
    <n v="3.74"/>
    <n v="0.2167"/>
    <x v="6"/>
    <m/>
    <n v="1"/>
    <x v="7"/>
    <x v="0"/>
    <x v="84"/>
    <x v="1"/>
    <x v="1"/>
    <x v="0"/>
  </r>
  <r>
    <x v="2558"/>
    <n v="118.84"/>
    <x v="3"/>
    <x v="3"/>
    <x v="4"/>
    <n v="3.2"/>
    <n v="0.10879999999999999"/>
    <x v="6"/>
    <m/>
    <n v="0"/>
    <x v="7"/>
    <x v="0"/>
    <x v="84"/>
    <x v="1"/>
    <x v="2"/>
    <x v="0"/>
  </r>
  <r>
    <x v="2559"/>
    <n v="118.84"/>
    <x v="3"/>
    <x v="3"/>
    <x v="59"/>
    <n v="2.71"/>
    <n v="5.4100000000000002E-2"/>
    <x v="6"/>
    <m/>
    <n v="0"/>
    <x v="7"/>
    <x v="0"/>
    <x v="84"/>
    <x v="0"/>
    <x v="2"/>
    <x v="1"/>
  </r>
  <r>
    <x v="2560"/>
    <n v="120.23"/>
    <x v="1740"/>
    <x v="1569"/>
    <x v="40"/>
    <n v="3.11"/>
    <n v="5.62E-2"/>
    <x v="6"/>
    <m/>
    <n v="1"/>
    <x v="7"/>
    <x v="0"/>
    <x v="84"/>
    <x v="0"/>
    <x v="0"/>
    <x v="1"/>
  </r>
  <r>
    <x v="2561"/>
    <n v="120.05"/>
    <x v="1741"/>
    <x v="1570"/>
    <x v="35"/>
    <n v="3.4"/>
    <n v="0.19969999999999999"/>
    <x v="6"/>
    <m/>
    <n v="1"/>
    <x v="7"/>
    <x v="0"/>
    <x v="84"/>
    <x v="0"/>
    <x v="1"/>
    <x v="0"/>
  </r>
  <r>
    <x v="2562"/>
    <n v="122.85"/>
    <x v="1742"/>
    <x v="1571"/>
    <x v="28"/>
    <n v="2.67"/>
    <n v="4.1399999999999999E-2"/>
    <x v="6"/>
    <m/>
    <n v="1"/>
    <x v="7"/>
    <x v="0"/>
    <x v="84"/>
    <x v="0"/>
    <x v="0"/>
    <x v="1"/>
  </r>
  <r>
    <x v="2563"/>
    <n v="120.78"/>
    <x v="1743"/>
    <x v="1572"/>
    <x v="23"/>
    <n v="2.96"/>
    <n v="0.126"/>
    <x v="6"/>
    <m/>
    <n v="1"/>
    <x v="7"/>
    <x v="0"/>
    <x v="84"/>
    <x v="0"/>
    <x v="1"/>
    <x v="0"/>
  </r>
  <r>
    <x v="2564"/>
    <n v="122.7"/>
    <x v="1744"/>
    <x v="1502"/>
    <x v="40"/>
    <n v="3"/>
    <n v="0.151"/>
    <x v="6"/>
    <m/>
    <n v="1"/>
    <x v="7"/>
    <x v="0"/>
    <x v="84"/>
    <x v="1"/>
    <x v="0"/>
    <x v="0"/>
  </r>
  <r>
    <x v="2565"/>
    <n v="122.7"/>
    <x v="3"/>
    <x v="3"/>
    <x v="40"/>
    <n v="3"/>
    <n v="0.126"/>
    <x v="6"/>
    <m/>
    <n v="0"/>
    <x v="7"/>
    <x v="0"/>
    <x v="84"/>
    <x v="1"/>
    <x v="2"/>
    <x v="0"/>
  </r>
  <r>
    <x v="2566"/>
    <n v="122.7"/>
    <x v="3"/>
    <x v="3"/>
    <x v="31"/>
    <n v="2.77"/>
    <n v="8.5300000000000001E-2"/>
    <x v="6"/>
    <m/>
    <n v="0"/>
    <x v="7"/>
    <x v="0"/>
    <x v="84"/>
    <x v="0"/>
    <x v="2"/>
    <x v="1"/>
  </r>
  <r>
    <x v="2567"/>
    <n v="122.74"/>
    <x v="1745"/>
    <x v="211"/>
    <x v="19"/>
    <n v="2.5299999999999998"/>
    <n v="0.13439999999999999"/>
    <x v="6"/>
    <m/>
    <n v="1"/>
    <x v="7"/>
    <x v="0"/>
    <x v="84"/>
    <x v="0"/>
    <x v="0"/>
    <x v="0"/>
  </r>
  <r>
    <x v="2568"/>
    <n v="121.85"/>
    <x v="1746"/>
    <x v="1573"/>
    <x v="12"/>
    <n v="2.91"/>
    <n v="0.1363"/>
    <x v="6"/>
    <m/>
    <n v="1"/>
    <x v="7"/>
    <x v="0"/>
    <x v="84"/>
    <x v="0"/>
    <x v="1"/>
    <x v="0"/>
  </r>
  <r>
    <x v="2569"/>
    <n v="120.39"/>
    <x v="1747"/>
    <x v="1574"/>
    <x v="42"/>
    <n v="3.22"/>
    <n v="0.1779"/>
    <x v="6"/>
    <m/>
    <n v="1"/>
    <x v="7"/>
    <x v="0"/>
    <x v="84"/>
    <x v="0"/>
    <x v="1"/>
    <x v="0"/>
  </r>
  <r>
    <x v="2570"/>
    <n v="120.82"/>
    <x v="1748"/>
    <x v="1575"/>
    <x v="20"/>
    <n v="3.42"/>
    <n v="0.19900000000000001"/>
    <x v="6"/>
    <m/>
    <n v="1"/>
    <x v="7"/>
    <x v="0"/>
    <x v="84"/>
    <x v="0"/>
    <x v="0"/>
    <x v="0"/>
  </r>
  <r>
    <x v="2571"/>
    <n v="121.06"/>
    <x v="1749"/>
    <x v="1397"/>
    <x v="42"/>
    <n v="2.93"/>
    <n v="0.23710000000000001"/>
    <x v="6"/>
    <m/>
    <n v="1"/>
    <x v="7"/>
    <x v="0"/>
    <x v="84"/>
    <x v="1"/>
    <x v="0"/>
    <x v="0"/>
  </r>
  <r>
    <x v="2572"/>
    <n v="121.06"/>
    <x v="3"/>
    <x v="3"/>
    <x v="48"/>
    <n v="2.88"/>
    <n v="0.1389"/>
    <x v="6"/>
    <m/>
    <n v="0"/>
    <x v="7"/>
    <x v="0"/>
    <x v="84"/>
    <x v="1"/>
    <x v="2"/>
    <x v="0"/>
  </r>
  <r>
    <x v="2573"/>
    <n v="121.06"/>
    <x v="3"/>
    <x v="3"/>
    <x v="32"/>
    <n v="3.38"/>
    <n v="0.12790000000000001"/>
    <x v="6"/>
    <m/>
    <n v="0"/>
    <x v="7"/>
    <x v="0"/>
    <x v="84"/>
    <x v="0"/>
    <x v="2"/>
    <x v="0"/>
  </r>
  <r>
    <x v="2574"/>
    <n v="120.64"/>
    <x v="1750"/>
    <x v="1504"/>
    <x v="41"/>
    <n v="3.29"/>
    <n v="0.1239"/>
    <x v="6"/>
    <m/>
    <n v="1"/>
    <x v="7"/>
    <x v="0"/>
    <x v="84"/>
    <x v="0"/>
    <x v="0"/>
    <x v="0"/>
  </r>
  <r>
    <x v="2575"/>
    <n v="119.89"/>
    <x v="1751"/>
    <x v="796"/>
    <x v="17"/>
    <n v="2.89"/>
    <n v="0.12039999999999999"/>
    <x v="6"/>
    <m/>
    <n v="1"/>
    <x v="7"/>
    <x v="0"/>
    <x v="84"/>
    <x v="0"/>
    <x v="1"/>
    <x v="0"/>
  </r>
  <r>
    <x v="2576"/>
    <n v="117.09"/>
    <x v="1752"/>
    <x v="333"/>
    <x v="34"/>
    <n v="2.34"/>
    <n v="-6.9000000000000006E-2"/>
    <x v="6"/>
    <m/>
    <n v="1"/>
    <x v="7"/>
    <x v="1"/>
    <x v="85"/>
    <x v="0"/>
    <x v="1"/>
    <x v="1"/>
  </r>
  <r>
    <x v="2577"/>
    <n v="116.25"/>
    <x v="1753"/>
    <x v="1576"/>
    <x v="129"/>
    <m/>
    <m/>
    <x v="6"/>
    <m/>
    <n v="1"/>
    <x v="7"/>
    <x v="1"/>
    <x v="85"/>
    <x v="0"/>
    <x v="0"/>
    <x v="1"/>
  </r>
  <r>
    <x v="2578"/>
    <n v="115.33"/>
    <x v="1754"/>
    <x v="1577"/>
    <x v="129"/>
    <m/>
    <m/>
    <x v="6"/>
    <m/>
    <n v="1"/>
    <x v="7"/>
    <x v="1"/>
    <x v="85"/>
    <x v="1"/>
    <x v="1"/>
    <x v="1"/>
  </r>
  <r>
    <x v="2579"/>
    <n v="115.33"/>
    <x v="3"/>
    <x v="3"/>
    <x v="129"/>
    <m/>
    <m/>
    <x v="6"/>
    <m/>
    <n v="0"/>
    <x v="7"/>
    <x v="1"/>
    <x v="85"/>
    <x v="1"/>
    <x v="2"/>
    <x v="1"/>
  </r>
  <r>
    <x v="2580"/>
    <n v="115.33"/>
    <x v="3"/>
    <x v="3"/>
    <x v="129"/>
    <m/>
    <m/>
    <x v="6"/>
    <m/>
    <n v="0"/>
    <x v="7"/>
    <x v="1"/>
    <x v="85"/>
    <x v="0"/>
    <x v="2"/>
    <x v="1"/>
  </r>
  <r>
    <x v="2581"/>
    <n v="116.33"/>
    <x v="1755"/>
    <x v="785"/>
    <x v="31"/>
    <n v="2.35"/>
    <n v="7.4200000000000002E-2"/>
    <x v="6"/>
    <m/>
    <n v="1"/>
    <x v="7"/>
    <x v="1"/>
    <x v="85"/>
    <x v="0"/>
    <x v="0"/>
    <x v="1"/>
  </r>
  <r>
    <x v="2582"/>
    <n v="119.11"/>
    <x v="1756"/>
    <x v="1578"/>
    <x v="20"/>
    <n v="2.4"/>
    <n v="9.4500000000000001E-2"/>
    <x v="6"/>
    <m/>
    <n v="1"/>
    <x v="7"/>
    <x v="1"/>
    <x v="85"/>
    <x v="0"/>
    <x v="0"/>
    <x v="1"/>
  </r>
  <r>
    <x v="2583"/>
    <n v="121.43"/>
    <x v="1757"/>
    <x v="1579"/>
    <x v="44"/>
    <n v="2.39"/>
    <n v="-1.37E-2"/>
    <x v="6"/>
    <m/>
    <n v="1"/>
    <x v="7"/>
    <x v="1"/>
    <x v="85"/>
    <x v="0"/>
    <x v="0"/>
    <x v="1"/>
  </r>
  <r>
    <x v="2584"/>
    <n v="123.11"/>
    <x v="1758"/>
    <x v="1580"/>
    <x v="34"/>
    <n v="2.61"/>
    <n v="0.1484"/>
    <x v="6"/>
    <m/>
    <n v="1"/>
    <x v="7"/>
    <x v="1"/>
    <x v="85"/>
    <x v="0"/>
    <x v="0"/>
    <x v="0"/>
  </r>
  <r>
    <x v="2585"/>
    <n v="122.01"/>
    <x v="1759"/>
    <x v="1581"/>
    <x v="63"/>
    <n v="3.53"/>
    <n v="0.29780000000000001"/>
    <x v="6"/>
    <m/>
    <n v="1"/>
    <x v="7"/>
    <x v="1"/>
    <x v="85"/>
    <x v="1"/>
    <x v="1"/>
    <x v="0"/>
  </r>
  <r>
    <x v="2586"/>
    <n v="122.01"/>
    <x v="3"/>
    <x v="3"/>
    <x v="48"/>
    <n v="2.86"/>
    <n v="0.20979999999999999"/>
    <x v="6"/>
    <m/>
    <n v="0"/>
    <x v="7"/>
    <x v="1"/>
    <x v="85"/>
    <x v="1"/>
    <x v="2"/>
    <x v="0"/>
  </r>
  <r>
    <x v="2587"/>
    <n v="122.01"/>
    <x v="3"/>
    <x v="3"/>
    <x v="40"/>
    <n v="3.09"/>
    <n v="0.15160000000000001"/>
    <x v="6"/>
    <m/>
    <n v="0"/>
    <x v="7"/>
    <x v="1"/>
    <x v="85"/>
    <x v="0"/>
    <x v="2"/>
    <x v="0"/>
  </r>
  <r>
    <x v="2588"/>
    <n v="121.9"/>
    <x v="1760"/>
    <x v="1325"/>
    <x v="17"/>
    <n v="2.96"/>
    <n v="0.18049999999999999"/>
    <x v="6"/>
    <m/>
    <n v="1"/>
    <x v="7"/>
    <x v="1"/>
    <x v="85"/>
    <x v="0"/>
    <x v="1"/>
    <x v="0"/>
  </r>
  <r>
    <x v="2589"/>
    <n v="121.54"/>
    <x v="1761"/>
    <x v="1582"/>
    <x v="23"/>
    <n v="3.33"/>
    <n v="0.21510000000000001"/>
    <x v="6"/>
    <m/>
    <n v="1"/>
    <x v="7"/>
    <x v="1"/>
    <x v="85"/>
    <x v="0"/>
    <x v="0"/>
    <x v="0"/>
  </r>
  <r>
    <x v="2590"/>
    <n v="120.33"/>
    <x v="1762"/>
    <x v="1583"/>
    <x v="11"/>
    <n v="3.18"/>
    <n v="0.1444"/>
    <x v="6"/>
    <m/>
    <n v="1"/>
    <x v="7"/>
    <x v="1"/>
    <x v="85"/>
    <x v="0"/>
    <x v="1"/>
    <x v="0"/>
  </r>
  <r>
    <x v="2591"/>
    <n v="118.36"/>
    <x v="1763"/>
    <x v="1584"/>
    <x v="13"/>
    <n v="2.82"/>
    <n v="0.1216"/>
    <x v="6"/>
    <m/>
    <n v="1"/>
    <x v="7"/>
    <x v="1"/>
    <x v="85"/>
    <x v="0"/>
    <x v="1"/>
    <x v="0"/>
  </r>
  <r>
    <x v="2592"/>
    <n v="119.94"/>
    <x v="1764"/>
    <x v="1585"/>
    <x v="49"/>
    <n v="3.11"/>
    <n v="0.24529999999999999"/>
    <x v="6"/>
    <m/>
    <n v="1"/>
    <x v="7"/>
    <x v="1"/>
    <x v="85"/>
    <x v="1"/>
    <x v="0"/>
    <x v="0"/>
  </r>
  <r>
    <x v="2593"/>
    <n v="119.94"/>
    <x v="3"/>
    <x v="3"/>
    <x v="40"/>
    <n v="2.94"/>
    <n v="0.25180000000000002"/>
    <x v="6"/>
    <m/>
    <n v="0"/>
    <x v="7"/>
    <x v="1"/>
    <x v="85"/>
    <x v="1"/>
    <x v="2"/>
    <x v="0"/>
  </r>
  <r>
    <x v="2594"/>
    <n v="119.94"/>
    <x v="3"/>
    <x v="3"/>
    <x v="129"/>
    <m/>
    <m/>
    <x v="6"/>
    <m/>
    <n v="0"/>
    <x v="7"/>
    <x v="1"/>
    <x v="85"/>
    <x v="0"/>
    <x v="2"/>
    <x v="1"/>
  </r>
  <r>
    <x v="2595"/>
    <n v="123.86"/>
    <x v="1765"/>
    <x v="1377"/>
    <x v="47"/>
    <n v="2.5299999999999998"/>
    <n v="0.11650000000000001"/>
    <x v="6"/>
    <m/>
    <n v="1"/>
    <x v="7"/>
    <x v="1"/>
    <x v="85"/>
    <x v="0"/>
    <x v="0"/>
    <x v="0"/>
  </r>
  <r>
    <x v="2596"/>
    <n v="124.14"/>
    <x v="1766"/>
    <x v="1586"/>
    <x v="14"/>
    <n v="2.76"/>
    <n v="0.1024"/>
    <x v="6"/>
    <m/>
    <n v="1"/>
    <x v="7"/>
    <x v="1"/>
    <x v="85"/>
    <x v="0"/>
    <x v="1"/>
    <x v="0"/>
  </r>
  <r>
    <x v="2597"/>
    <n v="111.64"/>
    <x v="1767"/>
    <x v="1587"/>
    <x v="32"/>
    <n v="2.5"/>
    <n v="8.2100000000000006E-2"/>
    <x v="6"/>
    <m/>
    <n v="1"/>
    <x v="7"/>
    <x v="1"/>
    <x v="85"/>
    <x v="0"/>
    <x v="1"/>
    <x v="1"/>
  </r>
  <r>
    <x v="2598"/>
    <n v="111.36"/>
    <x v="1277"/>
    <x v="1588"/>
    <x v="23"/>
    <n v="3.35"/>
    <n v="0.15210000000000001"/>
    <x v="6"/>
    <m/>
    <n v="1"/>
    <x v="7"/>
    <x v="1"/>
    <x v="85"/>
    <x v="0"/>
    <x v="1"/>
    <x v="0"/>
  </r>
  <r>
    <x v="2599"/>
    <n v="109.47"/>
    <x v="1768"/>
    <x v="1010"/>
    <x v="35"/>
    <n v="2.7"/>
    <n v="9.3200000000000005E-2"/>
    <x v="6"/>
    <m/>
    <n v="1"/>
    <x v="7"/>
    <x v="1"/>
    <x v="85"/>
    <x v="1"/>
    <x v="1"/>
    <x v="1"/>
  </r>
  <r>
    <x v="2600"/>
    <n v="109.47"/>
    <x v="3"/>
    <x v="3"/>
    <x v="8"/>
    <n v="2.9"/>
    <n v="0.13100000000000001"/>
    <x v="6"/>
    <m/>
    <n v="0"/>
    <x v="7"/>
    <x v="1"/>
    <x v="85"/>
    <x v="1"/>
    <x v="2"/>
    <x v="0"/>
  </r>
  <r>
    <x v="2601"/>
    <n v="109.47"/>
    <x v="3"/>
    <x v="3"/>
    <x v="50"/>
    <n v="3.5"/>
    <n v="0.15540000000000001"/>
    <x v="6"/>
    <m/>
    <n v="0"/>
    <x v="7"/>
    <x v="1"/>
    <x v="85"/>
    <x v="0"/>
    <x v="2"/>
    <x v="0"/>
  </r>
  <r>
    <x v="2602"/>
    <n v="109.46"/>
    <x v="1769"/>
    <x v="1210"/>
    <x v="33"/>
    <n v="3.43"/>
    <n v="0.23569999999999999"/>
    <x v="6"/>
    <m/>
    <n v="1"/>
    <x v="7"/>
    <x v="1"/>
    <x v="85"/>
    <x v="0"/>
    <x v="1"/>
    <x v="0"/>
  </r>
  <r>
    <x v="2603"/>
    <n v="110.25"/>
    <x v="1770"/>
    <x v="1234"/>
    <x v="35"/>
    <n v="3.24"/>
    <n v="0.10780000000000001"/>
    <x v="6"/>
    <m/>
    <n v="1"/>
    <x v="7"/>
    <x v="1"/>
    <x v="85"/>
    <x v="0"/>
    <x v="0"/>
    <x v="0"/>
  </r>
  <r>
    <x v="2604"/>
    <n v="110.04"/>
    <x v="1771"/>
    <x v="1589"/>
    <x v="3"/>
    <n v="3.2"/>
    <n v="0.15629999999999999"/>
    <x v="6"/>
    <m/>
    <n v="1"/>
    <x v="7"/>
    <x v="1"/>
    <x v="85"/>
    <x v="0"/>
    <x v="0"/>
    <x v="0"/>
  </r>
  <r>
    <x v="2605"/>
    <n v="108.9"/>
    <x v="1772"/>
    <x v="1590"/>
    <x v="33"/>
    <n v="3.21"/>
    <n v="0.13"/>
    <x v="6"/>
    <m/>
    <n v="1"/>
    <x v="7"/>
    <x v="1"/>
    <x v="85"/>
    <x v="0"/>
    <x v="1"/>
    <x v="0"/>
  </r>
  <r>
    <x v="2606"/>
    <n v="111.89"/>
    <x v="1773"/>
    <x v="1591"/>
    <x v="11"/>
    <n v="3"/>
    <n v="0.12770000000000001"/>
    <x v="6"/>
    <m/>
    <n v="1"/>
    <x v="7"/>
    <x v="1"/>
    <x v="85"/>
    <x v="1"/>
    <x v="0"/>
    <x v="0"/>
  </r>
  <r>
    <x v="2607"/>
    <n v="111.89"/>
    <x v="3"/>
    <x v="3"/>
    <x v="23"/>
    <n v="3.15"/>
    <n v="0.2082"/>
    <x v="6"/>
    <m/>
    <n v="0"/>
    <x v="7"/>
    <x v="2"/>
    <x v="86"/>
    <x v="1"/>
    <x v="2"/>
    <x v="0"/>
  </r>
  <r>
    <x v="2608"/>
    <n v="111.89"/>
    <x v="3"/>
    <x v="3"/>
    <x v="8"/>
    <n v="2.94"/>
    <n v="0.21299999999999999"/>
    <x v="6"/>
    <m/>
    <n v="0"/>
    <x v="7"/>
    <x v="2"/>
    <x v="86"/>
    <x v="0"/>
    <x v="2"/>
    <x v="0"/>
  </r>
  <r>
    <x v="2609"/>
    <n v="110.01"/>
    <x v="1774"/>
    <x v="1592"/>
    <x v="12"/>
    <n v="2.96"/>
    <n v="0.18729999999999999"/>
    <x v="6"/>
    <m/>
    <n v="1"/>
    <x v="7"/>
    <x v="2"/>
    <x v="86"/>
    <x v="0"/>
    <x v="1"/>
    <x v="0"/>
  </r>
  <r>
    <x v="2610"/>
    <n v="109.3"/>
    <x v="1775"/>
    <x v="1256"/>
    <x v="7"/>
    <n v="2.57"/>
    <n v="6.4999999999999997E-3"/>
    <x v="6"/>
    <m/>
    <n v="1"/>
    <x v="7"/>
    <x v="2"/>
    <x v="86"/>
    <x v="0"/>
    <x v="1"/>
    <x v="1"/>
  </r>
  <r>
    <x v="2611"/>
    <n v="109.85"/>
    <x v="1776"/>
    <x v="1593"/>
    <x v="19"/>
    <n v="2.95"/>
    <n v="0.21709999999999999"/>
    <x v="6"/>
    <m/>
    <n v="1"/>
    <x v="7"/>
    <x v="2"/>
    <x v="86"/>
    <x v="0"/>
    <x v="0"/>
    <x v="0"/>
  </r>
  <r>
    <x v="2612"/>
    <n v="109.7"/>
    <x v="1777"/>
    <x v="1110"/>
    <x v="16"/>
    <n v="3.18"/>
    <n v="0.217"/>
    <x v="6"/>
    <m/>
    <n v="1"/>
    <x v="7"/>
    <x v="2"/>
    <x v="86"/>
    <x v="0"/>
    <x v="0"/>
    <x v="0"/>
  </r>
  <r>
    <x v="2613"/>
    <n v="110.37"/>
    <x v="1778"/>
    <x v="1392"/>
    <x v="13"/>
    <n v="3.08"/>
    <n v="0.17979999999999999"/>
    <x v="6"/>
    <m/>
    <n v="1"/>
    <x v="7"/>
    <x v="2"/>
    <x v="86"/>
    <x v="1"/>
    <x v="0"/>
    <x v="0"/>
  </r>
  <r>
    <x v="2614"/>
    <n v="110.37"/>
    <x v="3"/>
    <x v="3"/>
    <x v="36"/>
    <n v="3.17"/>
    <n v="0.14499999999999999"/>
    <x v="6"/>
    <m/>
    <n v="0"/>
    <x v="7"/>
    <x v="2"/>
    <x v="86"/>
    <x v="1"/>
    <x v="2"/>
    <x v="0"/>
  </r>
  <r>
    <x v="2615"/>
    <n v="110.37"/>
    <x v="3"/>
    <x v="3"/>
    <x v="13"/>
    <n v="3.55"/>
    <n v="0.30130000000000001"/>
    <x v="6"/>
    <m/>
    <n v="0"/>
    <x v="7"/>
    <x v="2"/>
    <x v="86"/>
    <x v="0"/>
    <x v="2"/>
    <x v="0"/>
  </r>
  <r>
    <x v="2616"/>
    <n v="112.01"/>
    <x v="1779"/>
    <x v="1594"/>
    <x v="36"/>
    <n v="3.47"/>
    <n v="0.2437"/>
    <x v="6"/>
    <m/>
    <n v="1"/>
    <x v="7"/>
    <x v="2"/>
    <x v="86"/>
    <x v="0"/>
    <x v="0"/>
    <x v="0"/>
  </r>
  <r>
    <x v="2617"/>
    <n v="113.64"/>
    <x v="1780"/>
    <x v="1595"/>
    <x v="23"/>
    <n v="2.89"/>
    <n v="4.1700000000000001E-2"/>
    <x v="6"/>
    <m/>
    <n v="1"/>
    <x v="7"/>
    <x v="2"/>
    <x v="86"/>
    <x v="0"/>
    <x v="0"/>
    <x v="1"/>
  </r>
  <r>
    <x v="2618"/>
    <n v="115.75"/>
    <x v="1781"/>
    <x v="1596"/>
    <x v="4"/>
    <n v="3.09"/>
    <n v="7.46E-2"/>
    <x v="6"/>
    <m/>
    <n v="1"/>
    <x v="7"/>
    <x v="2"/>
    <x v="86"/>
    <x v="0"/>
    <x v="0"/>
    <x v="1"/>
  </r>
  <r>
    <x v="2619"/>
    <n v="115.42"/>
    <x v="1782"/>
    <x v="1597"/>
    <x v="38"/>
    <n v="3.16"/>
    <n v="7.3099999999999998E-2"/>
    <x v="6"/>
    <m/>
    <n v="1"/>
    <x v="7"/>
    <x v="2"/>
    <x v="86"/>
    <x v="0"/>
    <x v="1"/>
    <x v="1"/>
  </r>
  <r>
    <x v="2620"/>
    <n v="111.22"/>
    <x v="1783"/>
    <x v="1598"/>
    <x v="4"/>
    <n v="3.02"/>
    <n v="0.15359999999999999"/>
    <x v="6"/>
    <m/>
    <n v="1"/>
    <x v="7"/>
    <x v="2"/>
    <x v="86"/>
    <x v="1"/>
    <x v="1"/>
    <x v="0"/>
  </r>
  <r>
    <x v="2621"/>
    <n v="111.22"/>
    <x v="3"/>
    <x v="3"/>
    <x v="11"/>
    <n v="3.31"/>
    <n v="0.2334"/>
    <x v="6"/>
    <m/>
    <n v="0"/>
    <x v="7"/>
    <x v="2"/>
    <x v="86"/>
    <x v="1"/>
    <x v="2"/>
    <x v="0"/>
  </r>
  <r>
    <x v="2622"/>
    <n v="111.22"/>
    <x v="3"/>
    <x v="3"/>
    <x v="42"/>
    <n v="2.96"/>
    <n v="0.2009"/>
    <x v="6"/>
    <m/>
    <n v="0"/>
    <x v="7"/>
    <x v="2"/>
    <x v="86"/>
    <x v="0"/>
    <x v="2"/>
    <x v="0"/>
  </r>
  <r>
    <x v="2623"/>
    <n v="110.29"/>
    <x v="1784"/>
    <x v="1529"/>
    <x v="7"/>
    <n v="3.29"/>
    <n v="0.20039999999999999"/>
    <x v="6"/>
    <m/>
    <n v="1"/>
    <x v="7"/>
    <x v="2"/>
    <x v="86"/>
    <x v="0"/>
    <x v="1"/>
    <x v="0"/>
  </r>
  <r>
    <x v="2624"/>
    <n v="114.09"/>
    <x v="1785"/>
    <x v="1599"/>
    <x v="1"/>
    <n v="2.5099999999999998"/>
    <n v="0.1512"/>
    <x v="6"/>
    <m/>
    <n v="1"/>
    <x v="7"/>
    <x v="2"/>
    <x v="86"/>
    <x v="0"/>
    <x v="0"/>
    <x v="0"/>
  </r>
  <r>
    <x v="2625"/>
    <n v="110"/>
    <x v="1786"/>
    <x v="1600"/>
    <x v="1"/>
    <n v="3.3"/>
    <n v="0.1231"/>
    <x v="6"/>
    <m/>
    <n v="1"/>
    <x v="7"/>
    <x v="2"/>
    <x v="86"/>
    <x v="0"/>
    <x v="1"/>
    <x v="0"/>
  </r>
  <r>
    <x v="2626"/>
    <n v="105.67"/>
    <x v="1787"/>
    <x v="1601"/>
    <x v="11"/>
    <n v="2.78"/>
    <n v="0.16400000000000001"/>
    <x v="6"/>
    <m/>
    <n v="1"/>
    <x v="7"/>
    <x v="2"/>
    <x v="86"/>
    <x v="0"/>
    <x v="1"/>
    <x v="0"/>
  </r>
  <r>
    <x v="2627"/>
    <n v="104.31"/>
    <x v="1788"/>
    <x v="1602"/>
    <x v="27"/>
    <n v="3.1"/>
    <n v="0.24490000000000001"/>
    <x v="6"/>
    <m/>
    <n v="1"/>
    <x v="7"/>
    <x v="2"/>
    <x v="86"/>
    <x v="1"/>
    <x v="1"/>
    <x v="0"/>
  </r>
  <r>
    <x v="2628"/>
    <n v="104.31"/>
    <x v="3"/>
    <x v="3"/>
    <x v="2"/>
    <n v="2.65"/>
    <n v="0.17280000000000001"/>
    <x v="6"/>
    <m/>
    <n v="0"/>
    <x v="7"/>
    <x v="2"/>
    <x v="86"/>
    <x v="1"/>
    <x v="2"/>
    <x v="0"/>
  </r>
  <r>
    <x v="2629"/>
    <n v="104.31"/>
    <x v="3"/>
    <x v="3"/>
    <x v="4"/>
    <n v="3.63"/>
    <n v="0.28749999999999998"/>
    <x v="6"/>
    <m/>
    <n v="0"/>
    <x v="7"/>
    <x v="2"/>
    <x v="86"/>
    <x v="0"/>
    <x v="2"/>
    <x v="0"/>
  </r>
  <r>
    <x v="2630"/>
    <n v="106.97"/>
    <x v="1789"/>
    <x v="1603"/>
    <x v="33"/>
    <n v="2.71"/>
    <n v="0.14149999999999999"/>
    <x v="6"/>
    <m/>
    <n v="1"/>
    <x v="7"/>
    <x v="2"/>
    <x v="86"/>
    <x v="0"/>
    <x v="0"/>
    <x v="0"/>
  </r>
  <r>
    <x v="2631"/>
    <n v="104.4"/>
    <x v="1790"/>
    <x v="1604"/>
    <x v="4"/>
    <n v="2.98"/>
    <n v="9.69E-2"/>
    <x v="6"/>
    <m/>
    <n v="1"/>
    <x v="7"/>
    <x v="2"/>
    <x v="86"/>
    <x v="0"/>
    <x v="1"/>
    <x v="1"/>
  </r>
  <r>
    <x v="2632"/>
    <n v="106.14"/>
    <x v="1791"/>
    <x v="1605"/>
    <x v="19"/>
    <n v="3"/>
    <n v="7.0400000000000004E-2"/>
    <x v="6"/>
    <m/>
    <n v="1"/>
    <x v="7"/>
    <x v="2"/>
    <x v="86"/>
    <x v="1"/>
    <x v="0"/>
    <x v="1"/>
  </r>
  <r>
    <x v="2633"/>
    <n v="106.14"/>
    <x v="3"/>
    <x v="3"/>
    <x v="17"/>
    <n v="2.62"/>
    <n v="-4.6100000000000002E-2"/>
    <x v="6"/>
    <m/>
    <n v="0"/>
    <x v="7"/>
    <x v="2"/>
    <x v="86"/>
    <x v="0"/>
    <x v="2"/>
    <x v="1"/>
  </r>
  <r>
    <x v="2634"/>
    <n v="107.58"/>
    <x v="1792"/>
    <x v="1461"/>
    <x v="4"/>
    <n v="3.02"/>
    <n v="0.2077"/>
    <x v="6"/>
    <m/>
    <n v="1"/>
    <x v="7"/>
    <x v="2"/>
    <x v="86"/>
    <x v="1"/>
    <x v="0"/>
    <x v="0"/>
  </r>
  <r>
    <x v="2635"/>
    <n v="107.58"/>
    <x v="3"/>
    <x v="3"/>
    <x v="20"/>
    <n v="3.25"/>
    <n v="0.17399999999999999"/>
    <x v="6"/>
    <m/>
    <n v="0"/>
    <x v="7"/>
    <x v="2"/>
    <x v="86"/>
    <x v="1"/>
    <x v="2"/>
    <x v="0"/>
  </r>
  <r>
    <x v="2636"/>
    <n v="107.58"/>
    <x v="3"/>
    <x v="3"/>
    <x v="34"/>
    <n v="3.21"/>
    <n v="0.13669999999999999"/>
    <x v="6"/>
    <m/>
    <n v="0"/>
    <x v="7"/>
    <x v="2"/>
    <x v="86"/>
    <x v="0"/>
    <x v="2"/>
    <x v="0"/>
  </r>
  <r>
    <x v="2637"/>
    <n v="109.13"/>
    <x v="1793"/>
    <x v="1606"/>
    <x v="7"/>
    <n v="2.5099999999999998"/>
    <n v="0.14449999999999999"/>
    <x v="6"/>
    <m/>
    <n v="1"/>
    <x v="7"/>
    <x v="3"/>
    <x v="87"/>
    <x v="0"/>
    <x v="0"/>
    <x v="0"/>
  </r>
  <r>
    <x v="2638"/>
    <n v="109.35"/>
    <x v="1794"/>
    <x v="1607"/>
    <x v="60"/>
    <n v="2.2000000000000002"/>
    <n v="9.35E-2"/>
    <x v="6"/>
    <m/>
    <n v="1"/>
    <x v="7"/>
    <x v="3"/>
    <x v="87"/>
    <x v="0"/>
    <x v="0"/>
    <x v="1"/>
  </r>
  <r>
    <x v="2639"/>
    <n v="103.96"/>
    <x v="1795"/>
    <x v="1608"/>
    <x v="53"/>
    <n v="2.87"/>
    <n v="9.6299999999999997E-2"/>
    <x v="6"/>
    <m/>
    <n v="1"/>
    <x v="7"/>
    <x v="3"/>
    <x v="87"/>
    <x v="0"/>
    <x v="1"/>
    <x v="1"/>
  </r>
  <r>
    <x v="2640"/>
    <n v="103.22"/>
    <x v="1796"/>
    <x v="1609"/>
    <x v="44"/>
    <n v="3.21"/>
    <n v="0.24399999999999999"/>
    <x v="6"/>
    <m/>
    <n v="1"/>
    <x v="7"/>
    <x v="3"/>
    <x v="87"/>
    <x v="0"/>
    <x v="1"/>
    <x v="0"/>
  </r>
  <r>
    <x v="2641"/>
    <n v="100.24"/>
    <x v="1797"/>
    <x v="1610"/>
    <x v="129"/>
    <m/>
    <m/>
    <x v="6"/>
    <m/>
    <n v="1"/>
    <x v="7"/>
    <x v="3"/>
    <x v="87"/>
    <x v="1"/>
    <x v="0"/>
    <x v="1"/>
  </r>
  <r>
    <x v="2642"/>
    <n v="100.24"/>
    <x v="3"/>
    <x v="3"/>
    <x v="40"/>
    <n v="2.94"/>
    <n v="0.219"/>
    <x v="6"/>
    <m/>
    <n v="0"/>
    <x v="7"/>
    <x v="3"/>
    <x v="87"/>
    <x v="1"/>
    <x v="2"/>
    <x v="0"/>
  </r>
  <r>
    <x v="2643"/>
    <n v="100.24"/>
    <x v="3"/>
    <x v="3"/>
    <x v="25"/>
    <n v="2.73"/>
    <n v="0.10539999999999999"/>
    <x v="6"/>
    <m/>
    <n v="0"/>
    <x v="7"/>
    <x v="3"/>
    <x v="87"/>
    <x v="0"/>
    <x v="2"/>
    <x v="0"/>
  </r>
  <r>
    <x v="2644"/>
    <n v="96.79"/>
    <x v="1798"/>
    <x v="1611"/>
    <x v="12"/>
    <n v="2.81"/>
    <n v="0.21179999999999999"/>
    <x v="6"/>
    <m/>
    <n v="1"/>
    <x v="7"/>
    <x v="3"/>
    <x v="87"/>
    <x v="0"/>
    <x v="1"/>
    <x v="0"/>
  </r>
  <r>
    <x v="2645"/>
    <n v="96.71"/>
    <x v="1799"/>
    <x v="1315"/>
    <x v="32"/>
    <n v="3.08"/>
    <n v="0.16769999999999999"/>
    <x v="6"/>
    <m/>
    <n v="1"/>
    <x v="7"/>
    <x v="3"/>
    <x v="87"/>
    <x v="0"/>
    <x v="1"/>
    <x v="0"/>
  </r>
  <r>
    <x v="2646"/>
    <n v="92.71"/>
    <x v="1800"/>
    <x v="1612"/>
    <x v="28"/>
    <n v="3.04"/>
    <n v="0.20349999999999999"/>
    <x v="6"/>
    <m/>
    <n v="1"/>
    <x v="7"/>
    <x v="3"/>
    <x v="87"/>
    <x v="0"/>
    <x v="1"/>
    <x v="0"/>
  </r>
  <r>
    <x v="2647"/>
    <n v="94.09"/>
    <x v="506"/>
    <x v="1162"/>
    <x v="10"/>
    <n v="2.69"/>
    <n v="1.5100000000000001E-2"/>
    <x v="6"/>
    <m/>
    <n v="1"/>
    <x v="7"/>
    <x v="3"/>
    <x v="87"/>
    <x v="0"/>
    <x v="0"/>
    <x v="1"/>
  </r>
  <r>
    <x v="2648"/>
    <n v="95.19"/>
    <x v="1801"/>
    <x v="1613"/>
    <x v="16"/>
    <n v="2.89"/>
    <n v="0.21179999999999999"/>
    <x v="6"/>
    <m/>
    <n v="1"/>
    <x v="7"/>
    <x v="3"/>
    <x v="87"/>
    <x v="1"/>
    <x v="1"/>
    <x v="0"/>
  </r>
  <r>
    <x v="2649"/>
    <n v="95.19"/>
    <x v="3"/>
    <x v="3"/>
    <x v="35"/>
    <n v="2.52"/>
    <n v="9.5999999999999992E-3"/>
    <x v="6"/>
    <m/>
    <n v="0"/>
    <x v="7"/>
    <x v="3"/>
    <x v="87"/>
    <x v="1"/>
    <x v="2"/>
    <x v="1"/>
  </r>
  <r>
    <x v="2650"/>
    <n v="95.19"/>
    <x v="3"/>
    <x v="3"/>
    <x v="28"/>
    <n v="3.29"/>
    <n v="0.14449999999999999"/>
    <x v="6"/>
    <m/>
    <n v="0"/>
    <x v="7"/>
    <x v="3"/>
    <x v="87"/>
    <x v="0"/>
    <x v="2"/>
    <x v="0"/>
  </r>
  <r>
    <x v="2651"/>
    <n v="93.77"/>
    <x v="1802"/>
    <x v="1614"/>
    <x v="12"/>
    <n v="3.06"/>
    <n v="0.1898"/>
    <x v="6"/>
    <m/>
    <n v="1"/>
    <x v="7"/>
    <x v="3"/>
    <x v="87"/>
    <x v="0"/>
    <x v="1"/>
    <x v="0"/>
  </r>
  <r>
    <x v="2652"/>
    <n v="94.57"/>
    <x v="1803"/>
    <x v="863"/>
    <x v="48"/>
    <n v="3.32"/>
    <n v="0.2099"/>
    <x v="6"/>
    <m/>
    <n v="1"/>
    <x v="7"/>
    <x v="3"/>
    <x v="87"/>
    <x v="0"/>
    <x v="0"/>
    <x v="0"/>
  </r>
  <r>
    <x v="2653"/>
    <n v="94.79"/>
    <x v="1804"/>
    <x v="1615"/>
    <x v="41"/>
    <n v="2.93"/>
    <n v="0.20319999999999999"/>
    <x v="6"/>
    <m/>
    <n v="1"/>
    <x v="7"/>
    <x v="3"/>
    <x v="87"/>
    <x v="0"/>
    <x v="1"/>
    <x v="0"/>
  </r>
  <r>
    <x v="2654"/>
    <n v="94"/>
    <x v="1805"/>
    <x v="1616"/>
    <x v="4"/>
    <n v="2.85"/>
    <n v="0.1227"/>
    <x v="6"/>
    <m/>
    <n v="1"/>
    <x v="7"/>
    <x v="3"/>
    <x v="87"/>
    <x v="0"/>
    <x v="1"/>
    <x v="0"/>
  </r>
  <r>
    <x v="2655"/>
    <n v="94.39"/>
    <x v="1806"/>
    <x v="469"/>
    <x v="4"/>
    <n v="2.8"/>
    <n v="0.15640000000000001"/>
    <x v="6"/>
    <m/>
    <n v="1"/>
    <x v="7"/>
    <x v="3"/>
    <x v="87"/>
    <x v="1"/>
    <x v="0"/>
    <x v="0"/>
  </r>
  <r>
    <x v="2656"/>
    <n v="94.39"/>
    <x v="3"/>
    <x v="3"/>
    <x v="11"/>
    <n v="3.02"/>
    <n v="0.18060000000000001"/>
    <x v="6"/>
    <m/>
    <n v="0"/>
    <x v="7"/>
    <x v="3"/>
    <x v="87"/>
    <x v="1"/>
    <x v="2"/>
    <x v="0"/>
  </r>
  <r>
    <x v="2657"/>
    <n v="94.39"/>
    <x v="3"/>
    <x v="3"/>
    <x v="3"/>
    <n v="3.23"/>
    <n v="0.27510000000000001"/>
    <x v="6"/>
    <m/>
    <n v="0"/>
    <x v="7"/>
    <x v="3"/>
    <x v="87"/>
    <x v="0"/>
    <x v="2"/>
    <x v="0"/>
  </r>
  <r>
    <x v="2658"/>
    <n v="93.23"/>
    <x v="1807"/>
    <x v="1617"/>
    <x v="7"/>
    <n v="3"/>
    <n v="0.2878"/>
    <x v="6"/>
    <m/>
    <n v="1"/>
    <x v="7"/>
    <x v="3"/>
    <x v="87"/>
    <x v="0"/>
    <x v="1"/>
    <x v="0"/>
  </r>
  <r>
    <x v="2659"/>
    <n v="93.5"/>
    <x v="1808"/>
    <x v="1618"/>
    <x v="26"/>
    <n v="2.4300000000000002"/>
    <n v="0.18"/>
    <x v="6"/>
    <m/>
    <n v="1"/>
    <x v="7"/>
    <x v="3"/>
    <x v="87"/>
    <x v="0"/>
    <x v="0"/>
    <x v="0"/>
  </r>
  <r>
    <x v="2660"/>
    <n v="93.64"/>
    <x v="1809"/>
    <x v="1619"/>
    <x v="7"/>
    <n v="3.17"/>
    <n v="0.22700000000000001"/>
    <x v="6"/>
    <m/>
    <n v="1"/>
    <x v="7"/>
    <x v="3"/>
    <x v="87"/>
    <x v="1"/>
    <x v="0"/>
    <x v="0"/>
  </r>
  <r>
    <x v="2661"/>
    <n v="93.64"/>
    <x v="3"/>
    <x v="3"/>
    <x v="8"/>
    <n v="3.06"/>
    <n v="0.10340000000000001"/>
    <x v="6"/>
    <m/>
    <n v="0"/>
    <x v="7"/>
    <x v="3"/>
    <x v="87"/>
    <x v="0"/>
    <x v="2"/>
    <x v="0"/>
  </r>
  <r>
    <x v="2662"/>
    <n v="94.47"/>
    <x v="1810"/>
    <x v="460"/>
    <x v="23"/>
    <n v="2.4"/>
    <n v="3.6200000000000003E-2"/>
    <x v="6"/>
    <m/>
    <n v="1"/>
    <x v="7"/>
    <x v="3"/>
    <x v="87"/>
    <x v="1"/>
    <x v="0"/>
    <x v="1"/>
  </r>
  <r>
    <x v="2663"/>
    <n v="94.47"/>
    <x v="3"/>
    <x v="3"/>
    <x v="47"/>
    <n v="3.22"/>
    <n v="0.19350000000000001"/>
    <x v="6"/>
    <m/>
    <n v="0"/>
    <x v="7"/>
    <x v="3"/>
    <x v="87"/>
    <x v="1"/>
    <x v="2"/>
    <x v="0"/>
  </r>
  <r>
    <x v="2664"/>
    <n v="94.47"/>
    <x v="3"/>
    <x v="3"/>
    <x v="26"/>
    <n v="2.98"/>
    <n v="0.1996"/>
    <x v="6"/>
    <m/>
    <n v="0"/>
    <x v="7"/>
    <x v="3"/>
    <x v="87"/>
    <x v="0"/>
    <x v="2"/>
    <x v="0"/>
  </r>
  <r>
    <x v="2665"/>
    <n v="94.15"/>
    <x v="1811"/>
    <x v="1620"/>
    <x v="19"/>
    <n v="2.93"/>
    <n v="0.12590000000000001"/>
    <x v="6"/>
    <m/>
    <n v="1"/>
    <x v="7"/>
    <x v="3"/>
    <x v="87"/>
    <x v="0"/>
    <x v="0"/>
    <x v="0"/>
  </r>
  <r>
    <x v="2666"/>
    <n v="93.78"/>
    <x v="1812"/>
    <x v="1621"/>
    <x v="40"/>
    <n v="2.6"/>
    <n v="0.1145"/>
    <x v="6"/>
    <m/>
    <n v="1"/>
    <x v="7"/>
    <x v="3"/>
    <x v="87"/>
    <x v="0"/>
    <x v="0"/>
    <x v="0"/>
  </r>
  <r>
    <x v="2667"/>
    <n v="93.76"/>
    <x v="1813"/>
    <x v="1622"/>
    <x v="19"/>
    <n v="3.05"/>
    <n v="0.14430000000000001"/>
    <x v="6"/>
    <m/>
    <n v="1"/>
    <x v="7"/>
    <x v="3"/>
    <x v="87"/>
    <x v="1"/>
    <x v="0"/>
    <x v="0"/>
  </r>
  <r>
    <x v="2668"/>
    <n v="93.76"/>
    <x v="3"/>
    <x v="3"/>
    <x v="4"/>
    <n v="3.02"/>
    <n v="0.16930000000000001"/>
    <x v="6"/>
    <m/>
    <n v="0"/>
    <x v="8"/>
    <x v="4"/>
    <x v="88"/>
    <x v="0"/>
    <x v="2"/>
    <x v="0"/>
  </r>
  <r>
    <x v="2669"/>
    <n v="90.99"/>
    <x v="1814"/>
    <x v="1623"/>
    <x v="12"/>
    <n v="3.45"/>
    <n v="0.23400000000000001"/>
    <x v="6"/>
    <m/>
    <n v="1"/>
    <x v="8"/>
    <x v="4"/>
    <x v="88"/>
    <x v="1"/>
    <x v="1"/>
    <x v="0"/>
  </r>
  <r>
    <x v="2670"/>
    <n v="90.99"/>
    <x v="3"/>
    <x v="3"/>
    <x v="10"/>
    <n v="2.56"/>
    <n v="0.17449999999999999"/>
    <x v="6"/>
    <m/>
    <n v="0"/>
    <x v="8"/>
    <x v="4"/>
    <x v="88"/>
    <x v="1"/>
    <x v="2"/>
    <x v="0"/>
  </r>
  <r>
    <x v="2671"/>
    <n v="90.99"/>
    <x v="3"/>
    <x v="3"/>
    <x v="14"/>
    <n v="2.95"/>
    <n v="0.22459999999999999"/>
    <x v="6"/>
    <m/>
    <n v="0"/>
    <x v="8"/>
    <x v="4"/>
    <x v="88"/>
    <x v="0"/>
    <x v="2"/>
    <x v="0"/>
  </r>
  <r>
    <x v="2672"/>
    <n v="91.46"/>
    <x v="1815"/>
    <x v="1624"/>
    <x v="41"/>
    <n v="2.9"/>
    <n v="0.2175"/>
    <x v="6"/>
    <m/>
    <n v="1"/>
    <x v="8"/>
    <x v="4"/>
    <x v="88"/>
    <x v="0"/>
    <x v="0"/>
    <x v="0"/>
  </r>
  <r>
    <x v="2673"/>
    <n v="90.65"/>
    <x v="1816"/>
    <x v="1625"/>
    <x v="23"/>
    <n v="3.27"/>
    <n v="7.0699999999999999E-2"/>
    <x v="6"/>
    <m/>
    <n v="1"/>
    <x v="8"/>
    <x v="4"/>
    <x v="88"/>
    <x v="0"/>
    <x v="1"/>
    <x v="1"/>
  </r>
  <r>
    <x v="2674"/>
    <n v="90.73"/>
    <x v="1817"/>
    <x v="488"/>
    <x v="38"/>
    <n v="3"/>
    <n v="0.1273"/>
    <x v="6"/>
    <m/>
    <n v="1"/>
    <x v="8"/>
    <x v="4"/>
    <x v="88"/>
    <x v="0"/>
    <x v="1"/>
    <x v="0"/>
  </r>
  <r>
    <x v="2675"/>
    <n v="90.53"/>
    <x v="1818"/>
    <x v="1626"/>
    <x v="42"/>
    <n v="3.31"/>
    <n v="0.2079"/>
    <x v="6"/>
    <m/>
    <n v="1"/>
    <x v="8"/>
    <x v="4"/>
    <x v="88"/>
    <x v="0"/>
    <x v="0"/>
    <x v="0"/>
  </r>
  <r>
    <x v="2676"/>
    <n v="89.46"/>
    <x v="1819"/>
    <x v="1627"/>
    <x v="32"/>
    <n v="3"/>
    <n v="0.13739999999999999"/>
    <x v="6"/>
    <m/>
    <n v="1"/>
    <x v="8"/>
    <x v="4"/>
    <x v="88"/>
    <x v="1"/>
    <x v="1"/>
    <x v="0"/>
  </r>
  <r>
    <x v="2677"/>
    <n v="89.46"/>
    <x v="3"/>
    <x v="3"/>
    <x v="32"/>
    <n v="3.25"/>
    <n v="0.2104"/>
    <x v="6"/>
    <m/>
    <n v="0"/>
    <x v="8"/>
    <x v="4"/>
    <x v="88"/>
    <x v="1"/>
    <x v="2"/>
    <x v="0"/>
  </r>
  <r>
    <x v="2678"/>
    <n v="89.46"/>
    <x v="3"/>
    <x v="3"/>
    <x v="11"/>
    <n v="3"/>
    <n v="0.2223"/>
    <x v="6"/>
    <m/>
    <n v="0"/>
    <x v="8"/>
    <x v="4"/>
    <x v="88"/>
    <x v="0"/>
    <x v="2"/>
    <x v="0"/>
  </r>
  <r>
    <x v="2679"/>
    <n v="89.41"/>
    <x v="1820"/>
    <x v="1628"/>
    <x v="13"/>
    <n v="3.5"/>
    <n v="0.22109999999999999"/>
    <x v="6"/>
    <m/>
    <n v="1"/>
    <x v="8"/>
    <x v="4"/>
    <x v="88"/>
    <x v="0"/>
    <x v="1"/>
    <x v="0"/>
  </r>
  <r>
    <x v="2680"/>
    <n v="90.32"/>
    <x v="1821"/>
    <x v="290"/>
    <x v="4"/>
    <n v="3.35"/>
    <n v="0.24640000000000001"/>
    <x v="6"/>
    <m/>
    <n v="1"/>
    <x v="8"/>
    <x v="4"/>
    <x v="88"/>
    <x v="0"/>
    <x v="0"/>
    <x v="0"/>
  </r>
  <r>
    <x v="2681"/>
    <n v="88.55"/>
    <x v="1822"/>
    <x v="1629"/>
    <x v="7"/>
    <n v="3.03"/>
    <n v="0.1283"/>
    <x v="6"/>
    <m/>
    <n v="1"/>
    <x v="8"/>
    <x v="4"/>
    <x v="88"/>
    <x v="0"/>
    <x v="1"/>
    <x v="0"/>
  </r>
  <r>
    <x v="2682"/>
    <n v="88.05"/>
    <x v="1823"/>
    <x v="1630"/>
    <x v="38"/>
    <n v="3.45"/>
    <n v="0.2576"/>
    <x v="6"/>
    <m/>
    <n v="1"/>
    <x v="8"/>
    <x v="4"/>
    <x v="88"/>
    <x v="0"/>
    <x v="1"/>
    <x v="0"/>
  </r>
  <r>
    <x v="2683"/>
    <n v="88"/>
    <x v="1824"/>
    <x v="1631"/>
    <x v="2"/>
    <n v="3.15"/>
    <n v="0.15340000000000001"/>
    <x v="6"/>
    <m/>
    <n v="1"/>
    <x v="8"/>
    <x v="4"/>
    <x v="88"/>
    <x v="1"/>
    <x v="1"/>
    <x v="0"/>
  </r>
  <r>
    <x v="2684"/>
    <n v="88"/>
    <x v="3"/>
    <x v="3"/>
    <x v="10"/>
    <n v="2.97"/>
    <n v="0.31109999999999999"/>
    <x v="6"/>
    <m/>
    <n v="0"/>
    <x v="8"/>
    <x v="4"/>
    <x v="88"/>
    <x v="1"/>
    <x v="2"/>
    <x v="0"/>
  </r>
  <r>
    <x v="2685"/>
    <n v="88"/>
    <x v="3"/>
    <x v="3"/>
    <x v="35"/>
    <n v="3.48"/>
    <n v="0.2878"/>
    <x v="6"/>
    <m/>
    <n v="0"/>
    <x v="8"/>
    <x v="4"/>
    <x v="88"/>
    <x v="1"/>
    <x v="2"/>
    <x v="0"/>
  </r>
  <r>
    <x v="2686"/>
    <n v="88"/>
    <x v="3"/>
    <x v="3"/>
    <x v="10"/>
    <n v="2.9"/>
    <n v="0.21340000000000001"/>
    <x v="6"/>
    <m/>
    <n v="0"/>
    <x v="8"/>
    <x v="4"/>
    <x v="88"/>
    <x v="0"/>
    <x v="2"/>
    <x v="0"/>
  </r>
  <r>
    <x v="2687"/>
    <n v="87.26"/>
    <x v="1825"/>
    <x v="1632"/>
    <x v="1"/>
    <n v="2.62"/>
    <n v="0.15490000000000001"/>
    <x v="6"/>
    <m/>
    <n v="1"/>
    <x v="8"/>
    <x v="4"/>
    <x v="88"/>
    <x v="0"/>
    <x v="1"/>
    <x v="0"/>
  </r>
  <r>
    <x v="2688"/>
    <n v="85.36"/>
    <x v="1826"/>
    <x v="1633"/>
    <x v="13"/>
    <n v="2.98"/>
    <n v="0.17829999999999999"/>
    <x v="6"/>
    <m/>
    <n v="1"/>
    <x v="8"/>
    <x v="4"/>
    <x v="88"/>
    <x v="0"/>
    <x v="0"/>
    <x v="0"/>
  </r>
  <r>
    <x v="2689"/>
    <n v="83.54"/>
    <x v="1827"/>
    <x v="1634"/>
    <x v="38"/>
    <n v="3.32"/>
    <n v="0.20569999999999999"/>
    <x v="6"/>
    <m/>
    <n v="1"/>
    <x v="8"/>
    <x v="4"/>
    <x v="88"/>
    <x v="0"/>
    <x v="1"/>
    <x v="0"/>
  </r>
  <r>
    <x v="2690"/>
    <n v="86.12"/>
    <x v="1828"/>
    <x v="1635"/>
    <x v="1"/>
    <n v="3.14"/>
    <n v="0.20830000000000001"/>
    <x v="6"/>
    <m/>
    <n v="1"/>
    <x v="8"/>
    <x v="4"/>
    <x v="88"/>
    <x v="1"/>
    <x v="0"/>
    <x v="0"/>
  </r>
  <r>
    <x v="2691"/>
    <n v="86.12"/>
    <x v="3"/>
    <x v="3"/>
    <x v="7"/>
    <n v="3.11"/>
    <n v="0.26989999999999997"/>
    <x v="6"/>
    <m/>
    <n v="0"/>
    <x v="8"/>
    <x v="4"/>
    <x v="88"/>
    <x v="1"/>
    <x v="2"/>
    <x v="0"/>
  </r>
  <r>
    <x v="2692"/>
    <n v="86.12"/>
    <x v="3"/>
    <x v="3"/>
    <x v="12"/>
    <n v="3.6"/>
    <n v="0.2296"/>
    <x v="6"/>
    <m/>
    <n v="0"/>
    <x v="8"/>
    <x v="4"/>
    <x v="88"/>
    <x v="0"/>
    <x v="2"/>
    <x v="0"/>
  </r>
  <r>
    <x v="2693"/>
    <n v="85.7"/>
    <x v="1829"/>
    <x v="1636"/>
    <x v="13"/>
    <n v="3.15"/>
    <n v="0.23430000000000001"/>
    <x v="6"/>
    <m/>
    <n v="1"/>
    <x v="8"/>
    <x v="4"/>
    <x v="88"/>
    <x v="0"/>
    <x v="1"/>
    <x v="0"/>
  </r>
  <r>
    <x v="2694"/>
    <n v="85.58"/>
    <x v="1830"/>
    <x v="1637"/>
    <x v="13"/>
    <n v="3.4"/>
    <n v="0.21859999999999999"/>
    <x v="6"/>
    <m/>
    <n v="1"/>
    <x v="8"/>
    <x v="4"/>
    <x v="88"/>
    <x v="0"/>
    <x v="0"/>
    <x v="0"/>
  </r>
  <r>
    <x v="2695"/>
    <n v="84.64"/>
    <x v="1831"/>
    <x v="1476"/>
    <x v="34"/>
    <n v="3.29"/>
    <n v="0.24099999999999999"/>
    <x v="6"/>
    <m/>
    <n v="1"/>
    <x v="8"/>
    <x v="4"/>
    <x v="88"/>
    <x v="0"/>
    <x v="1"/>
    <x v="0"/>
  </r>
  <r>
    <x v="2696"/>
    <n v="83.16"/>
    <x v="1832"/>
    <x v="115"/>
    <x v="26"/>
    <n v="3.43"/>
    <n v="0.20519999999999999"/>
    <x v="6"/>
    <m/>
    <n v="1"/>
    <x v="8"/>
    <x v="4"/>
    <x v="88"/>
    <x v="0"/>
    <x v="1"/>
    <x v="0"/>
  </r>
  <r>
    <x v="2697"/>
    <n v="83.49"/>
    <x v="1833"/>
    <x v="1638"/>
    <x v="33"/>
    <n v="3.24"/>
    <n v="0.16550000000000001"/>
    <x v="6"/>
    <m/>
    <n v="1"/>
    <x v="8"/>
    <x v="4"/>
    <x v="88"/>
    <x v="1"/>
    <x v="0"/>
    <x v="0"/>
  </r>
  <r>
    <x v="2698"/>
    <n v="83.49"/>
    <x v="3"/>
    <x v="3"/>
    <x v="12"/>
    <n v="3.4"/>
    <n v="0.1484"/>
    <x v="6"/>
    <m/>
    <n v="0"/>
    <x v="8"/>
    <x v="4"/>
    <x v="88"/>
    <x v="1"/>
    <x v="2"/>
    <x v="0"/>
  </r>
  <r>
    <x v="2699"/>
    <n v="83.49"/>
    <x v="3"/>
    <x v="3"/>
    <x v="20"/>
    <n v="2.86"/>
    <n v="0.11550000000000001"/>
    <x v="6"/>
    <m/>
    <n v="0"/>
    <x v="8"/>
    <x v="5"/>
    <x v="89"/>
    <x v="0"/>
    <x v="2"/>
    <x v="0"/>
  </r>
  <r>
    <x v="2700"/>
    <n v="82.76"/>
    <x v="1834"/>
    <x v="269"/>
    <x v="36"/>
    <n v="3.31"/>
    <n v="0.2979"/>
    <x v="6"/>
    <m/>
    <n v="1"/>
    <x v="8"/>
    <x v="5"/>
    <x v="89"/>
    <x v="0"/>
    <x v="1"/>
    <x v="0"/>
  </r>
  <r>
    <x v="2701"/>
    <n v="79.94"/>
    <x v="1835"/>
    <x v="1639"/>
    <x v="17"/>
    <n v="3.51"/>
    <n v="0.32679999999999998"/>
    <x v="6"/>
    <m/>
    <n v="1"/>
    <x v="8"/>
    <x v="5"/>
    <x v="89"/>
    <x v="0"/>
    <x v="1"/>
    <x v="0"/>
  </r>
  <r>
    <x v="2702"/>
    <n v="80.16"/>
    <x v="1836"/>
    <x v="1640"/>
    <x v="41"/>
    <n v="3.39"/>
    <n v="0.247"/>
    <x v="6"/>
    <m/>
    <n v="1"/>
    <x v="8"/>
    <x v="5"/>
    <x v="89"/>
    <x v="0"/>
    <x v="0"/>
    <x v="0"/>
  </r>
  <r>
    <x v="2703"/>
    <n v="80.87"/>
    <x v="1837"/>
    <x v="1641"/>
    <x v="5"/>
    <n v="3.42"/>
    <n v="0.17369999999999999"/>
    <x v="6"/>
    <m/>
    <n v="1"/>
    <x v="8"/>
    <x v="5"/>
    <x v="89"/>
    <x v="0"/>
    <x v="1"/>
    <x v="0"/>
  </r>
  <r>
    <x v="2704"/>
    <n v="82.2"/>
    <x v="1838"/>
    <x v="1642"/>
    <x v="3"/>
    <n v="2.36"/>
    <n v="-2.93E-2"/>
    <x v="6"/>
    <m/>
    <n v="1"/>
    <x v="8"/>
    <x v="5"/>
    <x v="89"/>
    <x v="1"/>
    <x v="0"/>
    <x v="1"/>
  </r>
  <r>
    <x v="2705"/>
    <n v="82.2"/>
    <x v="3"/>
    <x v="3"/>
    <x v="41"/>
    <n v="3.2"/>
    <n v="0.33850000000000002"/>
    <x v="6"/>
    <m/>
    <n v="0"/>
    <x v="8"/>
    <x v="5"/>
    <x v="89"/>
    <x v="1"/>
    <x v="2"/>
    <x v="0"/>
  </r>
  <r>
    <x v="2706"/>
    <n v="82.2"/>
    <x v="3"/>
    <x v="3"/>
    <x v="12"/>
    <n v="3.43"/>
    <n v="0.14349999999999999"/>
    <x v="6"/>
    <m/>
    <n v="0"/>
    <x v="8"/>
    <x v="5"/>
    <x v="89"/>
    <x v="0"/>
    <x v="2"/>
    <x v="0"/>
  </r>
  <r>
    <x v="2707"/>
    <n v="81.47"/>
    <x v="1839"/>
    <x v="1643"/>
    <x v="3"/>
    <n v="3.16"/>
    <n v="0.12529999999999999"/>
    <x v="6"/>
    <m/>
    <n v="1"/>
    <x v="8"/>
    <x v="5"/>
    <x v="89"/>
    <x v="0"/>
    <x v="1"/>
    <x v="0"/>
  </r>
  <r>
    <x v="2708"/>
    <n v="82.21"/>
    <x v="1840"/>
    <x v="430"/>
    <x v="3"/>
    <n v="3.68"/>
    <n v="0.2422"/>
    <x v="6"/>
    <m/>
    <n v="1"/>
    <x v="8"/>
    <x v="5"/>
    <x v="89"/>
    <x v="0"/>
    <x v="1"/>
    <x v="0"/>
  </r>
  <r>
    <x v="2709"/>
    <n v="79.62"/>
    <x v="1841"/>
    <x v="1644"/>
    <x v="43"/>
    <n v="3.52"/>
    <n v="0.2356"/>
    <x v="6"/>
    <m/>
    <n v="1"/>
    <x v="8"/>
    <x v="5"/>
    <x v="89"/>
    <x v="0"/>
    <x v="1"/>
    <x v="0"/>
  </r>
  <r>
    <x v="2710"/>
    <n v="75.86"/>
    <x v="1842"/>
    <x v="1645"/>
    <x v="2"/>
    <n v="2.97"/>
    <n v="0.17080000000000001"/>
    <x v="6"/>
    <m/>
    <n v="1"/>
    <x v="8"/>
    <x v="5"/>
    <x v="89"/>
    <x v="0"/>
    <x v="1"/>
    <x v="0"/>
  </r>
  <r>
    <x v="2711"/>
    <n v="76.87"/>
    <x v="1843"/>
    <x v="1646"/>
    <x v="18"/>
    <n v="3.92"/>
    <n v="0.22500000000000001"/>
    <x v="6"/>
    <m/>
    <n v="1"/>
    <x v="8"/>
    <x v="5"/>
    <x v="89"/>
    <x v="1"/>
    <x v="0"/>
    <x v="0"/>
  </r>
  <r>
    <x v="2712"/>
    <n v="76.87"/>
    <x v="3"/>
    <x v="3"/>
    <x v="5"/>
    <n v="3.76"/>
    <n v="0.2147"/>
    <x v="6"/>
    <m/>
    <n v="0"/>
    <x v="8"/>
    <x v="5"/>
    <x v="89"/>
    <x v="1"/>
    <x v="2"/>
    <x v="0"/>
  </r>
  <r>
    <x v="2713"/>
    <n v="76.87"/>
    <x v="3"/>
    <x v="3"/>
    <x v="3"/>
    <n v="3.27"/>
    <n v="0.20519999999999999"/>
    <x v="6"/>
    <m/>
    <n v="0"/>
    <x v="8"/>
    <x v="5"/>
    <x v="89"/>
    <x v="1"/>
    <x v="2"/>
    <x v="0"/>
  </r>
  <r>
    <x v="2714"/>
    <n v="76.87"/>
    <x v="3"/>
    <x v="3"/>
    <x v="36"/>
    <n v="3.56"/>
    <n v="0.26790000000000003"/>
    <x v="6"/>
    <m/>
    <n v="0"/>
    <x v="8"/>
    <x v="5"/>
    <x v="89"/>
    <x v="0"/>
    <x v="2"/>
    <x v="0"/>
  </r>
  <r>
    <x v="2715"/>
    <n v="77"/>
    <x v="1844"/>
    <x v="1647"/>
    <x v="19"/>
    <n v="3.35"/>
    <n v="0.25819999999999999"/>
    <x v="6"/>
    <m/>
    <n v="1"/>
    <x v="8"/>
    <x v="5"/>
    <x v="89"/>
    <x v="0"/>
    <x v="0"/>
    <x v="0"/>
  </r>
  <r>
    <x v="2716"/>
    <n v="77.989999999999995"/>
    <x v="1845"/>
    <x v="1648"/>
    <x v="13"/>
    <n v="2.2799999999999998"/>
    <n v="-1.8200000000000001E-2"/>
    <x v="6"/>
    <m/>
    <n v="1"/>
    <x v="8"/>
    <x v="5"/>
    <x v="89"/>
    <x v="0"/>
    <x v="0"/>
    <x v="1"/>
  </r>
  <r>
    <x v="2717"/>
    <n v="77"/>
    <x v="1846"/>
    <x v="162"/>
    <x v="28"/>
    <n v="3.29"/>
    <n v="0.1027"/>
    <x v="6"/>
    <m/>
    <n v="1"/>
    <x v="8"/>
    <x v="5"/>
    <x v="89"/>
    <x v="0"/>
    <x v="1"/>
    <x v="0"/>
  </r>
  <r>
    <x v="2718"/>
    <n v="78.67"/>
    <x v="1847"/>
    <x v="1649"/>
    <x v="1"/>
    <n v="3.41"/>
    <n v="0.2833"/>
    <x v="6"/>
    <m/>
    <n v="1"/>
    <x v="8"/>
    <x v="5"/>
    <x v="89"/>
    <x v="1"/>
    <x v="0"/>
    <x v="0"/>
  </r>
  <r>
    <x v="2719"/>
    <n v="78.67"/>
    <x v="3"/>
    <x v="3"/>
    <x v="13"/>
    <n v="2.42"/>
    <n v="6.9900000000000004E-2"/>
    <x v="6"/>
    <m/>
    <n v="0"/>
    <x v="8"/>
    <x v="5"/>
    <x v="89"/>
    <x v="1"/>
    <x v="2"/>
    <x v="1"/>
  </r>
  <r>
    <x v="2720"/>
    <n v="78.67"/>
    <x v="3"/>
    <x v="3"/>
    <x v="4"/>
    <n v="3.33"/>
    <n v="0.23599999999999999"/>
    <x v="6"/>
    <m/>
    <n v="0"/>
    <x v="8"/>
    <x v="5"/>
    <x v="89"/>
    <x v="0"/>
    <x v="2"/>
    <x v="0"/>
  </r>
  <r>
    <x v="2721"/>
    <n v="76.02"/>
    <x v="1848"/>
    <x v="1650"/>
    <x v="26"/>
    <n v="3.43"/>
    <n v="0.23699999999999999"/>
    <x v="6"/>
    <m/>
    <n v="1"/>
    <x v="8"/>
    <x v="5"/>
    <x v="89"/>
    <x v="0"/>
    <x v="1"/>
    <x v="0"/>
  </r>
  <r>
    <x v="2722"/>
    <n v="78.040000000000006"/>
    <x v="1849"/>
    <x v="865"/>
    <x v="11"/>
    <n v="3.69"/>
    <n v="0.28110000000000002"/>
    <x v="6"/>
    <m/>
    <n v="1"/>
    <x v="8"/>
    <x v="5"/>
    <x v="89"/>
    <x v="0"/>
    <x v="0"/>
    <x v="0"/>
  </r>
  <r>
    <x v="2723"/>
    <n v="82.7"/>
    <x v="1850"/>
    <x v="1651"/>
    <x v="26"/>
    <n v="3.43"/>
    <n v="0.29680000000000001"/>
    <x v="6"/>
    <m/>
    <n v="1"/>
    <x v="8"/>
    <x v="5"/>
    <x v="89"/>
    <x v="0"/>
    <x v="0"/>
    <x v="0"/>
  </r>
  <r>
    <x v="2724"/>
    <n v="84.59"/>
    <x v="1851"/>
    <x v="1652"/>
    <x v="38"/>
    <n v="3"/>
    <n v="0.1205"/>
    <x v="6"/>
    <m/>
    <n v="1"/>
    <x v="8"/>
    <x v="5"/>
    <x v="89"/>
    <x v="0"/>
    <x v="0"/>
    <x v="0"/>
  </r>
  <r>
    <x v="2725"/>
    <n v="96.24"/>
    <x v="1852"/>
    <x v="381"/>
    <x v="2"/>
    <n v="4.0599999999999996"/>
    <n v="0.28339999999999999"/>
    <x v="6"/>
    <m/>
    <n v="1"/>
    <x v="8"/>
    <x v="5"/>
    <x v="89"/>
    <x v="1"/>
    <x v="0"/>
    <x v="0"/>
  </r>
  <r>
    <x v="2726"/>
    <n v="96.24"/>
    <x v="3"/>
    <x v="3"/>
    <x v="16"/>
    <n v="2.89"/>
    <n v="0.23810000000000001"/>
    <x v="6"/>
    <m/>
    <n v="0"/>
    <x v="8"/>
    <x v="5"/>
    <x v="89"/>
    <x v="1"/>
    <x v="2"/>
    <x v="0"/>
  </r>
  <r>
    <x v="2727"/>
    <n v="96.24"/>
    <x v="3"/>
    <x v="3"/>
    <x v="23"/>
    <n v="3.24"/>
    <n v="0.2137"/>
    <x v="6"/>
    <m/>
    <n v="0"/>
    <x v="8"/>
    <x v="6"/>
    <x v="90"/>
    <x v="0"/>
    <x v="2"/>
    <x v="0"/>
  </r>
  <r>
    <x v="2728"/>
    <n v="97.09"/>
    <x v="1853"/>
    <x v="1182"/>
    <x v="17"/>
    <n v="3.51"/>
    <n v="0.29699999999999999"/>
    <x v="6"/>
    <m/>
    <n v="1"/>
    <x v="8"/>
    <x v="6"/>
    <x v="90"/>
    <x v="0"/>
    <x v="0"/>
    <x v="0"/>
  </r>
  <r>
    <x v="2729"/>
    <n v="97.7"/>
    <x v="1854"/>
    <x v="1653"/>
    <x v="4"/>
    <n v="3.28"/>
    <n v="0.2291"/>
    <x v="6"/>
    <m/>
    <n v="1"/>
    <x v="8"/>
    <x v="6"/>
    <x v="90"/>
    <x v="0"/>
    <x v="0"/>
    <x v="0"/>
  </r>
  <r>
    <x v="2730"/>
    <n v="98.66"/>
    <x v="1855"/>
    <x v="1654"/>
    <x v="12"/>
    <n v="3.28"/>
    <n v="0.23219999999999999"/>
    <x v="6"/>
    <m/>
    <n v="1"/>
    <x v="8"/>
    <x v="6"/>
    <x v="90"/>
    <x v="0"/>
    <x v="0"/>
    <x v="0"/>
  </r>
  <r>
    <x v="2731"/>
    <n v="99.17"/>
    <x v="1856"/>
    <x v="1655"/>
    <x v="168"/>
    <n v="2.12"/>
    <n v="1.6E-2"/>
    <x v="6"/>
    <m/>
    <n v="1"/>
    <x v="8"/>
    <x v="6"/>
    <x v="90"/>
    <x v="0"/>
    <x v="0"/>
    <x v="1"/>
  </r>
  <r>
    <x v="2732"/>
    <n v="99.02"/>
    <x v="1857"/>
    <x v="1628"/>
    <x v="3"/>
    <n v="3.66"/>
    <n v="0.34710000000000002"/>
    <x v="6"/>
    <m/>
    <n v="1"/>
    <x v="8"/>
    <x v="6"/>
    <x v="90"/>
    <x v="1"/>
    <x v="1"/>
    <x v="0"/>
  </r>
  <r>
    <x v="2733"/>
    <n v="99.02"/>
    <x v="3"/>
    <x v="3"/>
    <x v="10"/>
    <n v="3.21"/>
    <n v="0.16889999999999999"/>
    <x v="6"/>
    <m/>
    <n v="0"/>
    <x v="8"/>
    <x v="6"/>
    <x v="90"/>
    <x v="1"/>
    <x v="2"/>
    <x v="0"/>
  </r>
  <r>
    <x v="2734"/>
    <n v="99.02"/>
    <x v="3"/>
    <x v="3"/>
    <x v="8"/>
    <n v="3.48"/>
    <n v="0.16600000000000001"/>
    <x v="6"/>
    <m/>
    <n v="0"/>
    <x v="8"/>
    <x v="6"/>
    <x v="90"/>
    <x v="0"/>
    <x v="2"/>
    <x v="0"/>
  </r>
  <r>
    <x v="2735"/>
    <n v="98.32"/>
    <x v="1858"/>
    <x v="684"/>
    <x v="37"/>
    <n v="2.84"/>
    <n v="6.2199999999999998E-2"/>
    <x v="6"/>
    <m/>
    <n v="1"/>
    <x v="8"/>
    <x v="6"/>
    <x v="90"/>
    <x v="0"/>
    <x v="0"/>
    <x v="1"/>
  </r>
  <r>
    <x v="2736"/>
    <n v="96.94"/>
    <x v="1859"/>
    <x v="166"/>
    <x v="16"/>
    <n v="3.32"/>
    <n v="0.22470000000000001"/>
    <x v="6"/>
    <m/>
    <n v="1"/>
    <x v="8"/>
    <x v="6"/>
    <x v="90"/>
    <x v="0"/>
    <x v="1"/>
    <x v="0"/>
  </r>
  <r>
    <x v="2737"/>
    <n v="94.89"/>
    <x v="1860"/>
    <x v="1656"/>
    <x v="4"/>
    <n v="2.89"/>
    <n v="0.15190000000000001"/>
    <x v="6"/>
    <m/>
    <n v="1"/>
    <x v="8"/>
    <x v="6"/>
    <x v="90"/>
    <x v="0"/>
    <x v="1"/>
    <x v="0"/>
  </r>
  <r>
    <x v="2738"/>
    <n v="94.31"/>
    <x v="1861"/>
    <x v="873"/>
    <x v="12"/>
    <n v="3.51"/>
    <n v="0.2044"/>
    <x v="6"/>
    <m/>
    <n v="1"/>
    <x v="8"/>
    <x v="6"/>
    <x v="90"/>
    <x v="0"/>
    <x v="1"/>
    <x v="0"/>
  </r>
  <r>
    <x v="2739"/>
    <n v="95.31"/>
    <x v="1862"/>
    <x v="81"/>
    <x v="7"/>
    <n v="2.91"/>
    <n v="0.13400000000000001"/>
    <x v="6"/>
    <m/>
    <n v="1"/>
    <x v="8"/>
    <x v="6"/>
    <x v="90"/>
    <x v="1"/>
    <x v="0"/>
    <x v="0"/>
  </r>
  <r>
    <x v="2740"/>
    <n v="95.31"/>
    <x v="3"/>
    <x v="3"/>
    <x v="12"/>
    <n v="3.4"/>
    <n v="0.24640000000000001"/>
    <x v="6"/>
    <m/>
    <n v="0"/>
    <x v="8"/>
    <x v="6"/>
    <x v="90"/>
    <x v="1"/>
    <x v="2"/>
    <x v="0"/>
  </r>
  <r>
    <x v="2741"/>
    <n v="95.31"/>
    <x v="3"/>
    <x v="3"/>
    <x v="32"/>
    <n v="3.31"/>
    <n v="0.188"/>
    <x v="6"/>
    <m/>
    <n v="0"/>
    <x v="8"/>
    <x v="6"/>
    <x v="90"/>
    <x v="0"/>
    <x v="2"/>
    <x v="0"/>
  </r>
  <r>
    <x v="2742"/>
    <n v="95.2"/>
    <x v="1863"/>
    <x v="1657"/>
    <x v="37"/>
    <n v="3.06"/>
    <n v="0.19550000000000001"/>
    <x v="6"/>
    <m/>
    <n v="1"/>
    <x v="8"/>
    <x v="6"/>
    <x v="90"/>
    <x v="0"/>
    <x v="1"/>
    <x v="0"/>
  </r>
  <r>
    <x v="2743"/>
    <n v="94.36"/>
    <x v="1864"/>
    <x v="58"/>
    <x v="44"/>
    <n v="3.13"/>
    <n v="0.1968"/>
    <x v="6"/>
    <m/>
    <n v="1"/>
    <x v="8"/>
    <x v="6"/>
    <x v="90"/>
    <x v="0"/>
    <x v="1"/>
    <x v="0"/>
  </r>
  <r>
    <x v="2744"/>
    <n v="94.7"/>
    <x v="1865"/>
    <x v="156"/>
    <x v="41"/>
    <n v="3.05"/>
    <n v="0.1578"/>
    <x v="6"/>
    <m/>
    <n v="1"/>
    <x v="8"/>
    <x v="6"/>
    <x v="90"/>
    <x v="0"/>
    <x v="0"/>
    <x v="0"/>
  </r>
  <r>
    <x v="2745"/>
    <n v="91.74"/>
    <x v="1866"/>
    <x v="1658"/>
    <x v="8"/>
    <n v="2.77"/>
    <n v="0.1022"/>
    <x v="6"/>
    <m/>
    <n v="1"/>
    <x v="8"/>
    <x v="6"/>
    <x v="90"/>
    <x v="0"/>
    <x v="1"/>
    <x v="0"/>
  </r>
  <r>
    <x v="2746"/>
    <n v="91.82"/>
    <x v="1867"/>
    <x v="1659"/>
    <x v="8"/>
    <n v="3.65"/>
    <n v="0.30630000000000002"/>
    <x v="6"/>
    <m/>
    <n v="1"/>
    <x v="8"/>
    <x v="6"/>
    <x v="90"/>
    <x v="1"/>
    <x v="0"/>
    <x v="0"/>
  </r>
  <r>
    <x v="2747"/>
    <n v="91.82"/>
    <x v="3"/>
    <x v="3"/>
    <x v="48"/>
    <n v="2.92"/>
    <n v="6.4399999999999999E-2"/>
    <x v="6"/>
    <m/>
    <n v="0"/>
    <x v="8"/>
    <x v="6"/>
    <x v="90"/>
    <x v="1"/>
    <x v="2"/>
    <x v="1"/>
  </r>
  <r>
    <x v="2748"/>
    <n v="91.82"/>
    <x v="3"/>
    <x v="3"/>
    <x v="40"/>
    <n v="3.51"/>
    <n v="0.2059"/>
    <x v="6"/>
    <m/>
    <n v="0"/>
    <x v="8"/>
    <x v="6"/>
    <x v="90"/>
    <x v="0"/>
    <x v="2"/>
    <x v="0"/>
  </r>
  <r>
    <x v="2749"/>
    <n v="93.38"/>
    <x v="1868"/>
    <x v="1642"/>
    <x v="27"/>
    <n v="3.6"/>
    <n v="0.2515"/>
    <x v="6"/>
    <m/>
    <n v="1"/>
    <x v="8"/>
    <x v="6"/>
    <x v="90"/>
    <x v="0"/>
    <x v="0"/>
    <x v="0"/>
  </r>
  <r>
    <x v="2750"/>
    <n v="90.92"/>
    <x v="1869"/>
    <x v="1660"/>
    <x v="20"/>
    <n v="2.84"/>
    <n v="9.3899999999999997E-2"/>
    <x v="6"/>
    <m/>
    <n v="1"/>
    <x v="8"/>
    <x v="6"/>
    <x v="90"/>
    <x v="0"/>
    <x v="1"/>
    <x v="1"/>
  </r>
  <r>
    <x v="2751"/>
    <n v="92.28"/>
    <x v="1870"/>
    <x v="534"/>
    <x v="41"/>
    <n v="3.27"/>
    <n v="0.27829999999999999"/>
    <x v="6"/>
    <m/>
    <n v="1"/>
    <x v="8"/>
    <x v="6"/>
    <x v="90"/>
    <x v="0"/>
    <x v="0"/>
    <x v="0"/>
  </r>
  <r>
    <x v="2752"/>
    <n v="93.32"/>
    <x v="1871"/>
    <x v="1661"/>
    <x v="104"/>
    <n v="2.89"/>
    <n v="0.1978"/>
    <x v="6"/>
    <m/>
    <n v="1"/>
    <x v="8"/>
    <x v="6"/>
    <x v="90"/>
    <x v="0"/>
    <x v="0"/>
    <x v="0"/>
  </r>
  <r>
    <x v="2753"/>
    <n v="93.43"/>
    <x v="1872"/>
    <x v="1338"/>
    <x v="0"/>
    <n v="2.82"/>
    <n v="0.1009"/>
    <x v="6"/>
    <m/>
    <n v="1"/>
    <x v="8"/>
    <x v="6"/>
    <x v="90"/>
    <x v="1"/>
    <x v="1"/>
    <x v="0"/>
  </r>
  <r>
    <x v="2754"/>
    <n v="93.43"/>
    <x v="3"/>
    <x v="3"/>
    <x v="150"/>
    <n v="1.5"/>
    <n v="-0.32340000000000002"/>
    <x v="6"/>
    <m/>
    <n v="0"/>
    <x v="8"/>
    <x v="6"/>
    <x v="90"/>
    <x v="1"/>
    <x v="2"/>
    <x v="2"/>
  </r>
  <r>
    <x v="2755"/>
    <n v="93.43"/>
    <x v="3"/>
    <x v="3"/>
    <x v="129"/>
    <m/>
    <m/>
    <x v="6"/>
    <m/>
    <n v="0"/>
    <x v="8"/>
    <x v="6"/>
    <x v="90"/>
    <x v="0"/>
    <x v="2"/>
    <x v="1"/>
  </r>
  <r>
    <x v="2756"/>
    <n v="92.97"/>
    <x v="1873"/>
    <x v="1662"/>
    <x v="169"/>
    <n v="1.47"/>
    <n v="-9.7199999999999995E-2"/>
    <x v="6"/>
    <m/>
    <n v="1"/>
    <x v="8"/>
    <x v="6"/>
    <x v="90"/>
    <x v="0"/>
    <x v="0"/>
    <x v="1"/>
  </r>
  <r>
    <x v="2757"/>
    <n v="96.15"/>
    <x v="1874"/>
    <x v="1663"/>
    <x v="170"/>
    <n v="1.36"/>
    <n v="-7.6300000000000007E-2"/>
    <x v="6"/>
    <m/>
    <n v="1"/>
    <x v="8"/>
    <x v="6"/>
    <x v="90"/>
    <x v="0"/>
    <x v="0"/>
    <x v="1"/>
  </r>
  <r>
    <x v="2758"/>
    <n v="95.55"/>
    <x v="1875"/>
    <x v="1664"/>
    <x v="55"/>
    <n v="1.94"/>
    <n v="2.9100000000000001E-2"/>
    <x v="6"/>
    <m/>
    <n v="1"/>
    <x v="8"/>
    <x v="7"/>
    <x v="91"/>
    <x v="0"/>
    <x v="1"/>
    <x v="1"/>
  </r>
  <r>
    <x v="2759"/>
    <n v="98.66"/>
    <x v="1876"/>
    <x v="1665"/>
    <x v="92"/>
    <n v="2.19"/>
    <n v="2.1399999999999999E-2"/>
    <x v="6"/>
    <m/>
    <n v="1"/>
    <x v="8"/>
    <x v="7"/>
    <x v="91"/>
    <x v="1"/>
    <x v="0"/>
    <x v="1"/>
  </r>
  <r>
    <x v="2760"/>
    <n v="98.66"/>
    <x v="3"/>
    <x v="3"/>
    <x v="73"/>
    <n v="2.61"/>
    <n v="0.1636"/>
    <x v="6"/>
    <m/>
    <n v="0"/>
    <x v="8"/>
    <x v="7"/>
    <x v="91"/>
    <x v="1"/>
    <x v="2"/>
    <x v="0"/>
  </r>
  <r>
    <x v="2761"/>
    <n v="98.66"/>
    <x v="3"/>
    <x v="3"/>
    <x v="44"/>
    <n v="2.84"/>
    <n v="0.16089999999999999"/>
    <x v="6"/>
    <m/>
    <n v="0"/>
    <x v="8"/>
    <x v="7"/>
    <x v="91"/>
    <x v="1"/>
    <x v="2"/>
    <x v="0"/>
  </r>
  <r>
    <x v="2762"/>
    <n v="98.66"/>
    <x v="3"/>
    <x v="3"/>
    <x v="14"/>
    <n v="2.79"/>
    <n v="0.1545"/>
    <x v="6"/>
    <m/>
    <n v="0"/>
    <x v="8"/>
    <x v="7"/>
    <x v="91"/>
    <x v="0"/>
    <x v="2"/>
    <x v="0"/>
  </r>
  <r>
    <x v="2763"/>
    <n v="98.93"/>
    <x v="1877"/>
    <x v="1666"/>
    <x v="23"/>
    <n v="2.98"/>
    <n v="0.1474"/>
    <x v="6"/>
    <m/>
    <n v="1"/>
    <x v="8"/>
    <x v="7"/>
    <x v="91"/>
    <x v="0"/>
    <x v="1"/>
    <x v="0"/>
  </r>
  <r>
    <x v="2764"/>
    <n v="98.82"/>
    <x v="1878"/>
    <x v="1362"/>
    <x v="13"/>
    <n v="3.1"/>
    <n v="0.1429"/>
    <x v="6"/>
    <m/>
    <n v="1"/>
    <x v="8"/>
    <x v="7"/>
    <x v="91"/>
    <x v="0"/>
    <x v="0"/>
    <x v="0"/>
  </r>
  <r>
    <x v="2765"/>
    <n v="99.39"/>
    <x v="1879"/>
    <x v="1667"/>
    <x v="41"/>
    <n v="3.34"/>
    <n v="5.9400000000000001E-2"/>
    <x v="6"/>
    <m/>
    <n v="1"/>
    <x v="8"/>
    <x v="7"/>
    <x v="91"/>
    <x v="0"/>
    <x v="1"/>
    <x v="1"/>
  </r>
  <r>
    <x v="2766"/>
    <n v="102.05"/>
    <x v="1880"/>
    <x v="1668"/>
    <x v="13"/>
    <n v="2.5499999999999998"/>
    <n v="4.5999999999999999E-3"/>
    <x v="6"/>
    <m/>
    <n v="1"/>
    <x v="8"/>
    <x v="7"/>
    <x v="91"/>
    <x v="0"/>
    <x v="0"/>
    <x v="1"/>
  </r>
  <r>
    <x v="2767"/>
    <n v="103.01"/>
    <x v="1881"/>
    <x v="1669"/>
    <x v="35"/>
    <n v="3.24"/>
    <n v="0.21410000000000001"/>
    <x v="6"/>
    <m/>
    <n v="1"/>
    <x v="8"/>
    <x v="7"/>
    <x v="91"/>
    <x v="1"/>
    <x v="0"/>
    <x v="0"/>
  </r>
  <r>
    <x v="2768"/>
    <n v="103.01"/>
    <x v="3"/>
    <x v="3"/>
    <x v="19"/>
    <n v="2.4700000000000002"/>
    <n v="6.3E-3"/>
    <x v="6"/>
    <m/>
    <n v="0"/>
    <x v="8"/>
    <x v="7"/>
    <x v="91"/>
    <x v="1"/>
    <x v="2"/>
    <x v="1"/>
  </r>
  <r>
    <x v="2769"/>
    <n v="103.01"/>
    <x v="3"/>
    <x v="3"/>
    <x v="12"/>
    <n v="3.15"/>
    <n v="-5.5999999999999999E-3"/>
    <x v="6"/>
    <m/>
    <n v="0"/>
    <x v="8"/>
    <x v="7"/>
    <x v="91"/>
    <x v="0"/>
    <x v="2"/>
    <x v="1"/>
  </r>
  <r>
    <x v="2770"/>
    <n v="103.03"/>
    <x v="1882"/>
    <x v="1670"/>
    <x v="19"/>
    <n v="2.91"/>
    <n v="0.1163"/>
    <x v="6"/>
    <m/>
    <n v="1"/>
    <x v="8"/>
    <x v="7"/>
    <x v="91"/>
    <x v="0"/>
    <x v="1"/>
    <x v="0"/>
  </r>
  <r>
    <x v="2771"/>
    <n v="77.900000000000006"/>
    <x v="1883"/>
    <x v="1671"/>
    <x v="171"/>
    <n v="4.2"/>
    <n v="0.37169999999999997"/>
    <x v="6"/>
    <m/>
    <n v="1"/>
    <x v="8"/>
    <x v="0"/>
    <x v="92"/>
    <x v="0"/>
    <x v="1"/>
    <x v="0"/>
  </r>
  <r>
    <x v="2772"/>
    <n v="76.41"/>
    <x v="1884"/>
    <x v="1672"/>
    <x v="172"/>
    <n v="4.4000000000000004"/>
    <n v="0.41089999999999999"/>
    <x v="6"/>
    <m/>
    <n v="1"/>
    <x v="8"/>
    <x v="0"/>
    <x v="92"/>
    <x v="0"/>
    <x v="1"/>
    <x v="0"/>
  </r>
  <r>
    <x v="2773"/>
    <n v="75.31"/>
    <x v="1885"/>
    <x v="127"/>
    <x v="173"/>
    <n v="4.33"/>
    <n v="0.3836"/>
    <x v="6"/>
    <m/>
    <n v="1"/>
    <x v="8"/>
    <x v="0"/>
    <x v="92"/>
    <x v="0"/>
    <x v="1"/>
    <x v="0"/>
  </r>
  <r>
    <x v="2774"/>
    <n v="71.790000000000006"/>
    <x v="1886"/>
    <x v="1673"/>
    <x v="120"/>
    <n v="4.4800000000000004"/>
    <n v="0.41"/>
    <x v="6"/>
    <m/>
    <n v="1"/>
    <x v="8"/>
    <x v="0"/>
    <x v="92"/>
    <x v="0"/>
    <x v="0"/>
    <x v="0"/>
  </r>
  <r>
    <x v="2775"/>
    <n v="71.790000000000006"/>
    <x v="1887"/>
    <x v="1673"/>
    <x v="174"/>
    <n v="4.2699999999999996"/>
    <n v="0.3548"/>
    <x v="6"/>
    <m/>
    <n v="1"/>
    <x v="8"/>
    <x v="0"/>
    <x v="92"/>
    <x v="1"/>
    <x v="0"/>
    <x v="0"/>
  </r>
  <r>
    <x v="2776"/>
    <n v="71.790000000000006"/>
    <x v="3"/>
    <x v="3"/>
    <x v="175"/>
    <n v="4.25"/>
    <n v="0.34329999999999999"/>
    <x v="6"/>
    <m/>
    <n v="0"/>
    <x v="8"/>
    <x v="0"/>
    <x v="92"/>
    <x v="0"/>
    <x v="2"/>
    <x v="0"/>
  </r>
  <r>
    <x v="2777"/>
    <n v="73.36"/>
    <x v="1888"/>
    <x v="1674"/>
    <x v="125"/>
    <n v="4.26"/>
    <n v="0.38369999999999999"/>
    <x v="6"/>
    <m/>
    <n v="1"/>
    <x v="8"/>
    <x v="0"/>
    <x v="92"/>
    <x v="0"/>
    <x v="0"/>
    <x v="0"/>
  </r>
  <r>
    <x v="2778"/>
    <n v="72.16"/>
    <x v="1889"/>
    <x v="1675"/>
    <x v="176"/>
    <n v="4.1900000000000004"/>
    <n v="0.39579999999999999"/>
    <x v="6"/>
    <m/>
    <n v="1"/>
    <x v="8"/>
    <x v="0"/>
    <x v="92"/>
    <x v="0"/>
    <x v="1"/>
    <x v="0"/>
  </r>
  <r>
    <x v="2779"/>
    <n v="71.36"/>
    <x v="1890"/>
    <x v="1676"/>
    <x v="177"/>
    <n v="4.2699999999999996"/>
    <n v="0.43059999999999998"/>
    <x v="6"/>
    <m/>
    <n v="1"/>
    <x v="8"/>
    <x v="0"/>
    <x v="92"/>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7C3738-4E47-426C-9679-C219CF89C5D8}" name="PivotTable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C20" firstHeaderRow="0" firstDataRow="1" firstDataCol="1"/>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dataField="1" showAll="0"/>
    <pivotField showAll="0"/>
    <pivotField dataField="1"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axis="axisRow" showAll="0" measureFilter="1">
      <items count="10">
        <item x="0"/>
        <item x="1"/>
        <item x="2"/>
        <item x="3"/>
        <item x="4"/>
        <item x="5"/>
        <item x="6"/>
        <item x="7"/>
        <item x="8"/>
        <item t="default"/>
      </items>
    </pivotField>
    <pivotField axis="axisRow" showAll="0" measureFilter="1">
      <items count="13">
        <item x="4"/>
        <item x="5"/>
        <item x="6"/>
        <item x="7"/>
        <item x="8"/>
        <item x="9"/>
        <item x="10"/>
        <item x="11"/>
        <item x="0"/>
        <item x="1"/>
        <item x="2"/>
        <item x="3"/>
        <item t="default"/>
      </items>
    </pivotField>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Fields count="2">
    <field x="10"/>
    <field x="11"/>
  </rowFields>
  <rowItems count="19">
    <i>
      <x/>
    </i>
    <i r="1">
      <x v="9"/>
    </i>
    <i>
      <x v="1"/>
    </i>
    <i r="1">
      <x v="4"/>
    </i>
    <i>
      <x v="2"/>
    </i>
    <i r="1">
      <x v="11"/>
    </i>
    <i>
      <x v="3"/>
    </i>
    <i r="1">
      <x v="10"/>
    </i>
    <i>
      <x v="4"/>
    </i>
    <i r="1">
      <x/>
    </i>
    <i>
      <x v="5"/>
    </i>
    <i r="1">
      <x v="11"/>
    </i>
    <i>
      <x v="6"/>
    </i>
    <i r="1">
      <x v="11"/>
    </i>
    <i>
      <x v="7"/>
    </i>
    <i r="1">
      <x v="6"/>
    </i>
    <i>
      <x v="8"/>
    </i>
    <i r="1">
      <x v="2"/>
    </i>
    <i t="grand">
      <x/>
    </i>
  </rowItems>
  <colFields count="1">
    <field x="-2"/>
  </colFields>
  <colItems count="2">
    <i>
      <x/>
    </i>
    <i i="1">
      <x v="1"/>
    </i>
  </colItems>
  <dataFields count="2">
    <dataField name="Sum of stock_close" fld="1" baseField="11" baseItem="10" numFmtId="1"/>
    <dataField name="Sum of stock_daily_return_pct" fld="3" baseField="11" baseItem="10" numFmtId="1"/>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3">
          <reference field="4294967294" count="1" selected="0">
            <x v="0"/>
          </reference>
          <reference field="10" count="1" selected="0">
            <x v="4"/>
          </reference>
          <reference field="11" count="1" selected="0">
            <x v="11"/>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10" filterVal="10"/>
        </filterColumn>
      </autoFilter>
    </filter>
    <filter fld="11" type="sum"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84995-456E-48E0-8E42-8C0EEC2A6280}" name="PivotTable7"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W3:AA13" firstHeaderRow="0" firstDataRow="1" firstDataCol="1"/>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dataField="1" showAll="0"/>
    <pivotField showAll="0"/>
    <pivotField showAll="0"/>
    <pivotField dataField="1"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dataField="1" showAll="0"/>
    <pivotField dataField="1" showAll="0"/>
    <pivotField showAll="0"/>
    <pivotField showAll="0"/>
    <pivotField showAll="0"/>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Fields count="1">
    <field x="10"/>
  </rowFields>
  <rowItems count="10">
    <i>
      <x/>
    </i>
    <i>
      <x v="1"/>
    </i>
    <i>
      <x v="2"/>
    </i>
    <i>
      <x v="3"/>
    </i>
    <i>
      <x v="4"/>
    </i>
    <i>
      <x v="5"/>
    </i>
    <i>
      <x v="6"/>
    </i>
    <i>
      <x v="7"/>
    </i>
    <i>
      <x v="8"/>
    </i>
    <i t="grand">
      <x/>
    </i>
  </rowItems>
  <colFields count="1">
    <field x="-2"/>
  </colFields>
  <colItems count="4">
    <i>
      <x/>
    </i>
    <i i="1">
      <x v="1"/>
    </i>
    <i i="2">
      <x v="2"/>
    </i>
    <i i="3">
      <x v="3"/>
    </i>
  </colItems>
  <dataFields count="4">
    <dataField name="Average of stock_close" fld="1" subtotal="average" baseField="0" baseItem="0" numFmtId="164"/>
    <dataField name="Count of reviews_avg_rating" fld="5" subtotal="count" baseField="0" baseItem="0"/>
    <dataField name="Sum of reviews_sentiment_score" fld="6" baseField="0" baseItem="0" numFmtId="164"/>
    <dataField name="Count of reviews_count" fld="4" subtotal="countNums"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3"/>
          </reference>
          <reference field="10" count="1" selected="0">
            <x v="5"/>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 chart="11" format="11"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C13F61-3E55-4D6A-AA48-E9D7E3673AB1}" name="PivotTable2"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3:M32" firstHeaderRow="0" firstDataRow="1" firstDataCol="1"/>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dataField="1" showAll="0"/>
    <pivotField dataField="1" showAll="0"/>
    <pivotField dataField="1"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axis="axisRow" showAll="0" measureFilter="1">
      <items count="94">
        <item x="7"/>
        <item x="19"/>
        <item x="31"/>
        <item x="43"/>
        <item x="55"/>
        <item x="67"/>
        <item x="79"/>
        <item x="91"/>
        <item x="11"/>
        <item x="23"/>
        <item x="35"/>
        <item x="47"/>
        <item x="59"/>
        <item x="71"/>
        <item x="83"/>
        <item x="3"/>
        <item x="15"/>
        <item x="27"/>
        <item x="39"/>
        <item x="51"/>
        <item x="63"/>
        <item x="75"/>
        <item x="87"/>
        <item x="5"/>
        <item x="17"/>
        <item x="29"/>
        <item x="41"/>
        <item x="53"/>
        <item x="65"/>
        <item x="77"/>
        <item x="89"/>
        <item x="4"/>
        <item x="16"/>
        <item x="28"/>
        <item x="40"/>
        <item x="52"/>
        <item x="64"/>
        <item x="76"/>
        <item x="88"/>
        <item x="10"/>
        <item x="22"/>
        <item x="34"/>
        <item x="46"/>
        <item x="58"/>
        <item x="70"/>
        <item x="82"/>
        <item x="9"/>
        <item x="21"/>
        <item x="33"/>
        <item x="45"/>
        <item x="57"/>
        <item x="69"/>
        <item x="81"/>
        <item x="6"/>
        <item x="18"/>
        <item x="30"/>
        <item x="42"/>
        <item x="54"/>
        <item x="66"/>
        <item x="78"/>
        <item x="90"/>
        <item x="8"/>
        <item x="20"/>
        <item x="32"/>
        <item x="44"/>
        <item x="56"/>
        <item x="68"/>
        <item x="80"/>
        <item x="2"/>
        <item x="14"/>
        <item x="26"/>
        <item x="38"/>
        <item x="50"/>
        <item x="62"/>
        <item x="74"/>
        <item x="86"/>
        <item x="1"/>
        <item x="13"/>
        <item x="25"/>
        <item x="37"/>
        <item x="49"/>
        <item x="61"/>
        <item x="73"/>
        <item x="85"/>
        <item x="0"/>
        <item x="12"/>
        <item x="24"/>
        <item x="36"/>
        <item x="48"/>
        <item x="60"/>
        <item x="72"/>
        <item x="84"/>
        <item x="92"/>
        <item t="default"/>
      </items>
    </pivotField>
    <pivotField showAll="0">
      <items count="3">
        <item x="1"/>
        <item x="0"/>
        <item t="default"/>
      </items>
    </pivotField>
    <pivotField showAll="0">
      <items count="4">
        <item x="1"/>
        <item x="2"/>
        <item x="0"/>
        <item t="default"/>
      </items>
    </pivotField>
    <pivotField showAll="0">
      <items count="4">
        <item x="2"/>
        <item x="1"/>
        <item x="0"/>
        <item t="default"/>
      </items>
    </pivotField>
  </pivotFields>
  <rowFields count="1">
    <field x="12"/>
  </rowFields>
  <rowItems count="29">
    <i>
      <x v="1"/>
    </i>
    <i>
      <x v="6"/>
    </i>
    <i>
      <x v="7"/>
    </i>
    <i>
      <x v="9"/>
    </i>
    <i>
      <x v="10"/>
    </i>
    <i>
      <x v="13"/>
    </i>
    <i>
      <x v="17"/>
    </i>
    <i>
      <x v="23"/>
    </i>
    <i>
      <x v="24"/>
    </i>
    <i>
      <x v="31"/>
    </i>
    <i>
      <x v="35"/>
    </i>
    <i>
      <x v="40"/>
    </i>
    <i>
      <x v="42"/>
    </i>
    <i>
      <x v="47"/>
    </i>
    <i>
      <x v="51"/>
    </i>
    <i>
      <x v="52"/>
    </i>
    <i>
      <x v="54"/>
    </i>
    <i>
      <x v="64"/>
    </i>
    <i>
      <x v="65"/>
    </i>
    <i>
      <x v="66"/>
    </i>
    <i>
      <x v="67"/>
    </i>
    <i>
      <x v="69"/>
    </i>
    <i>
      <x v="73"/>
    </i>
    <i>
      <x v="74"/>
    </i>
    <i>
      <x v="77"/>
    </i>
    <i>
      <x v="79"/>
    </i>
    <i>
      <x v="80"/>
    </i>
    <i>
      <x v="88"/>
    </i>
    <i t="grand">
      <x/>
    </i>
  </rowItems>
  <colFields count="1">
    <field x="-2"/>
  </colFields>
  <colItems count="3">
    <i>
      <x/>
    </i>
    <i i="1">
      <x v="1"/>
    </i>
    <i i="2">
      <x v="2"/>
    </i>
  </colItems>
  <dataFields count="3">
    <dataField name="Average of stock_close" fld="1" subtotal="average" baseField="12" baseItem="1" numFmtId="164"/>
    <dataField name="Sum of stock_volume" fld="2" baseField="12" baseItem="1" numFmtId="165"/>
    <dataField name="Average of stock_daily_return_pct" fld="3" subtotal="average" baseField="12" baseItem="1" numFmtId="2"/>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1"/>
          </reference>
          <reference field="12" count="1" selected="0">
            <x v="1"/>
          </reference>
        </references>
      </pivotArea>
    </chartFormat>
    <chartFormat chart="3" format="10">
      <pivotArea type="data" outline="0" fieldPosition="0">
        <references count="2">
          <reference field="4294967294" count="1" selected="0">
            <x v="1"/>
          </reference>
          <reference field="12" count="1" selected="0">
            <x v="42"/>
          </reference>
        </references>
      </pivotArea>
    </chartFormat>
  </chartFormats>
  <pivotTableStyleInfo name="PivotStyleLight16" showRowHeaders="1" showColHeaders="1" showRowStripes="0" showColStripes="0" showLastColumn="1"/>
  <filters count="1">
    <filter fld="12" type="sum" evalOrder="-1" id="2"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B32206-449A-4467-AF04-19454F723726}" name="PivotTable8"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X31:AA34" firstHeaderRow="0" firstDataRow="1" firstDataCol="1"/>
  <pivotFields count="16">
    <pivotField dataField="1"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dataField="1" showAll="0"/>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dataField="1" showAll="0">
      <items count="4">
        <item x="1"/>
        <item x="2"/>
        <item x="0"/>
        <item t="default"/>
      </items>
    </pivotField>
    <pivotField showAll="0">
      <items count="4">
        <item x="2"/>
        <item x="1"/>
        <item x="0"/>
        <item t="default"/>
      </items>
    </pivotField>
  </pivotFields>
  <rowFields count="1">
    <field x="13"/>
  </rowFields>
  <rowItems count="3">
    <i>
      <x/>
    </i>
    <i>
      <x v="1"/>
    </i>
    <i t="grand">
      <x/>
    </i>
  </rowItems>
  <colFields count="1">
    <field x="-2"/>
  </colFields>
  <colItems count="3">
    <i>
      <x/>
    </i>
    <i i="1">
      <x v="1"/>
    </i>
    <i i="2">
      <x v="2"/>
    </i>
  </colItems>
  <dataFields count="3">
    <dataField name="Average of stock_volume" fld="2" subtotal="average" baseField="0" baseItem="0"/>
    <dataField name="Count of date" fld="0" subtotal="count" baseField="0" baseItem="0"/>
    <dataField name="Count of StockReturn_Category" fld="1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0F58EE-2593-4BA7-B31D-10423D458763}" name="PivotTable4"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R3:U13" firstHeaderRow="0" firstDataRow="1" firstDataCol="1"/>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showAll="0"/>
    <pivotField dataField="1"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dataField="1" showAll="0"/>
    <pivotField dataField="1" showAll="0"/>
    <pivotField showAll="0"/>
    <pivotField showAll="0"/>
    <pivotField showAll="0"/>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Fields count="1">
    <field x="10"/>
  </rowFields>
  <rowItems count="10">
    <i>
      <x/>
    </i>
    <i>
      <x v="1"/>
    </i>
    <i>
      <x v="2"/>
    </i>
    <i>
      <x v="3"/>
    </i>
    <i>
      <x v="4"/>
    </i>
    <i>
      <x v="5"/>
    </i>
    <i>
      <x v="6"/>
    </i>
    <i>
      <x v="7"/>
    </i>
    <i>
      <x v="8"/>
    </i>
    <i t="grand">
      <x/>
    </i>
  </rowItems>
  <colFields count="1">
    <field x="-2"/>
  </colFields>
  <colItems count="3">
    <i>
      <x/>
    </i>
    <i i="1">
      <x v="1"/>
    </i>
    <i i="2">
      <x v="2"/>
    </i>
  </colItems>
  <dataFields count="3">
    <dataField name="Sum of reviews_count" fld="4" baseField="0" baseItem="0"/>
    <dataField name="Average of reviews_avg_rating" fld="5" subtotal="average" baseField="0" baseItem="0"/>
    <dataField name="Average of reviews_sentiment_score" fld="6" subtotal="average"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0" count="1" selected="0">
            <x v="6"/>
          </reference>
        </references>
      </pivotArea>
    </chartFormat>
    <chartFormat chart="0" format="4">
      <pivotArea type="data" outline="0" fieldPosition="0">
        <references count="2">
          <reference field="4294967294" count="1" selected="0">
            <x v="0"/>
          </reference>
          <reference field="10" count="1" selected="0">
            <x v="5"/>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F39FEA-24EC-4171-A464-F16A7CC7A045}" name="PivotTable3"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O3:P7" firstHeaderRow="1" firstDataRow="1" firstDataCol="1"/>
  <pivotFields count="16">
    <pivotField dataField="1"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items count="1892">
        <item x="3"/>
        <item x="1882"/>
        <item x="574"/>
        <item x="1809"/>
        <item x="827"/>
        <item x="1482"/>
        <item x="729"/>
        <item x="1445"/>
        <item x="1297"/>
        <item x="1792"/>
        <item x="742"/>
        <item x="824"/>
        <item x="828"/>
        <item x="1728"/>
        <item x="731"/>
        <item x="732"/>
        <item x="1506"/>
        <item x="1319"/>
        <item x="1528"/>
        <item x="722"/>
        <item x="1508"/>
        <item x="709"/>
        <item x="1488"/>
        <item x="1377"/>
        <item x="1489"/>
        <item x="756"/>
        <item x="1496"/>
        <item x="1668"/>
        <item x="1665"/>
        <item x="1433"/>
        <item x="804"/>
        <item x="1570"/>
        <item x="577"/>
        <item x="1429"/>
        <item x="826"/>
        <item x="1682"/>
        <item x="1531"/>
        <item x="572"/>
        <item x="1535"/>
        <item x="1735"/>
        <item x="728"/>
        <item x="1447"/>
        <item x="1749"/>
        <item x="1729"/>
        <item x="730"/>
        <item x="704"/>
        <item x="1471"/>
        <item x="1513"/>
        <item x="1727"/>
        <item x="829"/>
        <item x="1748"/>
        <item x="1693"/>
        <item x="800"/>
        <item x="324"/>
        <item x="1762"/>
        <item x="1549"/>
        <item x="1382"/>
        <item x="734"/>
        <item x="1317"/>
        <item x="726"/>
        <item x="1724"/>
        <item x="825"/>
        <item x="1430"/>
        <item x="1409"/>
        <item x="741"/>
        <item x="609"/>
        <item x="798"/>
        <item x="1492"/>
        <item x="1679"/>
        <item x="1411"/>
        <item x="1432"/>
        <item x="724"/>
        <item x="740"/>
        <item x="1721"/>
        <item x="1681"/>
        <item x="1381"/>
        <item x="761"/>
        <item x="1663"/>
        <item x="1376"/>
        <item x="1373"/>
        <item x="1387"/>
        <item x="1386"/>
        <item x="1687"/>
        <item x="643"/>
        <item x="1431"/>
        <item x="1418"/>
        <item x="733"/>
        <item x="1666"/>
        <item x="1485"/>
        <item x="1369"/>
        <item x="607"/>
        <item x="1532"/>
        <item x="1569"/>
        <item x="1810"/>
        <item x="1680"/>
        <item x="1443"/>
        <item x="1736"/>
        <item x="813"/>
        <item x="1510"/>
        <item x="1479"/>
        <item x="1713"/>
        <item x="758"/>
        <item x="719"/>
        <item x="550"/>
        <item x="1509"/>
        <item x="1503"/>
        <item x="682"/>
        <item x="1355"/>
        <item x="1694"/>
        <item x="1495"/>
        <item x="784"/>
        <item x="1718"/>
        <item x="1683"/>
        <item x="1671"/>
        <item x="1497"/>
        <item x="1515"/>
        <item x="1731"/>
        <item x="735"/>
        <item x="1571"/>
        <item x="1419"/>
        <item x="701"/>
        <item x="822"/>
        <item x="803"/>
        <item x="1566"/>
        <item x="1425"/>
        <item x="1472"/>
        <item x="789"/>
        <item x="823"/>
        <item x="1565"/>
        <item x="1567"/>
        <item x="1812"/>
        <item x="1575"/>
        <item x="1813"/>
        <item x="672"/>
        <item x="1481"/>
        <item x="1286"/>
        <item x="1673"/>
        <item x="1761"/>
        <item x="1672"/>
        <item x="686"/>
        <item x="602"/>
        <item x="814"/>
        <item x="1734"/>
        <item x="1678"/>
        <item x="1696"/>
        <item x="1556"/>
        <item x="1423"/>
        <item x="1550"/>
        <item x="721"/>
        <item x="1493"/>
        <item x="573"/>
        <item x="1358"/>
        <item x="1505"/>
        <item x="1536"/>
        <item x="1462"/>
        <item x="1551"/>
        <item x="1676"/>
        <item x="1741"/>
        <item x="1441"/>
        <item x="794"/>
        <item x="1444"/>
        <item x="307"/>
        <item x="676"/>
        <item x="793"/>
        <item x="638"/>
        <item x="774"/>
        <item x="485"/>
        <item x="1484"/>
        <item x="745"/>
        <item x="1723"/>
        <item x="744"/>
        <item x="1811"/>
        <item x="1717"/>
        <item x="610"/>
        <item x="1561"/>
        <item x="1760"/>
        <item x="1458"/>
        <item x="678"/>
        <item x="1428"/>
        <item x="1365"/>
        <item x="1732"/>
        <item x="681"/>
        <item x="1559"/>
        <item x="1558"/>
        <item x="1793"/>
        <item x="1518"/>
        <item x="1746"/>
        <item x="1367"/>
        <item x="1878"/>
        <item x="762"/>
        <item x="1375"/>
        <item x="1401"/>
        <item x="816"/>
        <item x="760"/>
        <item x="806"/>
        <item x="1884"/>
        <item x="723"/>
        <item x="1745"/>
        <item x="727"/>
        <item x="1675"/>
        <item x="1318"/>
        <item x="1881"/>
        <item x="1357"/>
        <item x="1656"/>
        <item x="1794"/>
        <item x="1548"/>
        <item x="725"/>
        <item x="736"/>
        <item x="1494"/>
        <item x="1437"/>
        <item x="1808"/>
        <item x="1448"/>
        <item x="1601"/>
        <item x="739"/>
        <item x="1360"/>
        <item x="1688"/>
        <item x="1784"/>
        <item x="1421"/>
        <item x="801"/>
        <item x="1420"/>
        <item x="608"/>
        <item x="1379"/>
        <item x="1708"/>
        <item x="1324"/>
        <item x="1374"/>
        <item x="1473"/>
        <item x="1524"/>
        <item x="1864"/>
        <item x="1574"/>
        <item x="1449"/>
        <item x="1410"/>
        <item x="1143"/>
        <item x="1446"/>
        <item x="1714"/>
        <item x="1389"/>
        <item x="1686"/>
        <item x="1685"/>
        <item x="775"/>
        <item x="1560"/>
        <item x="748"/>
        <item x="1427"/>
        <item x="1491"/>
        <item x="1453"/>
        <item x="1552"/>
        <item x="1245"/>
        <item x="677"/>
        <item x="1737"/>
        <item x="1316"/>
        <item x="671"/>
        <item x="669"/>
        <item x="647"/>
        <item x="706"/>
        <item x="1480"/>
        <item x="606"/>
        <item x="799"/>
        <item x="1287"/>
        <item x="1320"/>
        <item x="1366"/>
        <item x="815"/>
        <item x="710"/>
        <item x="1710"/>
        <item x="755"/>
        <item x="1315"/>
        <item x="720"/>
        <item x="1719"/>
        <item x="802"/>
        <item x="1538"/>
        <item x="1514"/>
        <item x="1747"/>
        <item x="702"/>
        <item x="705"/>
        <item x="708"/>
        <item x="1699"/>
        <item x="1865"/>
        <item x="603"/>
        <item x="685"/>
        <item x="1412"/>
        <item x="1791"/>
        <item x="1780"/>
        <item x="1516"/>
        <item x="1293"/>
        <item x="1700"/>
        <item x="1883"/>
        <item x="1378"/>
        <item x="703"/>
        <item x="555"/>
        <item x="1388"/>
        <item x="1885"/>
        <item x="1726"/>
        <item x="1507"/>
        <item x="1537"/>
        <item x="1563"/>
        <item x="1674"/>
        <item x="629"/>
        <item x="1525"/>
        <item x="700"/>
        <item x="1368"/>
        <item x="1758"/>
        <item x="559"/>
        <item x="1763"/>
        <item x="1504"/>
        <item x="1553"/>
        <item x="1345"/>
        <item x="611"/>
        <item x="1296"/>
        <item x="1757"/>
        <item x="1662"/>
        <item x="1300"/>
        <item x="785"/>
        <item x="1526"/>
        <item x="772"/>
        <item x="818"/>
        <item x="795"/>
        <item x="797"/>
        <item x="805"/>
        <item x="670"/>
        <item x="792"/>
        <item x="1299"/>
        <item x="575"/>
        <item x="1869"/>
        <item x="645"/>
        <item x="1289"/>
        <item x="783"/>
        <item x="1740"/>
        <item x="680"/>
        <item x="1246"/>
        <item x="1417"/>
        <item x="1667"/>
        <item x="1244"/>
        <item x="1237"/>
        <item x="1587"/>
        <item x="1383"/>
        <item x="1517"/>
        <item x="1562"/>
        <item x="484"/>
        <item x="1436"/>
        <item x="646"/>
        <item x="751"/>
        <item x="1870"/>
        <item x="1554"/>
        <item x="1764"/>
        <item x="1390"/>
        <item x="1572"/>
        <item x="1755"/>
        <item x="583"/>
        <item x="1664"/>
        <item x="1498"/>
        <item x="817"/>
        <item x="1522"/>
        <item x="1862"/>
        <item x="1845"/>
        <item x="1490"/>
        <item x="1530"/>
        <item x="1295"/>
        <item x="546"/>
        <item x="1284"/>
        <item x="1426"/>
        <item x="483"/>
        <item x="1846"/>
        <item x="1477"/>
        <item x="564"/>
        <item x="1363"/>
        <item x="1733"/>
        <item x="1577"/>
        <item x="558"/>
        <item x="1750"/>
        <item x="1578"/>
        <item x="1539"/>
        <item x="617"/>
        <item x="618"/>
        <item x="1875"/>
        <item x="1627"/>
        <item x="1692"/>
        <item x="687"/>
        <item x="1348"/>
        <item x="1414"/>
        <item x="1529"/>
        <item x="753"/>
        <item x="1384"/>
        <item x="830"/>
        <item x="1404"/>
        <item x="811"/>
        <item x="836"/>
        <item x="612"/>
        <item x="1391"/>
        <item x="1408"/>
        <item x="1879"/>
        <item x="1260"/>
        <item x="691"/>
        <item x="787"/>
        <item x="1602"/>
        <item x="205"/>
        <item x="1370"/>
        <item x="1461"/>
        <item x="689"/>
        <item x="1354"/>
        <item x="812"/>
        <item x="1725"/>
        <item x="663"/>
        <item x="665"/>
        <item x="580"/>
        <item x="1593"/>
        <item x="1464"/>
        <item x="1754"/>
        <item x="1547"/>
        <item x="649"/>
        <item x="819"/>
        <item x="1599"/>
        <item x="487"/>
        <item x="684"/>
        <item x="1487"/>
        <item x="1483"/>
        <item x="1743"/>
        <item x="600"/>
        <item x="1342"/>
        <item x="1347"/>
        <item x="1579"/>
        <item x="1786"/>
        <item x="1512"/>
        <item x="1469"/>
        <item x="658"/>
        <item x="569"/>
        <item x="693"/>
        <item x="1452"/>
        <item x="650"/>
        <item x="1730"/>
        <item x="1475"/>
        <item x="565"/>
        <item x="1594"/>
        <item x="1545"/>
        <item x="1501"/>
        <item x="1568"/>
        <item x="1701"/>
        <item x="773"/>
        <item x="899"/>
        <item x="1054"/>
        <item x="1873"/>
        <item x="628"/>
        <item x="1847"/>
        <item x="614"/>
        <item x="743"/>
        <item x="679"/>
        <item x="1653"/>
        <item x="1630"/>
        <item x="1486"/>
        <item x="707"/>
        <item x="771"/>
        <item x="1890"/>
        <item x="1690"/>
        <item x="1470"/>
        <item x="868"/>
        <item x="1285"/>
        <item x="1695"/>
        <item x="1534"/>
        <item x="1595"/>
        <item x="1140"/>
        <item x="1264"/>
        <item x="1669"/>
        <item x="1308"/>
        <item x="1405"/>
        <item x="1849"/>
        <item x="1756"/>
        <item x="1393"/>
        <item x="675"/>
        <item x="637"/>
        <item x="809"/>
        <item x="1596"/>
        <item x="1168"/>
        <item x="1372"/>
        <item x="673"/>
        <item x="1555"/>
        <item x="1451"/>
        <item x="641"/>
        <item x="821"/>
        <item x="1511"/>
        <item x="632"/>
        <item x="698"/>
        <item x="1402"/>
        <item x="1715"/>
        <item x="1228"/>
        <item x="1385"/>
        <item x="1304"/>
        <item x="834"/>
        <item x="1597"/>
        <item x="567"/>
        <item x="1860"/>
        <item x="1606"/>
        <item x="1771"/>
        <item x="1442"/>
        <item x="1861"/>
        <item x="1889"/>
        <item x="1803"/>
        <item x="1868"/>
        <item x="1586"/>
        <item x="291"/>
        <item x="713"/>
        <item x="1322"/>
        <item x="1709"/>
        <item x="754"/>
        <item x="1573"/>
        <item x="1306"/>
        <item x="1742"/>
        <item x="636"/>
        <item x="623"/>
        <item x="1403"/>
        <item x="642"/>
        <item x="1598"/>
        <item x="1121"/>
        <item x="509"/>
        <item x="627"/>
        <item x="1863"/>
        <item x="433"/>
        <item x="1463"/>
        <item x="1650"/>
        <item x="1557"/>
        <item x="639"/>
        <item x="486"/>
        <item x="1305"/>
        <item x="1880"/>
        <item x="1476"/>
        <item x="1350"/>
        <item x="310"/>
        <item x="1790"/>
        <item x="1392"/>
        <item x="1629"/>
        <item x="1466"/>
        <item x="1356"/>
        <item x="1326"/>
        <item x="1626"/>
        <item x="556"/>
        <item x="692"/>
        <item x="514"/>
        <item x="1440"/>
        <item x="598"/>
        <item x="553"/>
        <item x="1776"/>
        <item x="770"/>
        <item x="1502"/>
        <item x="1361"/>
        <item x="886"/>
        <item x="325"/>
        <item x="1844"/>
        <item x="554"/>
        <item x="1233"/>
        <item x="1349"/>
        <item x="1407"/>
        <item x="1589"/>
        <item x="1294"/>
        <item x="202"/>
        <item x="1239"/>
        <item x="1298"/>
        <item x="533"/>
        <item x="1820"/>
        <item x="549"/>
        <item x="1435"/>
        <item x="1323"/>
        <item x="1817"/>
        <item x="1167"/>
        <item x="1777"/>
        <item x="1292"/>
        <item x="1527"/>
        <item x="560"/>
        <item x="1283"/>
        <item x="198"/>
        <item x="1540"/>
        <item x="1325"/>
        <item x="1116"/>
        <item x="568"/>
        <item x="245"/>
        <item x="1406"/>
        <item x="582"/>
        <item x="1888"/>
        <item x="538"/>
        <item x="1533"/>
        <item x="1787"/>
        <item x="1254"/>
        <item x="1779"/>
        <item x="1823"/>
        <item x="1422"/>
        <item x="548"/>
        <item x="1877"/>
        <item x="604"/>
        <item x="1876"/>
        <item x="1722"/>
        <item x="1380"/>
        <item x="184"/>
        <item x="1711"/>
        <item x="328"/>
        <item x="1465"/>
        <item x="674"/>
        <item x="1590"/>
        <item x="1805"/>
        <item x="479"/>
        <item x="510"/>
        <item x="511"/>
        <item x="884"/>
        <item x="204"/>
        <item x="1200"/>
        <item x="359"/>
        <item x="1603"/>
        <item x="648"/>
        <item x="432"/>
        <item x="1523"/>
        <item x="616"/>
        <item x="1255"/>
        <item x="1655"/>
        <item x="657"/>
        <item x="1607"/>
        <item x="990"/>
        <item x="1224"/>
        <item x="599"/>
        <item x="512"/>
        <item x="624"/>
        <item x="1651"/>
        <item x="1831"/>
        <item x="738"/>
        <item x="897"/>
        <item x="1648"/>
        <item x="1830"/>
        <item x="1625"/>
        <item x="1415"/>
        <item x="664"/>
        <item x="1739"/>
        <item x="837"/>
        <item x="203"/>
        <item x="1240"/>
        <item x="584"/>
        <item x="330"/>
        <item x="1399"/>
        <item x="1611"/>
        <item x="1542"/>
        <item x="1716"/>
        <item x="718"/>
        <item x="157"/>
        <item x="898"/>
        <item x="786"/>
        <item x="1751"/>
        <item x="176"/>
        <item x="1647"/>
        <item x="782"/>
        <item x="1848"/>
        <item x="1257"/>
        <item x="1707"/>
        <item x="1225"/>
        <item x="1313"/>
        <item x="1364"/>
        <item x="1416"/>
        <item x="1232"/>
        <item x="1243"/>
        <item x="1252"/>
        <item x="1588"/>
        <item x="158"/>
        <item x="1775"/>
        <item x="1280"/>
        <item x="317"/>
        <item x="808"/>
        <item x="714"/>
        <item x="683"/>
        <item x="885"/>
        <item x="788"/>
        <item x="1712"/>
        <item x="571"/>
        <item x="1720"/>
        <item x="142"/>
        <item x="1609"/>
        <item x="1659"/>
        <item x="1439"/>
        <item x="1815"/>
        <item x="353"/>
        <item x="489"/>
        <item x="1781"/>
        <item x="1227"/>
        <item x="363"/>
        <item x="640"/>
        <item x="294"/>
        <item x="697"/>
        <item x="1807"/>
        <item x="1646"/>
        <item x="752"/>
        <item x="547"/>
        <item x="242"/>
        <item x="1698"/>
        <item x="1169"/>
        <item x="1145"/>
        <item x="1108"/>
        <item x="1229"/>
        <item x="626"/>
        <item x="622"/>
        <item x="1765"/>
        <item x="1161"/>
        <item x="605"/>
        <item x="1592"/>
        <item x="1658"/>
        <item x="1500"/>
        <item x="1802"/>
        <item x="1818"/>
        <item x="179"/>
        <item x="1474"/>
        <item x="1782"/>
        <item x="1866"/>
        <item x="1454"/>
        <item x="1770"/>
        <item x="759"/>
        <item x="576"/>
        <item x="889"/>
        <item x="896"/>
        <item x="173"/>
        <item x="1580"/>
        <item x="1343"/>
        <item x="1638"/>
        <item x="1467"/>
        <item x="1144"/>
        <item x="1332"/>
        <item x="1290"/>
        <item x="290"/>
        <item x="1689"/>
        <item x="1424"/>
        <item x="1637"/>
        <item x="1251"/>
        <item x="362"/>
        <item x="1541"/>
        <item x="1841"/>
        <item x="518"/>
        <item x="1256"/>
        <item x="766"/>
        <item x="661"/>
        <item x="1543"/>
        <item x="1829"/>
        <item x="630"/>
        <item x="306"/>
        <item x="634"/>
        <item x="1859"/>
        <item x="1752"/>
        <item x="1814"/>
        <item x="776"/>
        <item x="1857"/>
        <item x="668"/>
        <item x="1788"/>
        <item x="450"/>
        <item x="890"/>
        <item x="613"/>
        <item x="199"/>
        <item x="1344"/>
        <item x="1834"/>
        <item x="757"/>
        <item x="832"/>
        <item x="1772"/>
        <item x="1203"/>
        <item x="587"/>
        <item x="563"/>
        <item x="796"/>
        <item x="453"/>
        <item x="519"/>
        <item x="1259"/>
        <item x="1141"/>
        <item x="1839"/>
        <item x="1832"/>
        <item x="1157"/>
        <item x="1499"/>
        <item x="562"/>
        <item x="1843"/>
        <item x="1600"/>
        <item x="1697"/>
        <item x="893"/>
        <item x="541"/>
        <item x="883"/>
        <item x="1074"/>
        <item x="1204"/>
        <item x="615"/>
        <item x="551"/>
        <item x="1649"/>
        <item x="1362"/>
        <item x="445"/>
        <item x="1759"/>
        <item x="1301"/>
        <item x="651"/>
        <item x="561"/>
        <item x="1164"/>
        <item x="1262"/>
        <item x="478"/>
        <item x="644"/>
        <item x="327"/>
        <item x="1231"/>
        <item x="434"/>
        <item x="1159"/>
        <item x="1468"/>
        <item x="887"/>
        <item x="597"/>
        <item x="1353"/>
        <item x="717"/>
        <item x="1400"/>
        <item x="1816"/>
        <item x="208"/>
        <item x="1302"/>
        <item x="1327"/>
        <item x="900"/>
        <item x="1785"/>
        <item x="662"/>
        <item x="1654"/>
        <item x="841"/>
        <item x="894"/>
        <item x="285"/>
        <item x="1840"/>
        <item x="136"/>
        <item x="1258"/>
        <item x="1346"/>
        <item x="688"/>
        <item x="354"/>
        <item x="631"/>
        <item x="820"/>
        <item x="243"/>
        <item x="656"/>
        <item x="1610"/>
        <item x="831"/>
        <item x="506"/>
        <item x="690"/>
        <item x="667"/>
        <item x="537"/>
        <item x="1778"/>
        <item x="660"/>
        <item x="1139"/>
        <item x="494"/>
        <item x="1628"/>
        <item x="1604"/>
        <item x="763"/>
        <item x="1288"/>
        <item x="579"/>
        <item x="244"/>
        <item x="1434"/>
        <item x="1677"/>
        <item x="312"/>
        <item x="1872"/>
        <item x="1660"/>
        <item x="1622"/>
        <item x="442"/>
        <item x="838"/>
        <item x="1282"/>
        <item x="358"/>
        <item x="329"/>
        <item x="835"/>
        <item x="1238"/>
        <item x="1359"/>
        <item x="570"/>
        <item x="1706"/>
        <item x="1438"/>
        <item x="293"/>
        <item x="1544"/>
        <item x="1821"/>
        <item x="1564"/>
        <item x="145"/>
        <item x="1112"/>
        <item x="1584"/>
        <item x="1120"/>
        <item x="1460"/>
        <item x="1314"/>
        <item x="1205"/>
        <item x="1833"/>
        <item x="769"/>
        <item x="188"/>
        <item x="392"/>
        <item x="200"/>
        <item x="419"/>
        <item x="864"/>
        <item x="1838"/>
        <item x="311"/>
        <item x="172"/>
        <item x="1155"/>
        <item x="357"/>
        <item x="141"/>
        <item x="515"/>
        <item x="1585"/>
        <item x="1195"/>
        <item x="891"/>
        <item x="246"/>
        <item x="143"/>
        <item x="318"/>
        <item x="711"/>
        <item x="1142"/>
        <item x="777"/>
        <item x="861"/>
        <item x="1624"/>
        <item x="1330"/>
        <item x="1753"/>
        <item x="1769"/>
        <item x="481"/>
        <item x="240"/>
        <item x="1670"/>
        <item x="1661"/>
        <item x="332"/>
        <item x="1055"/>
        <item x="1250"/>
        <item x="137"/>
        <item x="334"/>
        <item x="625"/>
        <item x="177"/>
        <item x="1608"/>
        <item x="335"/>
        <item x="171"/>
        <item x="1605"/>
        <item x="283"/>
        <item x="1191"/>
        <item x="2"/>
        <item x="1783"/>
        <item x="490"/>
        <item x="316"/>
        <item x="356"/>
        <item x="513"/>
        <item x="255"/>
        <item x="185"/>
        <item x="1263"/>
        <item x="522"/>
        <item x="1241"/>
        <item x="1576"/>
        <item x="1281"/>
        <item x="875"/>
        <item x="424"/>
        <item x="1824"/>
        <item x="1478"/>
        <item x="1196"/>
        <item x="876"/>
        <item x="449"/>
        <item x="282"/>
        <item x="810"/>
        <item x="196"/>
        <item x="840"/>
        <item x="935"/>
        <item x="866"/>
        <item x="452"/>
        <item x="1341"/>
        <item x="1858"/>
        <item x="1215"/>
        <item x="393"/>
        <item x="790"/>
        <item x="882"/>
        <item x="1193"/>
        <item x="1130"/>
        <item x="1459"/>
        <item x="1331"/>
        <item x="1836"/>
        <item x="361"/>
        <item x="439"/>
        <item x="1118"/>
        <item x="1117"/>
        <item x="1221"/>
        <item x="635"/>
        <item x="531"/>
        <item x="1307"/>
        <item x="1198"/>
        <item x="1801"/>
        <item x="1202"/>
        <item x="495"/>
        <item x="235"/>
        <item x="114"/>
        <item x="1744"/>
        <item x="895"/>
        <item x="1822"/>
        <item x="238"/>
        <item x="1397"/>
        <item x="1835"/>
        <item x="1182"/>
        <item x="201"/>
        <item x="309"/>
        <item x="1691"/>
        <item x="1102"/>
        <item x="767"/>
        <item x="1278"/>
        <item x="1617"/>
        <item x="1329"/>
        <item x="252"/>
        <item x="339"/>
        <item x="190"/>
        <item x="183"/>
        <item x="180"/>
        <item x="594"/>
        <item x="586"/>
        <item x="620"/>
        <item x="867"/>
        <item x="503"/>
        <item x="1291"/>
        <item x="326"/>
        <item x="1804"/>
        <item x="417"/>
        <item x="1321"/>
        <item x="557"/>
        <item x="1705"/>
        <item x="545"/>
        <item x="1160"/>
        <item x="621"/>
        <item x="287"/>
        <item x="436"/>
        <item x="901"/>
        <item x="1450"/>
        <item x="301"/>
        <item x="526"/>
        <item x="1129"/>
        <item x="1097"/>
        <item x="659"/>
        <item x="1269"/>
        <item x="1636"/>
        <item x="161"/>
        <item x="666"/>
        <item x="488"/>
        <item x="983"/>
        <item x="539"/>
        <item x="1192"/>
        <item x="1303"/>
        <item x="338"/>
        <item x="139"/>
        <item x="601"/>
        <item x="124"/>
        <item x="248"/>
        <item x="360"/>
        <item x="1799"/>
        <item x="1310"/>
        <item x="1796"/>
        <item x="694"/>
        <item x="1618"/>
        <item x="952"/>
        <item x="1334"/>
        <item x="1109"/>
        <item x="1457"/>
        <item x="1352"/>
        <item x="349"/>
        <item x="52"/>
        <item x="431"/>
        <item x="1855"/>
        <item x="126"/>
        <item x="988"/>
        <item x="695"/>
        <item x="860"/>
        <item x="985"/>
        <item x="791"/>
        <item x="231"/>
        <item x="355"/>
        <item x="1110"/>
        <item x="699"/>
        <item x="254"/>
        <item x="1279"/>
        <item x="305"/>
        <item x="871"/>
        <item x="348"/>
        <item x="505"/>
        <item x="1856"/>
        <item x="1158"/>
        <item x="581"/>
        <item x="1684"/>
        <item x="229"/>
        <item x="991"/>
        <item x="1147"/>
        <item x="168"/>
        <item x="1398"/>
        <item x="869"/>
        <item x="191"/>
        <item x="1795"/>
        <item x="619"/>
        <item x="140"/>
        <item x="934"/>
        <item x="540"/>
        <item x="507"/>
        <item x="521"/>
        <item x="123"/>
        <item x="1236"/>
        <item x="523"/>
        <item x="578"/>
        <item x="187"/>
        <item x="160"/>
        <item x="1172"/>
        <item x="435"/>
        <item x="552"/>
        <item x="427"/>
        <item x="750"/>
        <item x="989"/>
        <item x="1154"/>
        <item x="1874"/>
        <item x="192"/>
        <item x="144"/>
        <item x="1223"/>
        <item x="104"/>
        <item x="508"/>
        <item x="544"/>
        <item x="878"/>
        <item x="1226"/>
        <item x="1837"/>
        <item x="418"/>
        <item x="371"/>
        <item x="1162"/>
        <item x="443"/>
        <item x="274"/>
        <item x="972"/>
        <item x="117"/>
        <item x="976"/>
        <item x="1163"/>
        <item x="1253"/>
        <item x="1819"/>
        <item x="289"/>
        <item x="500"/>
        <item x="633"/>
        <item x="1153"/>
        <item x="315"/>
        <item x="288"/>
        <item x="524"/>
        <item x="425"/>
        <item x="477"/>
        <item x="807"/>
        <item x="1138"/>
        <item x="1156"/>
        <item x="156"/>
        <item x="1634"/>
        <item x="746"/>
        <item x="984"/>
        <item x="1704"/>
        <item x="115"/>
        <item x="175"/>
        <item x="1351"/>
        <item x="416"/>
        <item x="430"/>
        <item x="166"/>
        <item x="178"/>
        <item x="1098"/>
        <item x="1652"/>
        <item x="331"/>
        <item x="193"/>
        <item x="457"/>
        <item x="1413"/>
        <item x="1333"/>
        <item x="1738"/>
        <item x="237"/>
        <item x="1235"/>
        <item x="458"/>
        <item x="872"/>
        <item x="1111"/>
        <item x="1220"/>
        <item x="833"/>
        <item x="712"/>
        <item x="491"/>
        <item x="1206"/>
        <item x="993"/>
        <item x="313"/>
        <item x="197"/>
        <item x="954"/>
        <item x="1123"/>
        <item x="323"/>
        <item x="950"/>
        <item x="566"/>
        <item x="295"/>
        <item x="1075"/>
        <item x="220"/>
        <item x="1056"/>
        <item x="162"/>
        <item x="16"/>
        <item x="1131"/>
        <item x="696"/>
        <item x="880"/>
        <item x="1309"/>
        <item x="749"/>
        <item x="956"/>
        <item x="459"/>
        <item x="437"/>
        <item x="211"/>
        <item x="1774"/>
        <item x="1631"/>
        <item x="476"/>
        <item x="207"/>
        <item x="888"/>
        <item x="165"/>
        <item x="497"/>
        <item x="588"/>
        <item x="194"/>
        <item x="1180"/>
        <item x="1623"/>
        <item x="228"/>
        <item x="877"/>
        <item x="1270"/>
        <item x="480"/>
        <item x="1854"/>
        <item x="475"/>
        <item x="300"/>
        <item x="1053"/>
        <item x="292"/>
        <item x="446"/>
        <item x="119"/>
        <item x="448"/>
        <item x="1871"/>
        <item x="1119"/>
        <item x="1125"/>
        <item x="1186"/>
        <item x="1076"/>
        <item x="596"/>
        <item x="303"/>
        <item x="472"/>
        <item x="585"/>
        <item x="1184"/>
        <item x="534"/>
        <item x="1591"/>
        <item x="1216"/>
        <item x="1620"/>
        <item x="1546"/>
        <item x="1768"/>
        <item x="221"/>
        <item x="1230"/>
        <item x="376"/>
        <item x="957"/>
        <item x="1001"/>
        <item x="1521"/>
        <item x="1640"/>
        <item x="340"/>
        <item x="517"/>
        <item x="870"/>
        <item x="1166"/>
        <item x="981"/>
        <item x="1148"/>
        <item x="1115"/>
        <item x="121"/>
        <item x="1242"/>
        <item x="1207"/>
        <item x="1070"/>
        <item x="1867"/>
        <item x="226"/>
        <item x="747"/>
        <item x="978"/>
        <item x="1340"/>
        <item x="781"/>
        <item x="532"/>
        <item x="116"/>
        <item x="189"/>
        <item x="120"/>
        <item x="308"/>
        <item x="764"/>
        <item x="111"/>
        <item x="174"/>
        <item x="502"/>
        <item x="1222"/>
        <item x="1052"/>
        <item x="284"/>
        <item x="1104"/>
        <item x="155"/>
        <item x="222"/>
        <item x="1175"/>
        <item x="447"/>
        <item x="270"/>
        <item x="408"/>
        <item x="224"/>
        <item x="414"/>
        <item x="1136"/>
        <item x="1103"/>
        <item x="336"/>
        <item x="1789"/>
        <item x="1124"/>
        <item x="1276"/>
        <item x="241"/>
        <item x="1268"/>
        <item x="239"/>
        <item x="298"/>
        <item x="955"/>
        <item x="169"/>
        <item x="527"/>
        <item x="1152"/>
        <item x="455"/>
        <item x="973"/>
        <item x="1072"/>
        <item x="1645"/>
        <item x="974"/>
        <item x="1312"/>
        <item x="1218"/>
        <item x="873"/>
        <item x="352"/>
        <item x="170"/>
        <item x="125"/>
        <item x="1828"/>
        <item x="1275"/>
        <item x="441"/>
        <item x="1702"/>
        <item x="1644"/>
        <item x="1657"/>
        <item x="365"/>
        <item x="1135"/>
        <item x="1766"/>
        <item x="874"/>
        <item x="269"/>
        <item x="146"/>
        <item x="982"/>
        <item x="297"/>
        <item x="444"/>
        <item x="230"/>
        <item x="154"/>
        <item x="223"/>
        <item x="164"/>
        <item x="253"/>
        <item x="1219"/>
        <item x="1217"/>
        <item x="474"/>
        <item x="473"/>
        <item x="765"/>
        <item x="209"/>
        <item x="1633"/>
        <item x="415"/>
        <item x="1621"/>
        <item x="350"/>
        <item x="1371"/>
        <item x="391"/>
        <item x="863"/>
        <item x="1000"/>
        <item x="1096"/>
        <item x="101"/>
        <item x="264"/>
        <item x="999"/>
        <item x="1079"/>
        <item x="1083"/>
        <item x="7"/>
        <item x="271"/>
        <item x="438"/>
        <item x="1632"/>
        <item x="10"/>
        <item x="862"/>
        <item x="451"/>
        <item x="855"/>
        <item x="346"/>
        <item x="1114"/>
        <item x="958"/>
        <item x="501"/>
        <item x="1277"/>
        <item x="1616"/>
        <item x="1173"/>
        <item x="1773"/>
        <item x="1201"/>
        <item x="1209"/>
        <item x="122"/>
        <item x="1105"/>
        <item x="1339"/>
        <item x="234"/>
        <item x="396"/>
        <item x="1827"/>
        <item x="1037"/>
        <item x="1071"/>
        <item x="1128"/>
        <item x="715"/>
        <item x="1850"/>
        <item x="206"/>
        <item x="364"/>
        <item x="937"/>
        <item x="468"/>
        <item x="163"/>
        <item x="879"/>
        <item x="1178"/>
        <item x="1614"/>
        <item x="369"/>
        <item x="892"/>
        <item x="420"/>
        <item x="138"/>
        <item x="395"/>
        <item x="1039"/>
        <item x="865"/>
        <item x="4"/>
        <item x="112"/>
        <item x="1189"/>
        <item x="333"/>
        <item x="992"/>
        <item x="13"/>
        <item x="1137"/>
        <item x="281"/>
        <item x="1107"/>
        <item x="975"/>
        <item x="1179"/>
        <item x="351"/>
        <item x="949"/>
        <item x="933"/>
        <item x="128"/>
        <item x="1061"/>
        <item x="1208"/>
        <item x="337"/>
        <item x="859"/>
        <item x="1063"/>
        <item x="593"/>
        <item x="387"/>
        <item x="422"/>
        <item x="936"/>
        <item x="1181"/>
        <item x="1051"/>
        <item x="1043"/>
        <item x="1265"/>
        <item x="1106"/>
        <item x="995"/>
        <item x="655"/>
        <item x="12"/>
        <item x="263"/>
        <item x="482"/>
        <item x="953"/>
        <item x="1199"/>
        <item x="236"/>
        <item x="1842"/>
        <item x="232"/>
        <item x="504"/>
        <item x="1267"/>
        <item x="1274"/>
        <item x="109"/>
        <item x="1615"/>
        <item x="374"/>
        <item x="251"/>
        <item x="1146"/>
        <item x="1800"/>
        <item x="1122"/>
        <item x="195"/>
        <item x="440"/>
        <item x="997"/>
        <item x="118"/>
        <item x="302"/>
        <item x="737"/>
        <item x="1635"/>
        <item x="986"/>
        <item x="1036"/>
        <item x="129"/>
        <item x="1619"/>
        <item x="1067"/>
        <item x="592"/>
        <item x="858"/>
        <item x="103"/>
        <item x="1078"/>
        <item x="528"/>
        <item x="113"/>
        <item x="1455"/>
        <item x="375"/>
        <item x="778"/>
        <item x="347"/>
        <item x="95"/>
        <item x="266"/>
        <item x="134"/>
        <item x="1042"/>
        <item x="262"/>
        <item x="275"/>
        <item x="926"/>
        <item x="345"/>
        <item x="397"/>
        <item x="1639"/>
        <item x="469"/>
        <item x="1613"/>
        <item x="856"/>
        <item x="470"/>
        <item x="1583"/>
        <item x="1012"/>
        <item x="1094"/>
        <item x="423"/>
        <item x="853"/>
        <item x="413"/>
        <item x="536"/>
        <item x="186"/>
        <item x="256"/>
        <item x="1089"/>
        <item x="1187"/>
        <item x="1062"/>
        <item x="456"/>
        <item x="1311"/>
        <item x="181"/>
        <item x="135"/>
        <item x="1612"/>
        <item x="1073"/>
        <item x="1100"/>
        <item x="1171"/>
        <item x="839"/>
        <item x="471"/>
        <item x="102"/>
        <item x="304"/>
        <item x="428"/>
        <item x="182"/>
        <item x="951"/>
        <item x="1806"/>
        <item x="1127"/>
        <item x="1041"/>
        <item x="210"/>
        <item x="388"/>
        <item x="411"/>
        <item x="1174"/>
        <item x="520"/>
        <item x="1853"/>
        <item x="1328"/>
        <item x="1002"/>
        <item x="1099"/>
        <item x="167"/>
        <item x="1165"/>
        <item x="1048"/>
        <item x="928"/>
        <item x="110"/>
        <item x="373"/>
        <item x="998"/>
        <item x="516"/>
        <item x="996"/>
        <item x="1234"/>
        <item x="394"/>
        <item x="942"/>
        <item x="1003"/>
        <item x="249"/>
        <item x="854"/>
        <item x="1011"/>
        <item x="1095"/>
        <item x="1214"/>
        <item x="499"/>
        <item x="1087"/>
        <item x="1194"/>
        <item x="412"/>
        <item x="543"/>
        <item x="881"/>
        <item x="1081"/>
        <item x="151"/>
        <item x="948"/>
        <item x="370"/>
        <item x="1"/>
        <item x="14"/>
        <item x="65"/>
        <item x="1050"/>
        <item x="1188"/>
        <item x="931"/>
        <item x="1060"/>
        <item x="780"/>
        <item x="127"/>
        <item x="857"/>
        <item x="257"/>
        <item x="1394"/>
        <item x="133"/>
        <item x="927"/>
        <item x="97"/>
        <item x="131"/>
        <item x="1851"/>
        <item x="929"/>
        <item x="1396"/>
        <item x="994"/>
        <item x="299"/>
        <item x="389"/>
        <item x="1134"/>
        <item x="987"/>
        <item x="15"/>
        <item x="265"/>
        <item x="94"/>
        <item x="1016"/>
        <item x="407"/>
        <item x="132"/>
        <item x="595"/>
        <item x="225"/>
        <item x="372"/>
        <item x="1190"/>
        <item x="20"/>
        <item x="386"/>
        <item x="980"/>
        <item x="273"/>
        <item x="1197"/>
        <item x="148"/>
        <item x="1261"/>
        <item x="1641"/>
        <item x="1519"/>
        <item x="366"/>
        <item x="267"/>
        <item x="1082"/>
        <item x="247"/>
        <item x="970"/>
        <item x="421"/>
        <item x="960"/>
        <item x="100"/>
        <item x="99"/>
        <item x="654"/>
        <item x="493"/>
        <item x="971"/>
        <item x="498"/>
        <item x="17"/>
        <item x="48"/>
        <item x="467"/>
        <item x="1249"/>
        <item x="426"/>
        <item x="1266"/>
        <item x="296"/>
        <item x="1008"/>
        <item x="216"/>
        <item x="1019"/>
        <item x="1126"/>
        <item x="108"/>
        <item x="96"/>
        <item x="1088"/>
        <item x="979"/>
        <item x="159"/>
        <item x="107"/>
        <item x="227"/>
        <item x="9"/>
        <item x="1080"/>
        <item x="286"/>
        <item x="1176"/>
        <item x="390"/>
        <item x="1643"/>
        <item x="1101"/>
        <item x="1337"/>
        <item x="378"/>
        <item x="525"/>
        <item x="968"/>
        <item x="768"/>
        <item x="946"/>
        <item x="72"/>
        <item x="496"/>
        <item x="1045"/>
        <item x="1085"/>
        <item x="1077"/>
        <item x="925"/>
        <item x="62"/>
        <item x="932"/>
        <item x="233"/>
        <item x="67"/>
        <item x="923"/>
        <item x="1044"/>
        <item x="410"/>
        <item x="454"/>
        <item x="40"/>
        <item x="1642"/>
        <item x="1020"/>
        <item x="1456"/>
        <item x="321"/>
        <item x="98"/>
        <item x="1049"/>
        <item x="63"/>
        <item x="1581"/>
        <item x="922"/>
        <item x="268"/>
        <item x="852"/>
        <item x="322"/>
        <item x="66"/>
        <item x="1151"/>
        <item x="1035"/>
        <item x="47"/>
        <item x="1021"/>
        <item x="380"/>
        <item x="1009"/>
        <item x="529"/>
        <item x="463"/>
        <item x="153"/>
        <item x="1798"/>
        <item x="409"/>
        <item x="1065"/>
        <item x="939"/>
        <item x="39"/>
        <item x="68"/>
        <item x="1038"/>
        <item x="5"/>
        <item x="542"/>
        <item x="319"/>
        <item x="105"/>
        <item x="429"/>
        <item x="924"/>
        <item x="314"/>
        <item x="0"/>
        <item x="85"/>
        <item x="969"/>
        <item x="106"/>
        <item x="379"/>
        <item x="382"/>
        <item x="779"/>
        <item x="1703"/>
        <item x="1248"/>
        <item x="1066"/>
        <item x="218"/>
        <item x="272"/>
        <item x="1018"/>
        <item x="219"/>
        <item x="383"/>
        <item x="1086"/>
        <item x="1177"/>
        <item x="130"/>
        <item x="44"/>
        <item x="967"/>
        <item x="367"/>
        <item x="1825"/>
        <item x="977"/>
        <item x="75"/>
        <item x="51"/>
        <item x="42"/>
        <item x="535"/>
        <item x="1040"/>
        <item x="92"/>
        <item x="54"/>
        <item x="93"/>
        <item x="368"/>
        <item x="1010"/>
        <item x="320"/>
        <item x="24"/>
        <item x="652"/>
        <item x="1887"/>
        <item x="930"/>
        <item x="1886"/>
        <item x="1271"/>
        <item x="64"/>
        <item x="940"/>
        <item x="399"/>
        <item x="385"/>
        <item x="261"/>
        <item x="77"/>
        <item x="398"/>
        <item x="1093"/>
        <item x="591"/>
        <item x="280"/>
        <item x="912"/>
        <item x="1247"/>
        <item x="1015"/>
        <item x="57"/>
        <item x="6"/>
        <item x="716"/>
        <item x="8"/>
        <item x="1183"/>
        <item x="466"/>
        <item x="217"/>
        <item x="848"/>
        <item x="152"/>
        <item x="945"/>
        <item x="377"/>
        <item x="943"/>
        <item x="944"/>
        <item x="913"/>
        <item x="45"/>
        <item x="74"/>
        <item x="589"/>
        <item x="250"/>
        <item x="1185"/>
        <item x="19"/>
        <item x="941"/>
        <item x="947"/>
        <item x="61"/>
        <item x="53"/>
        <item x="381"/>
        <item x="279"/>
        <item x="402"/>
        <item x="403"/>
        <item x="842"/>
        <item x="918"/>
        <item x="846"/>
        <item x="1059"/>
        <item x="959"/>
        <item x="1338"/>
        <item x="1273"/>
        <item x="1826"/>
        <item x="59"/>
        <item x="1023"/>
        <item x="1133"/>
        <item x="49"/>
        <item x="1210"/>
        <item x="938"/>
        <item x="1084"/>
        <item x="60"/>
        <item x="920"/>
        <item x="1113"/>
        <item x="1031"/>
        <item x="41"/>
        <item x="1797"/>
        <item x="82"/>
        <item x="32"/>
        <item x="38"/>
        <item x="384"/>
        <item x="83"/>
        <item x="259"/>
        <item x="91"/>
        <item x="43"/>
        <item x="76"/>
        <item x="18"/>
        <item x="400"/>
        <item x="212"/>
        <item x="69"/>
        <item x="11"/>
        <item x="917"/>
        <item x="1017"/>
        <item x="406"/>
        <item x="914"/>
        <item x="916"/>
        <item x="1069"/>
        <item x="58"/>
        <item x="1582"/>
        <item x="851"/>
        <item x="341"/>
        <item x="1064"/>
        <item x="73"/>
        <item x="911"/>
        <item x="1034"/>
        <item x="1047"/>
        <item x="1058"/>
        <item x="1767"/>
        <item x="55"/>
        <item x="23"/>
        <item x="30"/>
        <item x="78"/>
        <item x="462"/>
        <item x="1032"/>
        <item x="37"/>
        <item x="845"/>
        <item x="1022"/>
        <item x="1025"/>
        <item x="81"/>
        <item x="87"/>
        <item x="56"/>
        <item x="1335"/>
        <item x="147"/>
        <item x="1092"/>
        <item x="1132"/>
        <item x="1033"/>
        <item x="1520"/>
        <item x="1007"/>
        <item x="1057"/>
        <item x="22"/>
        <item x="401"/>
        <item x="921"/>
        <item x="276"/>
        <item x="214"/>
        <item x="961"/>
        <item x="962"/>
        <item x="260"/>
        <item x="910"/>
        <item x="1395"/>
        <item x="50"/>
        <item x="28"/>
        <item x="70"/>
        <item x="46"/>
        <item x="29"/>
        <item x="21"/>
        <item x="915"/>
        <item x="1029"/>
        <item x="1213"/>
        <item x="530"/>
        <item x="1024"/>
        <item x="1013"/>
        <item x="919"/>
        <item x="215"/>
        <item x="1068"/>
        <item x="966"/>
        <item x="1006"/>
        <item x="344"/>
        <item x="90"/>
        <item x="1149"/>
        <item x="1046"/>
        <item x="1090"/>
        <item x="150"/>
        <item x="343"/>
        <item x="461"/>
        <item x="27"/>
        <item x="80"/>
        <item x="149"/>
        <item x="88"/>
        <item x="1005"/>
        <item x="1014"/>
        <item x="31"/>
        <item x="79"/>
        <item x="1004"/>
        <item x="84"/>
        <item x="33"/>
        <item x="849"/>
        <item x="1852"/>
        <item x="25"/>
        <item x="907"/>
        <item x="36"/>
        <item x="492"/>
        <item x="902"/>
        <item x="1170"/>
        <item x="1211"/>
        <item x="1026"/>
        <item x="405"/>
        <item x="86"/>
        <item x="909"/>
        <item x="71"/>
        <item x="460"/>
        <item x="34"/>
        <item x="342"/>
        <item x="1150"/>
        <item x="908"/>
        <item x="850"/>
        <item x="653"/>
        <item x="404"/>
        <item x="278"/>
        <item x="965"/>
        <item x="35"/>
        <item x="258"/>
        <item x="1212"/>
        <item x="847"/>
        <item x="464"/>
        <item x="1030"/>
        <item x="465"/>
        <item x="1027"/>
        <item x="1336"/>
        <item x="89"/>
        <item x="1272"/>
        <item x="906"/>
        <item x="963"/>
        <item x="1091"/>
        <item x="213"/>
        <item x="844"/>
        <item x="26"/>
        <item x="590"/>
        <item x="905"/>
        <item x="277"/>
        <item x="1028"/>
        <item x="904"/>
        <item x="964"/>
        <item x="843"/>
        <item x="903"/>
        <item t="default"/>
      </items>
    </pivotField>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items count="44">
        <item x="6"/>
        <item x="3"/>
        <item x="0"/>
        <item x="4"/>
        <item x="10"/>
        <item x="12"/>
        <item x="5"/>
        <item x="7"/>
        <item x="14"/>
        <item x="11"/>
        <item x="18"/>
        <item x="1"/>
        <item x="26"/>
        <item x="16"/>
        <item x="27"/>
        <item x="25"/>
        <item x="2"/>
        <item x="9"/>
        <item x="13"/>
        <item x="29"/>
        <item x="23"/>
        <item x="33"/>
        <item x="39"/>
        <item x="40"/>
        <item x="19"/>
        <item x="35"/>
        <item x="17"/>
        <item x="24"/>
        <item x="22"/>
        <item x="30"/>
        <item x="31"/>
        <item x="41"/>
        <item x="20"/>
        <item x="21"/>
        <item x="38"/>
        <item x="42"/>
        <item x="28"/>
        <item x="15"/>
        <item x="32"/>
        <item x="8"/>
        <item x="36"/>
        <item x="34"/>
        <item x="37"/>
        <item t="default"/>
      </items>
    </pivotField>
    <pivotField showAll="0"/>
    <pivotField showAll="0"/>
    <pivotField showAll="0"/>
    <pivotField showAll="0"/>
    <pivotField showAll="0"/>
    <pivotField showAll="0">
      <items count="3">
        <item x="1"/>
        <item x="0"/>
        <item t="default"/>
      </items>
    </pivotField>
    <pivotField axis="axisRow" showAll="0">
      <items count="4">
        <item x="1"/>
        <item x="2"/>
        <item x="0"/>
        <item t="default"/>
      </items>
    </pivotField>
    <pivotField showAll="0">
      <items count="4">
        <item x="2"/>
        <item x="1"/>
        <item x="0"/>
        <item t="default"/>
      </items>
    </pivotField>
  </pivotFields>
  <rowFields count="1">
    <field x="14"/>
  </rowFields>
  <rowItems count="4">
    <i>
      <x/>
    </i>
    <i>
      <x v="1"/>
    </i>
    <i>
      <x v="2"/>
    </i>
    <i t="grand">
      <x/>
    </i>
  </rowItems>
  <colItems count="1">
    <i/>
  </colItems>
  <dataFields count="1">
    <dataField name="Count of date"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4" count="1" selected="0">
            <x v="0"/>
          </reference>
        </references>
      </pivotArea>
    </chartFormat>
    <chartFormat chart="16" format="10">
      <pivotArea type="data" outline="0" fieldPosition="0">
        <references count="2">
          <reference field="4294967294" count="1" selected="0">
            <x v="0"/>
          </reference>
          <reference field="14" count="1" selected="0">
            <x v="1"/>
          </reference>
        </references>
      </pivotArea>
    </chartFormat>
    <chartFormat chart="16"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CA0BD0-9B58-4975-952E-506AA069A2B1}" name="PivotTable5"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Q27:R31" firstHeaderRow="1" firstDataRow="1" firstDataCol="1"/>
  <pivotFields count="16">
    <pivotField dataField="1"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axis="axisRow" showAll="0">
      <items count="4">
        <item x="2"/>
        <item x="1"/>
        <item x="0"/>
        <item t="default"/>
      </items>
    </pivotField>
  </pivotFields>
  <rowFields count="1">
    <field x="15"/>
  </rowFields>
  <rowItems count="4">
    <i>
      <x/>
    </i>
    <i>
      <x v="1"/>
    </i>
    <i>
      <x v="2"/>
    </i>
    <i t="grand">
      <x/>
    </i>
  </rowItems>
  <colItems count="1">
    <i/>
  </colItems>
  <dataFields count="1">
    <dataField name="Count of date"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6A08B4-673F-415D-9FE4-44F5A7A66DA2}" name="PivotTable9"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9:E20" firstHeaderRow="1" firstDataRow="1" firstDataCol="0"/>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dataField="1" showAll="0"/>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Items count="1">
    <i/>
  </rowItems>
  <colItems count="1">
    <i/>
  </colItems>
  <dataFields count="1">
    <dataField name="Average of titles_avg_imdb_scor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7FBF48-53C0-496F-90B5-F2C31E2024A9}" name="PivotTable8"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5:E16" firstHeaderRow="1" firstDataRow="1" firstDataCol="0"/>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Items count="1">
    <i/>
  </rowItems>
  <colItems count="1">
    <i/>
  </colItems>
  <dataFields count="1">
    <dataField name="Sum of titles_released_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EB3B78-B301-4D29-AC83-6402330F8D9F}" name="PivotTable7"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1:E12" firstHeaderRow="1" firstDataRow="1" firstDataCol="0"/>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showAll="0"/>
    <pivotField dataField="1"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Items count="1">
    <i/>
  </rowItems>
  <colItems count="1">
    <i/>
  </colItems>
  <dataFields count="1">
    <dataField name="Sum of reviews_c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142ED5-33F8-453B-A341-6C93B3220C77}" name="PivotTable6"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7" firstHeaderRow="1" firstDataRow="1" firstDataCol="1"/>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dataField="1" showAll="0" countASubtotal="1">
      <items count="1678">
        <item x="31"/>
        <item x="21"/>
        <item x="847"/>
        <item x="449"/>
        <item x="1456"/>
        <item x="34"/>
        <item x="70"/>
        <item x="61"/>
        <item x="856"/>
        <item x="823"/>
        <item x="859"/>
        <item x="1152"/>
        <item x="519"/>
        <item x="28"/>
        <item x="953"/>
        <item x="377"/>
        <item x="864"/>
        <item x="888"/>
        <item x="576"/>
        <item x="440"/>
        <item x="794"/>
        <item x="759"/>
        <item x="276"/>
        <item x="1601"/>
        <item x="968"/>
        <item x="951"/>
        <item x="49"/>
        <item x="818"/>
        <item x="597"/>
        <item x="1474"/>
        <item x="1043"/>
        <item x="46"/>
        <item x="1472"/>
        <item x="487"/>
        <item x="51"/>
        <item x="59"/>
        <item x="926"/>
        <item x="1432"/>
        <item x="1141"/>
        <item x="852"/>
        <item x="799"/>
        <item x="879"/>
        <item x="1612"/>
        <item x="495"/>
        <item x="782"/>
        <item x="1334"/>
        <item x="969"/>
        <item x="1645"/>
        <item x="600"/>
        <item x="1050"/>
        <item x="1403"/>
        <item x="894"/>
        <item x="812"/>
        <item x="130"/>
        <item x="758"/>
        <item x="877"/>
        <item x="1468"/>
        <item x="992"/>
        <item x="27"/>
        <item x="400"/>
        <item x="4"/>
        <item x="1567"/>
        <item x="884"/>
        <item x="509"/>
        <item x="800"/>
        <item x="943"/>
        <item x="935"/>
        <item x="486"/>
        <item x="275"/>
        <item x="88"/>
        <item x="1276"/>
        <item x="26"/>
        <item x="958"/>
        <item x="1357"/>
        <item x="484"/>
        <item x="862"/>
        <item x="806"/>
        <item x="368"/>
        <item x="376"/>
        <item x="511"/>
        <item x="256"/>
        <item x="71"/>
        <item x="1283"/>
        <item x="1623"/>
        <item x="1527"/>
        <item x="788"/>
        <item x="843"/>
        <item x="546"/>
        <item x="1426"/>
        <item x="761"/>
        <item x="1027"/>
        <item x="956"/>
        <item x="1538"/>
        <item x="17"/>
        <item x="490"/>
        <item x="362"/>
        <item x="1124"/>
        <item x="1452"/>
        <item x="357"/>
        <item x="184"/>
        <item x="63"/>
        <item x="932"/>
        <item x="382"/>
        <item x="967"/>
        <item x="1168"/>
        <item x="978"/>
        <item x="454"/>
        <item x="525"/>
        <item x="857"/>
        <item x="1611"/>
        <item x="998"/>
        <item x="42"/>
        <item x="637"/>
        <item x="1217"/>
        <item x="419"/>
        <item x="258"/>
        <item x="561"/>
        <item x="811"/>
        <item x="1629"/>
        <item x="1330"/>
        <item x="1592"/>
        <item x="871"/>
        <item x="574"/>
        <item x="89"/>
        <item x="1137"/>
        <item x="230"/>
        <item x="1203"/>
        <item x="1061"/>
        <item x="1644"/>
        <item x="148"/>
        <item x="535"/>
        <item x="195"/>
        <item x="820"/>
        <item x="38"/>
        <item x="844"/>
        <item x="1639"/>
        <item x="374"/>
        <item x="456"/>
        <item x="747"/>
        <item x="417"/>
        <item x="1257"/>
        <item x="613"/>
        <item x="1658"/>
        <item x="293"/>
        <item x="1531"/>
        <item x="1156"/>
        <item x="962"/>
        <item x="622"/>
        <item x="1598"/>
        <item x="468"/>
        <item x="1026"/>
        <item x="1600"/>
        <item x="928"/>
        <item x="145"/>
        <item x="764"/>
        <item x="1536"/>
        <item x="1095"/>
        <item x="501"/>
        <item x="1656"/>
        <item x="922"/>
        <item x="858"/>
        <item x="212"/>
        <item x="1448"/>
        <item x="746"/>
        <item x="431"/>
        <item x="370"/>
        <item x="1269"/>
        <item x="1038"/>
        <item x="367"/>
        <item x="1459"/>
        <item x="754"/>
        <item x="503"/>
        <item x="1608"/>
        <item x="1132"/>
        <item x="1265"/>
        <item x="395"/>
        <item x="874"/>
        <item x="43"/>
        <item x="612"/>
        <item x="1153"/>
        <item x="1366"/>
        <item x="116"/>
        <item x="1116"/>
        <item x="328"/>
        <item x="1551"/>
        <item x="513"/>
        <item x="941"/>
        <item x="682"/>
        <item x="1382"/>
        <item x="1359"/>
        <item x="1584"/>
        <item x="839"/>
        <item x="836"/>
        <item x="1614"/>
        <item x="18"/>
        <item x="990"/>
        <item x="1321"/>
        <item x="1466"/>
        <item x="1587"/>
        <item x="410"/>
        <item x="821"/>
        <item x="1073"/>
        <item x="817"/>
        <item x="438"/>
        <item x="1446"/>
        <item x="824"/>
        <item x="1650"/>
        <item x="1280"/>
        <item x="1121"/>
        <item x="608"/>
        <item x="563"/>
        <item x="1207"/>
        <item x="1272"/>
        <item x="1243"/>
        <item x="1675"/>
        <item x="1430"/>
        <item x="363"/>
        <item x="132"/>
        <item x="1543"/>
        <item x="1120"/>
        <item x="479"/>
        <item x="931"/>
        <item x="679"/>
        <item x="466"/>
        <item x="849"/>
        <item x="133"/>
        <item x="1337"/>
        <item x="1012"/>
        <item x="1181"/>
        <item x="1555"/>
        <item x="119"/>
        <item x="127"/>
        <item x="94"/>
        <item x="835"/>
        <item x="1333"/>
        <item x="979"/>
        <item x="386"/>
        <item x="467"/>
        <item x="179"/>
        <item x="1660"/>
        <item x="1666"/>
        <item x="165"/>
        <item x="678"/>
        <item x="44"/>
        <item x="1545"/>
        <item x="334"/>
        <item x="802"/>
        <item x="555"/>
        <item x="598"/>
        <item x="753"/>
        <item x="1136"/>
        <item x="581"/>
        <item x="1514"/>
        <item x="1449"/>
        <item x="719"/>
        <item x="396"/>
        <item x="972"/>
        <item x="1632"/>
        <item x="809"/>
        <item x="1506"/>
        <item x="1180"/>
        <item x="514"/>
        <item x="425"/>
        <item x="90"/>
        <item x="473"/>
        <item x="1250"/>
        <item x="1102"/>
        <item x="15"/>
        <item x="6"/>
        <item x="945"/>
        <item x="393"/>
        <item x="1671"/>
        <item x="658"/>
        <item x="327"/>
        <item x="1151"/>
        <item x="1169"/>
        <item x="792"/>
        <item x="234"/>
        <item x="66"/>
        <item x="850"/>
        <item x="1069"/>
        <item x="443"/>
        <item x="1376"/>
        <item x="152"/>
        <item x="999"/>
        <item x="790"/>
        <item x="186"/>
        <item x="1385"/>
        <item x="1310"/>
        <item x="635"/>
        <item x="418"/>
        <item x="1428"/>
        <item x="321"/>
        <item x="987"/>
        <item x="602"/>
        <item x="1634"/>
        <item x="161"/>
        <item x="1044"/>
        <item x="1354"/>
        <item x="566"/>
        <item x="1133"/>
        <item x="819"/>
        <item x="255"/>
        <item x="208"/>
        <item x="1672"/>
        <item x="960"/>
        <item x="242"/>
        <item x="841"/>
        <item x="1447"/>
        <item x="949"/>
        <item x="339"/>
        <item x="1287"/>
        <item x="1225"/>
        <item x="330"/>
        <item x="1380"/>
        <item x="278"/>
        <item x="153"/>
        <item x="507"/>
        <item x="727"/>
        <item x="895"/>
        <item x="1604"/>
        <item x="730"/>
        <item x="1072"/>
        <item x="1561"/>
        <item x="309"/>
        <item x="1200"/>
        <item x="1041"/>
        <item x="1617"/>
        <item x="1064"/>
        <item x="1033"/>
        <item x="384"/>
        <item x="715"/>
        <item x="104"/>
        <item x="1410"/>
        <item x="1105"/>
        <item x="1201"/>
        <item x="69"/>
        <item x="227"/>
        <item x="784"/>
        <item x="1060"/>
        <item x="480"/>
        <item x="734"/>
        <item x="672"/>
        <item x="929"/>
        <item x="459"/>
        <item x="989"/>
        <item x="1480"/>
        <item x="1173"/>
        <item x="634"/>
        <item x="1019"/>
        <item x="1494"/>
        <item x="8"/>
        <item x="713"/>
        <item x="1010"/>
        <item x="1212"/>
        <item x="221"/>
        <item x="1239"/>
        <item x="781"/>
        <item x="344"/>
        <item x="416"/>
        <item x="1170"/>
        <item x="207"/>
        <item x="1512"/>
        <item x="332"/>
        <item x="591"/>
        <item x="1081"/>
        <item x="1094"/>
        <item x="1636"/>
        <item x="594"/>
        <item x="305"/>
        <item x="67"/>
        <item x="830"/>
        <item x="1082"/>
        <item x="752"/>
        <item x="317"/>
        <item x="630"/>
        <item x="887"/>
        <item x="1174"/>
        <item x="816"/>
        <item x="355"/>
        <item x="115"/>
        <item x="780"/>
        <item x="108"/>
        <item x="1422"/>
        <item x="1158"/>
        <item x="13"/>
        <item x="1042"/>
        <item x="476"/>
        <item x="24"/>
        <item x="214"/>
        <item x="7"/>
        <item x="1295"/>
        <item x="880"/>
        <item x="787"/>
        <item x="464"/>
        <item x="1566"/>
        <item x="1565"/>
        <item x="569"/>
        <item x="584"/>
        <item x="1128"/>
        <item x="905"/>
        <item x="1496"/>
        <item x="904"/>
        <item x="235"/>
        <item x="1261"/>
        <item x="1161"/>
        <item x="1063"/>
        <item x="1271"/>
        <item x="231"/>
        <item x="176"/>
        <item x="1266"/>
        <item x="40"/>
        <item x="889"/>
        <item x="779"/>
        <item x="1615"/>
        <item x="285"/>
        <item x="1450"/>
        <item x="986"/>
        <item x="102"/>
        <item x="716"/>
        <item x="1313"/>
        <item x="1085"/>
        <item x="766"/>
        <item x="1568"/>
        <item x="587"/>
        <item x="1031"/>
        <item x="237"/>
        <item x="114"/>
        <item x="1338"/>
        <item x="1339"/>
        <item x="1574"/>
        <item x="981"/>
        <item x="239"/>
        <item x="22"/>
        <item x="1588"/>
        <item x="1087"/>
        <item x="1254"/>
        <item x="1278"/>
        <item x="260"/>
        <item x="424"/>
        <item x="261"/>
        <item x="1513"/>
        <item x="254"/>
        <item x="320"/>
        <item x="1476"/>
        <item x="1176"/>
        <item x="567"/>
        <item x="1179"/>
        <item x="744"/>
        <item x="178"/>
        <item x="1089"/>
        <item x="292"/>
        <item x="209"/>
        <item x="966"/>
        <item x="688"/>
        <item x="668"/>
        <item x="187"/>
        <item x="1630"/>
        <item x="248"/>
        <item x="542"/>
        <item x="246"/>
        <item x="2"/>
        <item x="1336"/>
        <item x="1329"/>
        <item x="1616"/>
        <item x="223"/>
        <item x="29"/>
        <item x="1572"/>
        <item x="831"/>
        <item x="1017"/>
        <item x="1097"/>
        <item x="1373"/>
        <item x="185"/>
        <item x="559"/>
        <item x="491"/>
        <item x="578"/>
        <item x="210"/>
        <item x="1304"/>
        <item x="1303"/>
        <item x="141"/>
        <item x="545"/>
        <item x="1"/>
        <item x="769"/>
        <item x="1577"/>
        <item x="1676"/>
        <item x="596"/>
        <item x="982"/>
        <item x="219"/>
        <item x="58"/>
        <item x="627"/>
        <item x="1421"/>
        <item x="650"/>
        <item x="218"/>
        <item x="732"/>
        <item x="1625"/>
        <item x="1398"/>
        <item x="162"/>
        <item x="1457"/>
        <item x="1664"/>
        <item x="140"/>
        <item x="1160"/>
        <item x="1453"/>
        <item x="970"/>
        <item x="749"/>
        <item x="1528"/>
        <item x="654"/>
        <item x="1667"/>
        <item x="173"/>
        <item x="1419"/>
        <item x="269"/>
        <item x="646"/>
        <item x="100"/>
        <item x="1381"/>
        <item x="868"/>
        <item x="421"/>
        <item x="741"/>
        <item x="488"/>
        <item x="257"/>
        <item x="1534"/>
        <item x="1523"/>
        <item x="1308"/>
        <item x="720"/>
        <item x="696"/>
        <item x="166"/>
        <item x="170"/>
        <item x="337"/>
        <item x="837"/>
        <item x="1251"/>
        <item x="625"/>
        <item x="724"/>
        <item x="903"/>
        <item x="1244"/>
        <item x="1643"/>
        <item x="122"/>
        <item x="528"/>
        <item x="1226"/>
        <item x="1275"/>
        <item x="808"/>
        <item x="832"/>
        <item x="399"/>
        <item x="109"/>
        <item x="1299"/>
        <item x="268"/>
        <item x="111"/>
        <item x="923"/>
        <item x="475"/>
        <item x="445"/>
        <item x="765"/>
        <item x="1332"/>
        <item x="770"/>
        <item x="899"/>
        <item x="1298"/>
        <item x="848"/>
        <item x="529"/>
        <item x="1583"/>
        <item x="695"/>
        <item x="302"/>
        <item x="198"/>
        <item x="307"/>
        <item x="1235"/>
        <item x="947"/>
        <item x="1423"/>
        <item x="840"/>
        <item x="1602"/>
        <item x="1053"/>
        <item x="740"/>
        <item x="1034"/>
        <item x="387"/>
        <item x="1641"/>
        <item x="1344"/>
        <item x="690"/>
        <item x="86"/>
        <item x="1175"/>
        <item x="793"/>
        <item x="624"/>
        <item x="1581"/>
        <item x="915"/>
        <item x="1573"/>
        <item x="74"/>
        <item x="345"/>
        <item x="1008"/>
        <item x="1216"/>
        <item x="1341"/>
        <item x="691"/>
        <item x="1434"/>
        <item x="633"/>
        <item x="776"/>
        <item x="628"/>
        <item x="1223"/>
        <item x="944"/>
        <item x="288"/>
        <item x="405"/>
        <item x="1035"/>
        <item x="1018"/>
        <item x="220"/>
        <item x="965"/>
        <item x="412"/>
        <item x="341"/>
        <item x="694"/>
        <item x="271"/>
        <item x="510"/>
        <item x="286"/>
        <item x="1241"/>
        <item x="57"/>
        <item x="1086"/>
        <item x="1368"/>
        <item x="1256"/>
        <item x="1149"/>
        <item x="1627"/>
        <item x="1163"/>
        <item x="845"/>
        <item x="755"/>
        <item x="796"/>
        <item x="1516"/>
        <item x="430"/>
        <item x="892"/>
        <item x="1157"/>
        <item x="1324"/>
        <item x="910"/>
        <item x="1092"/>
        <item x="1495"/>
        <item x="919"/>
        <item x="1023"/>
        <item x="139"/>
        <item x="319"/>
        <item x="1191"/>
        <item x="621"/>
        <item x="65"/>
        <item x="873"/>
        <item x="939"/>
        <item x="236"/>
        <item x="1389"/>
        <item x="842"/>
        <item x="1425"/>
        <item x="1253"/>
        <item x="1541"/>
        <item x="188"/>
        <item x="1210"/>
        <item x="675"/>
        <item x="379"/>
        <item x="983"/>
        <item x="169"/>
        <item x="1055"/>
        <item x="492"/>
        <item x="203"/>
        <item x="243"/>
        <item x="146"/>
        <item x="1005"/>
        <item x="659"/>
        <item x="415"/>
        <item x="512"/>
        <item x="1220"/>
        <item x="143"/>
        <item x="639"/>
        <item x="1364"/>
        <item x="1058"/>
        <item x="353"/>
        <item x="52"/>
        <item x="155"/>
        <item x="994"/>
        <item x="1590"/>
        <item x="1037"/>
        <item x="1245"/>
        <item x="687"/>
        <item x="455"/>
        <item x="1361"/>
        <item x="1205"/>
        <item x="705"/>
        <item x="1131"/>
        <item x="124"/>
        <item x="297"/>
        <item x="205"/>
        <item x="1418"/>
        <item x="573"/>
        <item x="106"/>
        <item x="897"/>
        <item x="213"/>
        <item x="642"/>
        <item x="1557"/>
        <item x="1570"/>
        <item x="206"/>
        <item x="1228"/>
        <item x="1529"/>
        <item x="997"/>
        <item x="1320"/>
        <item x="570"/>
        <item x="1657"/>
        <item x="16"/>
        <item x="333"/>
        <item x="84"/>
        <item x="1065"/>
        <item x="1631"/>
        <item x="733"/>
        <item x="452"/>
        <item x="1544"/>
        <item x="1198"/>
        <item x="1229"/>
        <item x="1294"/>
        <item x="774"/>
        <item x="882"/>
        <item x="1503"/>
        <item x="1309"/>
        <item x="1597"/>
        <item x="1123"/>
        <item x="1188"/>
        <item x="991"/>
        <item x="304"/>
        <item x="1558"/>
        <item x="429"/>
        <item x="1046"/>
        <item x="1311"/>
        <item x="1556"/>
        <item x="1609"/>
        <item x="1130"/>
        <item x="1066"/>
        <item x="665"/>
        <item x="1315"/>
        <item x="1613"/>
        <item x="48"/>
        <item x="505"/>
        <item x="810"/>
        <item x="649"/>
        <item x="1628"/>
        <item x="1414"/>
        <item x="775"/>
        <item x="763"/>
        <item x="1215"/>
        <item x="1442"/>
        <item x="1351"/>
        <item x="1394"/>
        <item x="174"/>
        <item x="670"/>
        <item x="1199"/>
        <item x="351"/>
        <item x="1154"/>
        <item x="324"/>
        <item x="583"/>
        <item x="1111"/>
        <item x="1076"/>
        <item x="1415"/>
        <item x="1036"/>
        <item x="1279"/>
        <item x="656"/>
        <item x="1520"/>
        <item x="1297"/>
        <item x="318"/>
        <item x="731"/>
        <item x="283"/>
        <item x="33"/>
        <item x="556"/>
        <item x="517"/>
        <item x="10"/>
        <item x="553"/>
        <item x="1211"/>
        <item x="45"/>
        <item x="1387"/>
        <item x="192"/>
        <item x="1325"/>
        <item x="783"/>
        <item x="530"/>
        <item x="1477"/>
        <item x="1328"/>
        <item x="565"/>
        <item x="113"/>
        <item x="601"/>
        <item x="483"/>
        <item x="135"/>
        <item x="1135"/>
        <item x="164"/>
        <item x="247"/>
        <item x="1509"/>
        <item x="224"/>
        <item x="1322"/>
        <item x="1478"/>
        <item x="778"/>
        <item x="354"/>
        <item x="562"/>
        <item x="1372"/>
        <item x="590"/>
        <item x="1533"/>
        <item x="1384"/>
        <item x="1011"/>
        <item x="447"/>
        <item x="767"/>
        <item x="1586"/>
        <item x="1547"/>
        <item x="651"/>
        <item x="280"/>
        <item x="1114"/>
        <item x="1103"/>
        <item x="760"/>
        <item x="1367"/>
        <item x="1165"/>
        <item x="388"/>
        <item x="238"/>
        <item x="1040"/>
        <item x="606"/>
        <item x="407"/>
        <item x="588"/>
        <item x="1106"/>
        <item x="1238"/>
        <item x="1263"/>
        <item x="736"/>
        <item x="554"/>
        <item x="1070"/>
        <item x="1224"/>
        <item x="96"/>
        <item x="524"/>
        <item x="437"/>
        <item x="1411"/>
        <item x="532"/>
        <item x="673"/>
        <item x="471"/>
        <item x="777"/>
        <item x="537"/>
        <item x="518"/>
        <item x="1424"/>
        <item x="722"/>
        <item x="348"/>
        <item x="920"/>
        <item x="667"/>
        <item x="23"/>
        <item x="398"/>
        <item x="1670"/>
        <item x="3"/>
        <item x="1408"/>
        <item x="647"/>
        <item x="1143"/>
        <item x="1171"/>
        <item x="1032"/>
        <item x="1350"/>
        <item x="664"/>
        <item x="252"/>
        <item x="655"/>
        <item x="1550"/>
        <item x="1196"/>
        <item x="134"/>
        <item x="515"/>
        <item x="1230"/>
        <item x="403"/>
        <item x="756"/>
        <item x="1582"/>
        <item x="1589"/>
        <item x="1286"/>
        <item x="1519"/>
        <item x="1079"/>
        <item x="589"/>
        <item x="359"/>
        <item x="1371"/>
        <item x="1435"/>
        <item x="1187"/>
        <item x="1237"/>
        <item x="921"/>
        <item x="1626"/>
        <item x="1576"/>
        <item x="80"/>
        <item x="244"/>
        <item x="714"/>
        <item x="1469"/>
        <item x="757"/>
        <item x="1454"/>
        <item x="1647"/>
        <item x="531"/>
        <item x="1618"/>
        <item x="1214"/>
        <item x="331"/>
        <item x="1248"/>
        <item x="1504"/>
        <item x="564"/>
        <item x="461"/>
        <item x="125"/>
        <item x="539"/>
        <item x="1607"/>
        <item x="138"/>
        <item x="265"/>
        <item x="289"/>
        <item x="1356"/>
        <item x="200"/>
        <item x="273"/>
        <item x="1119"/>
        <item x="571"/>
        <item x="686"/>
        <item x="543"/>
        <item x="878"/>
        <item x="196"/>
        <item x="791"/>
        <item x="1620"/>
        <item x="1622"/>
        <item x="1352"/>
        <item x="451"/>
        <item x="1540"/>
        <item x="626"/>
        <item x="748"/>
        <item x="1197"/>
        <item x="175"/>
        <item x="977"/>
        <item x="586"/>
        <item x="1402"/>
        <item x="1162"/>
        <item x="1240"/>
        <item x="194"/>
        <item x="1360"/>
        <item x="1640"/>
        <item x="12"/>
        <item x="1110"/>
        <item x="1236"/>
        <item x="1413"/>
        <item x="1483"/>
        <item x="204"/>
        <item x="1007"/>
        <item x="552"/>
        <item x="1662"/>
        <item x="1464"/>
        <item x="751"/>
        <item x="550"/>
        <item x="516"/>
        <item x="1539"/>
        <item x="1194"/>
        <item x="785"/>
        <item x="434"/>
        <item x="718"/>
        <item x="1467"/>
        <item x="866"/>
        <item x="160"/>
        <item x="631"/>
        <item x="1100"/>
        <item x="250"/>
        <item x="156"/>
        <item x="126"/>
        <item x="1362"/>
        <item x="632"/>
        <item x="1621"/>
        <item x="1390"/>
        <item x="158"/>
        <item x="1437"/>
        <item x="1340"/>
        <item x="1127"/>
        <item x="93"/>
        <item x="199"/>
        <item x="1039"/>
        <item x="506"/>
        <item x="1306"/>
        <item x="683"/>
        <item x="822"/>
        <item x="620"/>
        <item x="414"/>
        <item x="735"/>
        <item x="522"/>
        <item x="976"/>
        <item x="408"/>
        <item x="702"/>
        <item x="53"/>
        <item x="1345"/>
        <item x="1386"/>
        <item x="364"/>
        <item x="1391"/>
        <item x="704"/>
        <item x="541"/>
        <item x="1637"/>
        <item x="653"/>
        <item x="1549"/>
        <item x="1113"/>
        <item x="1219"/>
        <item x="1355"/>
        <item x="700"/>
        <item x="1374"/>
        <item x="712"/>
        <item x="1213"/>
        <item x="645"/>
        <item x="77"/>
        <item x="177"/>
        <item x="988"/>
        <item x="1296"/>
        <item x="717"/>
        <item x="1605"/>
        <item x="1189"/>
        <item x="181"/>
        <item x="1109"/>
        <item x="1553"/>
        <item x="137"/>
        <item x="918"/>
        <item x="1485"/>
        <item x="685"/>
        <item x="648"/>
        <item x="1481"/>
        <item x="721"/>
        <item x="579"/>
        <item x="222"/>
        <item x="1369"/>
        <item x="1575"/>
        <item x="1397"/>
        <item x="190"/>
        <item x="1401"/>
        <item x="1501"/>
        <item x="494"/>
        <item x="1078"/>
        <item x="300"/>
        <item x="211"/>
        <item x="441"/>
        <item x="1517"/>
        <item x="742"/>
        <item x="607"/>
        <item x="1638"/>
        <item x="521"/>
        <item x="346"/>
        <item x="1071"/>
        <item x="172"/>
        <item x="1560"/>
        <item x="322"/>
        <item x="477"/>
        <item x="1147"/>
        <item x="1159"/>
        <item x="392"/>
        <item x="191"/>
        <item x="948"/>
        <item x="577"/>
        <item x="163"/>
        <item x="1195"/>
        <item x="893"/>
        <item x="1150"/>
        <item x="698"/>
        <item x="557"/>
        <item x="1267"/>
        <item x="1406"/>
        <item x="1669"/>
        <item x="1436"/>
        <item x="394"/>
        <item x="1285"/>
        <item x="496"/>
        <item x="422"/>
        <item x="112"/>
        <item x="1074"/>
        <item x="533"/>
        <item x="1075"/>
        <item x="652"/>
        <item x="1659"/>
        <item x="1312"/>
        <item x="272"/>
        <item x="316"/>
        <item x="1146"/>
        <item x="1619"/>
        <item x="225"/>
        <item x="1404"/>
        <item x="411"/>
        <item x="1624"/>
        <item x="202"/>
        <item x="1183"/>
        <item x="241"/>
        <item x="1405"/>
        <item x="1438"/>
        <item x="1526"/>
        <item x="470"/>
        <item x="1571"/>
        <item x="1262"/>
        <item x="534"/>
        <item x="619"/>
        <item x="1218"/>
        <item x="907"/>
        <item x="684"/>
        <item x="303"/>
        <item x="697"/>
        <item x="618"/>
        <item x="182"/>
        <item x="1264"/>
        <item x="913"/>
        <item x="1420"/>
        <item x="1300"/>
        <item x="1204"/>
        <item x="699"/>
        <item x="885"/>
        <item x="1029"/>
        <item x="993"/>
        <item x="1655"/>
        <item x="1502"/>
        <item x="641"/>
        <item x="867"/>
        <item x="1274"/>
        <item x="629"/>
        <item x="1246"/>
        <item x="801"/>
        <item x="1288"/>
        <item x="81"/>
        <item x="1431"/>
        <item x="1281"/>
        <item x="786"/>
        <item x="636"/>
        <item x="908"/>
        <item x="942"/>
        <item x="706"/>
        <item x="144"/>
        <item x="1112"/>
        <item x="1673"/>
        <item x="1492"/>
        <item x="863"/>
        <item x="551"/>
        <item x="99"/>
        <item x="1327"/>
        <item x="1507"/>
        <item x="110"/>
        <item x="1129"/>
        <item x="349"/>
        <item x="1164"/>
        <item x="1115"/>
        <item x="605"/>
        <item x="338"/>
        <item x="365"/>
        <item x="1554"/>
        <item x="1093"/>
        <item x="1441"/>
        <item x="1234"/>
        <item x="1323"/>
        <item x="1258"/>
        <item x="97"/>
        <item x="1122"/>
        <item x="240"/>
        <item x="854"/>
        <item x="723"/>
        <item x="1511"/>
        <item x="710"/>
        <item x="117"/>
        <item x="229"/>
        <item x="498"/>
        <item x="1383"/>
        <item x="168"/>
        <item x="1259"/>
        <item x="263"/>
        <item x="663"/>
        <item x="427"/>
        <item x="1186"/>
        <item x="1185"/>
        <item x="446"/>
        <item x="536"/>
        <item x="692"/>
        <item x="1090"/>
        <item x="1193"/>
        <item x="1155"/>
        <item x="599"/>
        <item x="911"/>
        <item x="1009"/>
        <item x="1392"/>
        <item x="1648"/>
        <item x="1365"/>
        <item x="308"/>
        <item x="1177"/>
        <item x="833"/>
        <item x="469"/>
        <item x="1003"/>
        <item x="661"/>
        <item x="1145"/>
        <item x="1375"/>
        <item x="1326"/>
        <item x="249"/>
        <item x="267"/>
        <item x="807"/>
        <item x="159"/>
        <item x="676"/>
        <item x="623"/>
        <item x="595"/>
        <item x="666"/>
        <item x="311"/>
        <item x="674"/>
        <item x="1486"/>
        <item x="171"/>
        <item x="681"/>
        <item x="689"/>
        <item x="1396"/>
        <item x="1646"/>
        <item x="409"/>
        <item x="1379"/>
        <item x="432"/>
        <item x="183"/>
        <item x="1489"/>
        <item x="1142"/>
        <item x="912"/>
        <item x="538"/>
        <item x="290"/>
        <item x="611"/>
        <item x="465"/>
        <item x="1202"/>
        <item x="1178"/>
        <item x="1318"/>
        <item x="1117"/>
        <item x="1208"/>
        <item x="1139"/>
        <item x="233"/>
        <item x="435"/>
        <item x="940"/>
        <item x="129"/>
        <item x="805"/>
        <item x="804"/>
        <item x="614"/>
        <item x="1353"/>
        <item x="1101"/>
        <item x="1427"/>
        <item x="87"/>
        <item x="460"/>
        <item x="1461"/>
        <item x="604"/>
        <item x="356"/>
        <item x="883"/>
        <item x="814"/>
        <item x="1518"/>
        <item x="520"/>
        <item x="1227"/>
        <item x="762"/>
        <item x="1388"/>
        <item x="1020"/>
        <item x="1059"/>
        <item x="120"/>
        <item x="274"/>
        <item x="312"/>
        <item x="1247"/>
        <item x="1530"/>
        <item x="1578"/>
        <item x="640"/>
        <item x="580"/>
        <item x="19"/>
        <item x="1378"/>
        <item x="323"/>
        <item x="768"/>
        <item x="11"/>
        <item x="1305"/>
        <item x="193"/>
        <item x="406"/>
        <item x="142"/>
        <item x="616"/>
        <item x="1569"/>
        <item x="350"/>
        <item x="680"/>
        <item x="927"/>
        <item x="739"/>
        <item x="279"/>
        <item x="1395"/>
        <item x="1594"/>
        <item x="795"/>
        <item x="251"/>
        <item x="1591"/>
        <item x="1314"/>
        <item x="1098"/>
        <item x="772"/>
        <item x="1024"/>
        <item x="1593"/>
        <item x="1525"/>
        <item x="1273"/>
        <item x="771"/>
        <item x="1260"/>
        <item x="934"/>
        <item x="1335"/>
        <item x="1521"/>
        <item x="147"/>
        <item x="643"/>
        <item x="1451"/>
        <item x="1004"/>
        <item x="1412"/>
        <item x="677"/>
        <item x="157"/>
        <item x="1172"/>
        <item x="1104"/>
        <item x="575"/>
        <item x="1138"/>
        <item x="1293"/>
        <item x="306"/>
        <item x="1445"/>
        <item x="1184"/>
        <item x="232"/>
        <item x="547"/>
        <item x="360"/>
        <item x="1231"/>
        <item x="707"/>
        <item x="1099"/>
        <item x="1585"/>
        <item x="201"/>
        <item x="1542"/>
        <item x="1030"/>
        <item x="803"/>
        <item x="703"/>
        <item x="36"/>
        <item x="450"/>
        <item x="336"/>
        <item x="1209"/>
        <item x="1470"/>
        <item x="1505"/>
        <item x="971"/>
        <item x="1559"/>
        <item x="1532"/>
        <item x="282"/>
        <item x="262"/>
        <item x="1134"/>
        <item x="298"/>
        <item x="1222"/>
        <item x="1331"/>
        <item x="1580"/>
        <item x="253"/>
        <item x="909"/>
        <item x="39"/>
        <item x="1349"/>
        <item x="950"/>
        <item x="1429"/>
        <item x="963"/>
        <item x="523"/>
        <item x="1493"/>
        <item x="1562"/>
        <item x="609"/>
        <item x="1579"/>
        <item x="314"/>
        <item x="1515"/>
        <item x="1316"/>
        <item x="1091"/>
        <item x="85"/>
        <item x="1407"/>
        <item x="1642"/>
        <item x="933"/>
        <item x="1439"/>
        <item x="1522"/>
        <item x="726"/>
        <item x="1610"/>
        <item x="1508"/>
        <item x="1346"/>
        <item x="14"/>
        <item x="1319"/>
        <item x="669"/>
        <item x="1343"/>
        <item x="693"/>
        <item x="149"/>
        <item x="310"/>
        <item x="499"/>
        <item x="123"/>
        <item x="295"/>
        <item x="1252"/>
        <item x="1233"/>
        <item x="439"/>
        <item x="1500"/>
        <item x="1068"/>
        <item x="1067"/>
        <item x="1510"/>
        <item x="472"/>
        <item x="1358"/>
        <item x="789"/>
        <item x="226"/>
        <item x="462"/>
        <item x="1107"/>
        <item x="47"/>
        <item x="1654"/>
        <item x="1056"/>
        <item x="708"/>
        <item x="527"/>
        <item x="481"/>
        <item x="671"/>
        <item x="925"/>
        <item x="745"/>
        <item x="1307"/>
        <item x="1292"/>
        <item x="615"/>
        <item x="1289"/>
        <item x="383"/>
        <item x="1277"/>
        <item x="660"/>
        <item x="548"/>
        <item x="1444"/>
        <item x="347"/>
        <item x="1652"/>
        <item x="264"/>
        <item x="1595"/>
        <item x="287"/>
        <item x="1535"/>
        <item x="1471"/>
        <item x="423"/>
        <item x="1013"/>
        <item x="1596"/>
        <item x="118"/>
        <item x="725"/>
        <item x="1552"/>
        <item x="266"/>
        <item x="1488"/>
        <item x="151"/>
        <item x="107"/>
        <item x="1491"/>
        <item x="485"/>
        <item x="291"/>
        <item x="729"/>
        <item x="1048"/>
        <item x="1490"/>
        <item x="1563"/>
        <item x="924"/>
        <item x="369"/>
        <item x="228"/>
        <item x="1054"/>
        <item x="1653"/>
        <item x="1015"/>
        <item x="154"/>
        <item x="1416"/>
        <item x="397"/>
        <item x="1455"/>
        <item x="1049"/>
        <item x="497"/>
        <item x="617"/>
        <item x="1270"/>
        <item x="773"/>
        <item x="1255"/>
        <item x="1232"/>
        <item x="1062"/>
        <item x="917"/>
        <item x="1460"/>
        <item x="815"/>
        <item x="299"/>
        <item x="1417"/>
        <item x="32"/>
        <item x="197"/>
        <item x="1057"/>
        <item x="277"/>
        <item x="1025"/>
        <item x="91"/>
        <item x="1498"/>
        <item x="1022"/>
        <item x="875"/>
        <item x="1182"/>
        <item x="952"/>
        <item x="834"/>
        <item x="1393"/>
        <item x="340"/>
        <item x="121"/>
        <item x="1465"/>
        <item x="980"/>
        <item x="936"/>
        <item x="890"/>
        <item x="1342"/>
        <item x="1661"/>
        <item x="1487"/>
        <item x="526"/>
        <item x="1463"/>
        <item x="1242"/>
        <item x="738"/>
        <item x="1347"/>
        <item x="83"/>
        <item x="131"/>
        <item x="1192"/>
        <item x="711"/>
        <item x="1016"/>
        <item x="381"/>
        <item x="662"/>
        <item x="20"/>
        <item x="105"/>
        <item x="1524"/>
        <item x="657"/>
        <item x="62"/>
        <item x="1167"/>
        <item x="558"/>
        <item x="603"/>
        <item x="217"/>
        <item x="361"/>
        <item x="937"/>
        <item x="1409"/>
        <item x="1674"/>
        <item x="1348"/>
        <item x="329"/>
        <item x="1045"/>
        <item x="1497"/>
        <item x="366"/>
        <item x="1546"/>
        <item x="1443"/>
        <item x="1302"/>
        <item x="301"/>
        <item x="1108"/>
        <item x="73"/>
        <item x="1140"/>
        <item x="1317"/>
        <item x="380"/>
        <item x="463"/>
        <item x="1370"/>
        <item x="136"/>
        <item x="343"/>
        <item x="296"/>
        <item x="1190"/>
        <item x="352"/>
        <item x="294"/>
        <item x="1537"/>
        <item x="281"/>
        <item x="56"/>
        <item x="582"/>
        <item x="709"/>
        <item x="1021"/>
        <item x="458"/>
        <item x="828"/>
        <item x="189"/>
        <item x="420"/>
        <item x="402"/>
        <item x="326"/>
        <item x="1148"/>
        <item x="1221"/>
        <item x="1290"/>
        <item x="1440"/>
        <item x="373"/>
        <item x="95"/>
        <item x="315"/>
        <item x="216"/>
        <item x="215"/>
        <item x="585"/>
        <item x="1096"/>
        <item x="1548"/>
        <item x="1052"/>
        <item x="1668"/>
        <item x="180"/>
        <item x="433"/>
        <item x="1125"/>
        <item x="1606"/>
        <item x="876"/>
        <item x="995"/>
        <item x="1083"/>
        <item x="644"/>
        <item x="489"/>
        <item x="568"/>
        <item x="404"/>
        <item x="540"/>
        <item x="457"/>
        <item x="284"/>
        <item x="508"/>
        <item x="1363"/>
        <item x="593"/>
        <item x="1462"/>
        <item x="1377"/>
        <item x="1077"/>
        <item x="98"/>
        <item x="743"/>
        <item x="825"/>
        <item x="1028"/>
        <item x="1291"/>
        <item x="1603"/>
        <item x="870"/>
        <item x="1499"/>
        <item x="914"/>
        <item x="313"/>
        <item x="826"/>
        <item x="1649"/>
        <item x="64"/>
        <item x="444"/>
        <item x="453"/>
        <item x="25"/>
        <item x="474"/>
        <item x="502"/>
        <item x="610"/>
        <item x="996"/>
        <item x="1479"/>
        <item x="245"/>
        <item x="959"/>
        <item x="1284"/>
        <item x="1564"/>
        <item x="1000"/>
        <item x="1433"/>
        <item x="1268"/>
        <item x="101"/>
        <item x="92"/>
        <item x="54"/>
        <item x="436"/>
        <item x="75"/>
        <item x="560"/>
        <item x="68"/>
        <item x="1080"/>
        <item x="1126"/>
        <item x="428"/>
        <item x="9"/>
        <item x="964"/>
        <item x="916"/>
        <item x="426"/>
        <item x="0"/>
        <item x="865"/>
        <item x="413"/>
        <item x="954"/>
        <item x="401"/>
        <item x="342"/>
        <item x="544"/>
        <item x="829"/>
        <item x="1458"/>
        <item x="638"/>
        <item x="975"/>
        <item x="82"/>
        <item x="504"/>
        <item x="855"/>
        <item x="1635"/>
        <item x="76"/>
        <item x="827"/>
        <item x="1249"/>
        <item x="1001"/>
        <item x="1301"/>
        <item x="391"/>
        <item x="1663"/>
        <item x="549"/>
        <item x="1144"/>
        <item x="973"/>
        <item x="167"/>
        <item x="103"/>
        <item x="750"/>
        <item x="1633"/>
        <item x="1599"/>
        <item x="1482"/>
        <item x="358"/>
        <item x="259"/>
        <item x="1166"/>
        <item x="896"/>
        <item x="1665"/>
        <item x="375"/>
        <item x="572"/>
        <item x="35"/>
        <item x="1002"/>
        <item x="1400"/>
        <item x="1282"/>
        <item x="938"/>
        <item x="1047"/>
        <item x="737"/>
        <item x="1399"/>
        <item x="1206"/>
        <item x="55"/>
        <item x="325"/>
        <item x="5"/>
        <item x="901"/>
        <item x="886"/>
        <item x="701"/>
        <item x="592"/>
        <item x="385"/>
        <item x="390"/>
        <item x="853"/>
        <item x="1651"/>
        <item x="851"/>
        <item x="869"/>
        <item x="37"/>
        <item x="493"/>
        <item x="930"/>
        <item x="500"/>
        <item x="985"/>
        <item x="372"/>
        <item x="79"/>
        <item x="371"/>
        <item x="900"/>
        <item x="902"/>
        <item x="482"/>
        <item x="128"/>
        <item x="957"/>
        <item x="728"/>
        <item x="1014"/>
        <item x="846"/>
        <item x="1484"/>
        <item x="41"/>
        <item x="906"/>
        <item x="30"/>
        <item x="838"/>
        <item x="1473"/>
        <item x="50"/>
        <item x="150"/>
        <item x="1088"/>
        <item x="1051"/>
        <item x="1118"/>
        <item x="1006"/>
        <item x="60"/>
        <item x="891"/>
        <item x="270"/>
        <item x="378"/>
        <item x="78"/>
        <item x="448"/>
        <item x="798"/>
        <item x="974"/>
        <item x="861"/>
        <item x="797"/>
        <item x="860"/>
        <item x="881"/>
        <item x="946"/>
        <item x="872"/>
        <item x="389"/>
        <item x="1084"/>
        <item x="442"/>
        <item x="335"/>
        <item x="961"/>
        <item x="898"/>
        <item x="72"/>
        <item x="984"/>
        <item x="955"/>
        <item x="813"/>
        <item x="1475"/>
        <item x="478"/>
        <item t="countA"/>
      </items>
    </pivotField>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4">
        <item x="1"/>
        <item x="2"/>
        <item x="0"/>
        <item t="default"/>
      </items>
    </pivotField>
    <pivotField showAll="0">
      <items count="4">
        <item x="2"/>
        <item x="1"/>
        <item x="0"/>
        <item t="default"/>
      </items>
    </pivotField>
  </pivotFields>
  <rowFields count="1">
    <field x="14"/>
  </rowFields>
  <rowItems count="4">
    <i>
      <x/>
    </i>
    <i>
      <x v="1"/>
    </i>
    <i>
      <x v="2"/>
    </i>
    <i t="grand">
      <x/>
    </i>
  </rowItems>
  <colItems count="1">
    <i/>
  </colItems>
  <dataFields count="1">
    <dataField name="Count of stock_daily_return_pct" fld="3"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63E1AE-3AA4-49B9-A8CE-6F10510ABA10}" name="PivotTable5"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3:A24" firstHeaderRow="1" firstDataRow="1" firstDataCol="0"/>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dataField="1"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Items count="1">
    <i/>
  </rowItems>
  <colItems count="1">
    <i/>
  </colItems>
  <dataFields count="1">
    <dataField name="Max of stock_daily_return_pct" fld="3" subtotal="max"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C53B0F-D65C-4158-A27F-4A71ADDF0752}" name="PivotTable4"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A19" firstHeaderRow="1" firstDataRow="1" firstDataCol="0"/>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dataField="1" showAll="0"/>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Items count="1">
    <i/>
  </rowItems>
  <colItems count="1">
    <i/>
  </colItems>
  <dataFields count="1">
    <dataField name="Count of stock_volu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8BCED0-A14A-45BB-B306-82F5C2CFFB69}" name="PivotTable3-1"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A15" firstHeaderRow="1" firstDataRow="1" firstDataCol="0"/>
  <pivotFields count="16">
    <pivotField numFmtId="14" showAll="0">
      <items count="27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t="default"/>
      </items>
    </pivotField>
    <pivotField showAll="0"/>
    <pivotField showAll="0"/>
    <pivotField showAll="0"/>
    <pivotField showAll="0">
      <items count="179">
        <item x="129"/>
        <item x="151"/>
        <item x="150"/>
        <item x="152"/>
        <item x="157"/>
        <item x="167"/>
        <item x="108"/>
        <item x="111"/>
        <item x="112"/>
        <item x="106"/>
        <item x="105"/>
        <item x="104"/>
        <item x="107"/>
        <item x="110"/>
        <item x="39"/>
        <item x="103"/>
        <item x="9"/>
        <item x="15"/>
        <item x="43"/>
        <item x="18"/>
        <item x="102"/>
        <item x="0"/>
        <item x="6"/>
        <item x="27"/>
        <item x="38"/>
        <item x="37"/>
        <item x="5"/>
        <item x="2"/>
        <item x="7"/>
        <item x="36"/>
        <item x="1"/>
        <item x="16"/>
        <item x="10"/>
        <item x="13"/>
        <item x="41"/>
        <item x="26"/>
        <item x="19"/>
        <item x="3"/>
        <item x="17"/>
        <item x="4"/>
        <item x="12"/>
        <item x="8"/>
        <item x="11"/>
        <item x="35"/>
        <item x="28"/>
        <item x="32"/>
        <item x="40"/>
        <item x="42"/>
        <item x="23"/>
        <item x="34"/>
        <item x="20"/>
        <item x="33"/>
        <item x="48"/>
        <item x="47"/>
        <item x="44"/>
        <item x="14"/>
        <item x="25"/>
        <item x="50"/>
        <item x="22"/>
        <item x="21"/>
        <item x="51"/>
        <item x="24"/>
        <item x="45"/>
        <item x="49"/>
        <item x="31"/>
        <item x="54"/>
        <item x="30"/>
        <item x="94"/>
        <item x="53"/>
        <item x="58"/>
        <item x="59"/>
        <item x="93"/>
        <item x="57"/>
        <item x="84"/>
        <item x="65"/>
        <item x="60"/>
        <item x="74"/>
        <item x="86"/>
        <item x="73"/>
        <item x="92"/>
        <item x="63"/>
        <item x="52"/>
        <item x="62"/>
        <item x="29"/>
        <item x="71"/>
        <item x="46"/>
        <item x="66"/>
        <item x="68"/>
        <item x="55"/>
        <item x="70"/>
        <item x="79"/>
        <item x="56"/>
        <item x="81"/>
        <item x="69"/>
        <item x="88"/>
        <item x="98"/>
        <item x="87"/>
        <item x="97"/>
        <item x="85"/>
        <item x="77"/>
        <item x="82"/>
        <item x="67"/>
        <item x="75"/>
        <item x="83"/>
        <item x="80"/>
        <item x="76"/>
        <item x="64"/>
        <item x="95"/>
        <item x="89"/>
        <item x="72"/>
        <item x="159"/>
        <item x="154"/>
        <item x="118"/>
        <item x="122"/>
        <item x="101"/>
        <item x="90"/>
        <item x="166"/>
        <item x="96"/>
        <item x="109"/>
        <item x="161"/>
        <item x="153"/>
        <item x="61"/>
        <item x="155"/>
        <item x="114"/>
        <item x="116"/>
        <item x="158"/>
        <item x="100"/>
        <item x="149"/>
        <item x="162"/>
        <item x="165"/>
        <item x="117"/>
        <item x="91"/>
        <item x="156"/>
        <item x="169"/>
        <item x="115"/>
        <item x="113"/>
        <item x="140"/>
        <item x="135"/>
        <item x="78"/>
        <item x="143"/>
        <item x="119"/>
        <item x="163"/>
        <item x="147"/>
        <item x="144"/>
        <item x="134"/>
        <item x="164"/>
        <item x="127"/>
        <item x="141"/>
        <item x="145"/>
        <item x="160"/>
        <item x="139"/>
        <item x="142"/>
        <item x="128"/>
        <item x="133"/>
        <item x="146"/>
        <item x="121"/>
        <item x="136"/>
        <item x="177"/>
        <item x="124"/>
        <item x="120"/>
        <item x="125"/>
        <item x="132"/>
        <item x="148"/>
        <item x="173"/>
        <item x="137"/>
        <item x="131"/>
        <item x="176"/>
        <item x="138"/>
        <item x="172"/>
        <item x="174"/>
        <item x="170"/>
        <item x="126"/>
        <item x="168"/>
        <item x="99"/>
        <item x="175"/>
        <item x="123"/>
        <item x="130"/>
        <item x="171"/>
        <item t="default"/>
      </items>
    </pivotField>
    <pivotField showAll="0"/>
    <pivotField showAll="0"/>
    <pivotField showAll="0"/>
    <pivotField showAll="0"/>
    <pivotField dataField="1" showAll="0"/>
    <pivotField showAll="0"/>
    <pivotField showAll="0"/>
    <pivotField showAll="0"/>
    <pivotField showAll="0">
      <items count="3">
        <item x="1"/>
        <item x="0"/>
        <item t="default"/>
      </items>
    </pivotField>
    <pivotField showAll="0">
      <items count="4">
        <item x="1"/>
        <item x="2"/>
        <item x="0"/>
        <item t="default"/>
      </items>
    </pivotField>
    <pivotField showAll="0">
      <items count="4">
        <item x="2"/>
        <item x="1"/>
        <item x="0"/>
        <item t="default"/>
      </items>
    </pivotField>
  </pivotFields>
  <rowItems count="1">
    <i/>
  </rowItems>
  <colItems count="1">
    <i/>
  </colItems>
  <dataFields count="1">
    <dataField name="Sum of is_trading_da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ding_status" xr10:uid="{559E2FEA-C161-4E79-9F1C-F990D6001328}" sourceName="Trading_status">
  <pivotTables>
    <pivotTable tabId="3" name="PivotTable3"/>
    <pivotTable tabId="3" name="PivotTable1"/>
    <pivotTable tabId="3" name="PivotTable2"/>
    <pivotTable tabId="3" name="PivotTable4"/>
    <pivotTable tabId="3" name="PivotTable5"/>
    <pivotTable tabId="3" name="PivotTable7"/>
    <pivotTable tabId="3" name="PivotTable8"/>
    <pivotTable tabId="2" name="PivotTable3-1"/>
    <pivotTable tabId="2" name="PivotTable4"/>
    <pivotTable tabId="2" name="PivotTable5"/>
    <pivotTable tabId="2" name="PivotTable6"/>
    <pivotTable tabId="2" name="PivotTable7"/>
    <pivotTable tabId="2" name="PivotTable8"/>
    <pivotTable tabId="2" name="PivotTable9"/>
  </pivotTables>
  <data>
    <tabular pivotCacheId="15192327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status" xr10:uid="{34E52DD0-4F76-4D90-B45D-FDE1EF5BBE3F}" sourceName="Sentiment_status">
  <pivotTables>
    <pivotTable tabId="3" name="PivotTable3"/>
    <pivotTable tabId="3" name="PivotTable1"/>
    <pivotTable tabId="3" name="PivotTable2"/>
    <pivotTable tabId="3" name="PivotTable4"/>
    <pivotTable tabId="3" name="PivotTable5"/>
    <pivotTable tabId="3" name="PivotTable7"/>
    <pivotTable tabId="3" name="PivotTable8"/>
    <pivotTable tabId="2" name="PivotTable3-1"/>
    <pivotTable tabId="2" name="PivotTable4"/>
    <pivotTable tabId="2" name="PivotTable5"/>
    <pivotTable tabId="2" name="PivotTable6"/>
    <pivotTable tabId="2" name="PivotTable7"/>
    <pivotTable tabId="2" name="PivotTable8"/>
    <pivotTable tabId="2" name="PivotTable9"/>
  </pivotTables>
  <data>
    <tabular pivotCacheId="15192327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Return_Category" xr10:uid="{5EA14B63-2C12-4D6A-81A0-2D5FE076EFC6}" sourceName="StockReturn_Category">
  <pivotTables>
    <pivotTable tabId="3" name="PivotTable3"/>
    <pivotTable tabId="3" name="PivotTable1"/>
    <pivotTable tabId="3" name="PivotTable2"/>
    <pivotTable tabId="3" name="PivotTable4"/>
    <pivotTable tabId="3" name="PivotTable5"/>
    <pivotTable tabId="3" name="PivotTable7"/>
    <pivotTable tabId="3" name="PivotTable8"/>
    <pivotTable tabId="2" name="PivotTable3-1"/>
    <pivotTable tabId="2" name="PivotTable4"/>
    <pivotTable tabId="2" name="PivotTable5"/>
    <pivotTable tabId="2" name="PivotTable6"/>
    <pivotTable tabId="2" name="PivotTable7"/>
    <pivotTable tabId="2" name="PivotTable8"/>
    <pivotTable tabId="2" name="PivotTable9"/>
  </pivotTables>
  <data>
    <tabular pivotCacheId="151923271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_count" xr10:uid="{851733E6-207E-431A-8C0A-00F7BBFF8B83}" sourceName="reviews_count">
  <pivotTables>
    <pivotTable tabId="3" name="PivotTable3"/>
    <pivotTable tabId="3" name="PivotTable1"/>
    <pivotTable tabId="3" name="PivotTable2"/>
    <pivotTable tabId="3" name="PivotTable4"/>
    <pivotTable tabId="3" name="PivotTable5"/>
    <pivotTable tabId="3" name="PivotTable7"/>
    <pivotTable tabId="3" name="PivotTable8"/>
    <pivotTable tabId="2" name="PivotTable3-1"/>
    <pivotTable tabId="2" name="PivotTable4"/>
    <pivotTable tabId="2" name="PivotTable5"/>
    <pivotTable tabId="2" name="PivotTable6"/>
    <pivotTable tabId="2" name="PivotTable7"/>
    <pivotTable tabId="2" name="PivotTable8"/>
    <pivotTable tabId="2" name="PivotTable9"/>
  </pivotTables>
  <data>
    <tabular pivotCacheId="1519232716">
      <items count="178">
        <i x="129" s="1"/>
        <i x="151" s="1"/>
        <i x="150" s="1"/>
        <i x="152" s="1"/>
        <i x="157" s="1"/>
        <i x="167" s="1"/>
        <i x="108" s="1"/>
        <i x="111" s="1"/>
        <i x="112" s="1"/>
        <i x="106" s="1"/>
        <i x="105" s="1"/>
        <i x="104" s="1"/>
        <i x="107" s="1"/>
        <i x="110" s="1"/>
        <i x="39" s="1"/>
        <i x="103" s="1"/>
        <i x="9" s="1"/>
        <i x="15" s="1"/>
        <i x="43" s="1"/>
        <i x="18" s="1"/>
        <i x="102" s="1"/>
        <i x="0" s="1"/>
        <i x="6" s="1"/>
        <i x="27" s="1"/>
        <i x="38" s="1"/>
        <i x="37" s="1"/>
        <i x="5" s="1"/>
        <i x="2" s="1"/>
        <i x="7" s="1"/>
        <i x="36" s="1"/>
        <i x="1" s="1"/>
        <i x="16" s="1"/>
        <i x="10" s="1"/>
        <i x="13" s="1"/>
        <i x="41" s="1"/>
        <i x="26" s="1"/>
        <i x="19" s="1"/>
        <i x="3" s="1"/>
        <i x="17" s="1"/>
        <i x="4" s="1"/>
        <i x="12" s="1"/>
        <i x="8" s="1"/>
        <i x="11" s="1"/>
        <i x="35" s="1"/>
        <i x="28" s="1"/>
        <i x="32" s="1"/>
        <i x="40" s="1"/>
        <i x="42" s="1"/>
        <i x="23" s="1"/>
        <i x="34" s="1"/>
        <i x="20" s="1"/>
        <i x="33" s="1"/>
        <i x="48" s="1"/>
        <i x="47" s="1"/>
        <i x="44" s="1"/>
        <i x="14" s="1"/>
        <i x="25" s="1"/>
        <i x="50" s="1"/>
        <i x="22" s="1"/>
        <i x="21" s="1"/>
        <i x="51" s="1"/>
        <i x="24" s="1"/>
        <i x="45" s="1"/>
        <i x="49" s="1"/>
        <i x="31" s="1"/>
        <i x="54" s="1"/>
        <i x="30" s="1"/>
        <i x="94" s="1"/>
        <i x="53" s="1"/>
        <i x="58" s="1"/>
        <i x="59" s="1"/>
        <i x="93" s="1"/>
        <i x="57" s="1"/>
        <i x="84" s="1"/>
        <i x="65" s="1"/>
        <i x="60" s="1"/>
        <i x="74" s="1"/>
        <i x="86" s="1"/>
        <i x="73" s="1"/>
        <i x="92" s="1"/>
        <i x="63" s="1"/>
        <i x="52" s="1"/>
        <i x="62" s="1"/>
        <i x="29" s="1"/>
        <i x="71" s="1"/>
        <i x="46" s="1"/>
        <i x="66" s="1"/>
        <i x="68" s="1"/>
        <i x="55" s="1"/>
        <i x="70" s="1"/>
        <i x="79" s="1"/>
        <i x="56" s="1"/>
        <i x="81" s="1"/>
        <i x="69" s="1"/>
        <i x="88" s="1"/>
        <i x="98" s="1"/>
        <i x="87" s="1"/>
        <i x="97" s="1"/>
        <i x="85" s="1"/>
        <i x="77" s="1"/>
        <i x="82" s="1"/>
        <i x="67" s="1"/>
        <i x="75" s="1"/>
        <i x="83" s="1"/>
        <i x="80" s="1"/>
        <i x="76" s="1"/>
        <i x="64" s="1"/>
        <i x="95" s="1"/>
        <i x="89" s="1"/>
        <i x="72" s="1"/>
        <i x="159" s="1"/>
        <i x="154" s="1"/>
        <i x="118" s="1"/>
        <i x="122" s="1"/>
        <i x="101" s="1"/>
        <i x="90" s="1"/>
        <i x="166" s="1"/>
        <i x="96" s="1"/>
        <i x="109" s="1"/>
        <i x="161" s="1"/>
        <i x="153" s="1"/>
        <i x="61" s="1"/>
        <i x="155" s="1"/>
        <i x="114" s="1"/>
        <i x="116" s="1"/>
        <i x="158" s="1"/>
        <i x="100" s="1"/>
        <i x="149" s="1"/>
        <i x="162" s="1"/>
        <i x="165" s="1"/>
        <i x="117" s="1"/>
        <i x="91" s="1"/>
        <i x="156" s="1"/>
        <i x="169" s="1"/>
        <i x="115" s="1"/>
        <i x="113" s="1"/>
        <i x="140" s="1"/>
        <i x="135" s="1"/>
        <i x="78" s="1"/>
        <i x="143" s="1"/>
        <i x="119" s="1"/>
        <i x="163" s="1"/>
        <i x="147" s="1"/>
        <i x="144" s="1"/>
        <i x="134" s="1"/>
        <i x="164" s="1"/>
        <i x="127" s="1"/>
        <i x="141" s="1"/>
        <i x="145" s="1"/>
        <i x="160" s="1"/>
        <i x="139" s="1"/>
        <i x="142" s="1"/>
        <i x="128" s="1"/>
        <i x="133" s="1"/>
        <i x="146" s="1"/>
        <i x="121" s="1"/>
        <i x="136" s="1"/>
        <i x="177" s="1"/>
        <i x="124" s="1"/>
        <i x="120" s="1"/>
        <i x="125" s="1"/>
        <i x="132" s="1"/>
        <i x="148" s="1"/>
        <i x="173" s="1"/>
        <i x="137" s="1"/>
        <i x="131" s="1"/>
        <i x="176" s="1"/>
        <i x="138" s="1"/>
        <i x="172" s="1"/>
        <i x="174" s="1"/>
        <i x="170" s="1"/>
        <i x="126" s="1"/>
        <i x="168" s="1"/>
        <i x="99" s="1"/>
        <i x="175" s="1"/>
        <i x="123" s="1"/>
        <i x="130" s="1"/>
        <i x="17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ding_status" xr10:uid="{364CEBE1-2B22-49E5-A10B-60057B47DF30}" cache="Slicer_Trading_status" caption="Trading_status" columnCount="2" style="SlicerStyleDark2" rowHeight="234950"/>
  <slicer name="Sentiment_status" xr10:uid="{5D5E569F-E2D9-46EC-87B6-CFE984E68C2A}" cache="Slicer_Sentiment_status" caption="Sentiment_status" style="SlicerStyleDark2" rowHeight="234950"/>
  <slicer name="StockReturn_Category" xr10:uid="{635A908B-DF0B-4FAD-8213-2292F15652F9}" cache="Slicer_StockReturn_Category" caption="StockReturn_Category" style="SlicerStyleDark2" rowHeight="234950"/>
  <slicer name="reviews_count" xr10:uid="{E1479423-5207-4A0D-B7C5-AB40173085A6}" cache="Slicer_reviews_count" caption="reviews_count"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BC6F1-87F2-463A-AF41-AA4EADD8518A}" name="NetflixData" displayName="NetflixData" ref="A1:P2781" totalsRowShown="0">
  <autoFilter ref="A1:P2781" xr:uid="{997BC6F1-87F2-463A-AF41-AA4EADD8518A}"/>
  <tableColumns count="16">
    <tableColumn id="1" xr3:uid="{F98B84D8-6891-4D2A-B3F1-7FCEB11E6AC9}" name="date" dataDxfId="9"/>
    <tableColumn id="2" xr3:uid="{9DF46887-A29D-4234-9B39-5BC3DE63F540}" name="stock_close"/>
    <tableColumn id="3" xr3:uid="{244C33B6-92EB-4478-B44B-FC78148D4F8F}" name="stock_volume"/>
    <tableColumn id="4" xr3:uid="{CD1B4CD7-CEE3-488B-A1E7-FF44F4C29E04}" name="stock_daily_return_pct"/>
    <tableColumn id="5" xr3:uid="{C2F29554-6685-4792-BE7D-CB165FABA7DE}" name="reviews_count"/>
    <tableColumn id="6" xr3:uid="{E919B1C5-D2E0-4558-B1E5-5F3F990515C1}" name="reviews_avg_rating"/>
    <tableColumn id="7" xr3:uid="{182E526B-A8DC-459A-81E0-E9EF9EBED51E}" name="reviews_sentiment_score"/>
    <tableColumn id="8" xr3:uid="{E24154EB-AD07-4723-AE49-986D2F3F0264}" name="titles_released_count"/>
    <tableColumn id="9" xr3:uid="{BF11FE2A-02B4-408E-B49D-2732CDEEE838}" name="titles_avg_imdb_score"/>
    <tableColumn id="10" xr3:uid="{223044E7-8D75-4B9D-978F-6215797496ED}" name="is_trading_day"/>
    <tableColumn id="11" xr3:uid="{06C7BD41-72E4-4394-B205-CDA56803B5CB}" name="Year" dataDxfId="8">
      <calculatedColumnFormula>YEAR(NetflixData[[#This Row],[date]])</calculatedColumnFormula>
    </tableColumn>
    <tableColumn id="12" xr3:uid="{D600A600-A558-4AEB-B9E3-69E11EF51C8E}" name="Month" dataDxfId="7">
      <calculatedColumnFormula>TEXT(NetflixData[[#This Row],[date]],"mmm")</calculatedColumnFormula>
    </tableColumn>
    <tableColumn id="13" xr3:uid="{D51D6826-EC9E-4135-AD1B-A7B6872F5850}" name="Month-Year" dataDxfId="6">
      <calculatedColumnFormula>TEXT(NetflixData[[#This Row],[date]],"mmm yyyy")</calculatedColumnFormula>
    </tableColumn>
    <tableColumn id="14" xr3:uid="{9A84774C-7CCC-4F52-A040-8E5AD1CB9153}" name="Trading_status" dataDxfId="5">
      <calculatedColumnFormula>IF(J3=1,"Trading Day","Non-Trading Day")</calculatedColumnFormula>
    </tableColumn>
    <tableColumn id="15" xr3:uid="{63B2465D-6121-4F33-BB5E-8CBBE914FE91}" name="StockReturn_Category" dataDxfId="4">
      <calculatedColumnFormula>IF(D2&gt;0,"Positive",IF(D2&lt;0,"Negative","No Change"))</calculatedColumnFormula>
    </tableColumn>
    <tableColumn id="16" xr3:uid="{AAACFBAC-4212-4EDE-BD5F-A8840CFAE91F}" name="Sentiment_status" dataDxfId="3">
      <calculatedColumnFormula>IF(G2&gt;0.1,"Positive",IF(G2&lt;-0.1,"Negative","Neutral"))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D19F13-4550-47A6-98C4-CC79942286C1}" name="Table3" displayName="Table3" ref="A3:B12" totalsRowShown="0">
  <autoFilter ref="A3:B12" xr:uid="{6BD19F13-4550-47A6-98C4-CC79942286C1}"/>
  <tableColumns count="2">
    <tableColumn id="1" xr3:uid="{B3223818-9484-4A1F-9642-5BDBDCC26980}" name="Column1"/>
    <tableColumn id="2" xr3:uid="{6754D0D6-003D-4C41-AB6D-B05A8F2256C5}"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1F20A24-8C78-4CD9-9566-62EDB0AB87DC}" sourceName="date">
  <pivotTables>
    <pivotTable tabId="3" name="PivotTable3"/>
    <pivotTable tabId="3" name="PivotTable1"/>
    <pivotTable tabId="3" name="PivotTable2"/>
    <pivotTable tabId="3" name="PivotTable5"/>
    <pivotTable tabId="3" name="PivotTable7"/>
    <pivotTable tabId="3" name="PivotTable8"/>
    <pivotTable tabId="3" name="PivotTable4"/>
    <pivotTable tabId="2" name="PivotTable3-1"/>
    <pivotTable tabId="2" name="PivotTable4"/>
    <pivotTable tabId="2" name="PivotTable5"/>
    <pivotTable tabId="2" name="PivotTable6"/>
    <pivotTable tabId="2" name="PivotTable7"/>
    <pivotTable tabId="2" name="PivotTable8"/>
    <pivotTable tabId="2" name="PivotTable9"/>
  </pivotTables>
  <state minimalRefreshVersion="6" lastRefreshVersion="6" pivotCacheId="1519232716" filterType="unknown">
    <bounds startDate="2018-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49C038-C104-4FE4-A98E-70F0CF53D860}" cache="NativeTimeline_date" caption="date" level="0" selectionLevel="0" scrollPosition="2018-01-01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733AB-A21A-429C-B616-FC05B28F3A95}">
  <dimension ref="A1:AA34"/>
  <sheetViews>
    <sheetView topLeftCell="U11" workbookViewId="0">
      <selection activeCell="AA33" sqref="AA33"/>
    </sheetView>
  </sheetViews>
  <sheetFormatPr defaultRowHeight="14.4" x14ac:dyDescent="0.3"/>
  <cols>
    <col min="1" max="1" width="12.5546875" bestFit="1" customWidth="1"/>
    <col min="2" max="2" width="17.33203125" bestFit="1" customWidth="1"/>
    <col min="3" max="3" width="27.21875" bestFit="1" customWidth="1"/>
    <col min="10" max="10" width="12.5546875" bestFit="1" customWidth="1"/>
    <col min="11" max="11" width="20.44140625" bestFit="1" customWidth="1"/>
    <col min="12" max="12" width="19.44140625" bestFit="1" customWidth="1"/>
    <col min="13" max="13" width="30.44140625" bestFit="1" customWidth="1"/>
    <col min="15" max="18" width="12.5546875" bestFit="1" customWidth="1"/>
    <col min="19" max="19" width="19.88671875" bestFit="1" customWidth="1"/>
    <col min="20" max="20" width="27.21875" bestFit="1" customWidth="1"/>
    <col min="21" max="21" width="32.33203125" bestFit="1" customWidth="1"/>
    <col min="23" max="23" width="12.5546875" bestFit="1" customWidth="1"/>
    <col min="24" max="24" width="14.77734375" bestFit="1" customWidth="1"/>
    <col min="25" max="25" width="22.6640625" bestFit="1" customWidth="1"/>
    <col min="26" max="26" width="12.5546875" bestFit="1" customWidth="1"/>
    <col min="27" max="27" width="28.109375" bestFit="1" customWidth="1"/>
  </cols>
  <sheetData>
    <row r="1" spans="1:27" x14ac:dyDescent="0.3">
      <c r="A1" s="5" t="s">
        <v>28</v>
      </c>
      <c r="B1" t="s">
        <v>37</v>
      </c>
      <c r="C1" t="s">
        <v>38</v>
      </c>
    </row>
    <row r="2" spans="1:27" x14ac:dyDescent="0.3">
      <c r="A2" s="6">
        <v>2018</v>
      </c>
      <c r="B2" s="11">
        <v>1036.2</v>
      </c>
      <c r="C2" s="11">
        <v>-28.933</v>
      </c>
    </row>
    <row r="3" spans="1:27" x14ac:dyDescent="0.3">
      <c r="A3" s="7" t="s">
        <v>30</v>
      </c>
      <c r="B3" s="11">
        <v>1036.2</v>
      </c>
      <c r="C3" s="11">
        <v>-28.933</v>
      </c>
      <c r="J3" s="5" t="s">
        <v>28</v>
      </c>
      <c r="K3" t="s">
        <v>68</v>
      </c>
      <c r="L3" t="s">
        <v>67</v>
      </c>
      <c r="M3" t="s">
        <v>69</v>
      </c>
      <c r="O3" s="5" t="s">
        <v>28</v>
      </c>
      <c r="P3" t="s">
        <v>73</v>
      </c>
      <c r="R3" s="5" t="s">
        <v>28</v>
      </c>
      <c r="S3" t="s">
        <v>74</v>
      </c>
      <c r="T3" t="s">
        <v>75</v>
      </c>
      <c r="U3" t="s">
        <v>76</v>
      </c>
      <c r="W3" s="5" t="s">
        <v>28</v>
      </c>
      <c r="X3" t="s">
        <v>68</v>
      </c>
      <c r="Y3" t="s">
        <v>85</v>
      </c>
      <c r="Z3" t="s">
        <v>84</v>
      </c>
      <c r="AA3" t="s">
        <v>79</v>
      </c>
    </row>
    <row r="4" spans="1:27" x14ac:dyDescent="0.3">
      <c r="A4" s="6">
        <v>2019</v>
      </c>
      <c r="B4" s="11">
        <v>1117.21</v>
      </c>
      <c r="C4" s="11">
        <v>-1.3120000000000005</v>
      </c>
      <c r="J4" s="6" t="s">
        <v>39</v>
      </c>
      <c r="K4" s="9">
        <v>40.074333333333335</v>
      </c>
      <c r="L4" s="10">
        <v>2251116000</v>
      </c>
      <c r="M4" s="2">
        <v>0.31743333333333335</v>
      </c>
      <c r="O4" s="6" t="s">
        <v>70</v>
      </c>
      <c r="P4" s="8">
        <v>944</v>
      </c>
      <c r="R4" s="6">
        <v>2018</v>
      </c>
      <c r="S4" s="8">
        <v>4802</v>
      </c>
      <c r="T4" s="8">
        <v>3.2649549549549541</v>
      </c>
      <c r="U4" s="8">
        <v>0.27565495495495485</v>
      </c>
      <c r="W4" s="6">
        <v>2018</v>
      </c>
      <c r="X4" s="9">
        <v>30.822522522522529</v>
      </c>
      <c r="Y4" s="8">
        <v>111</v>
      </c>
      <c r="Z4" s="9">
        <v>30.597699999999989</v>
      </c>
      <c r="AA4" s="8">
        <v>111</v>
      </c>
    </row>
    <row r="5" spans="1:27" x14ac:dyDescent="0.3">
      <c r="A5" s="7" t="s">
        <v>35</v>
      </c>
      <c r="B5" s="11">
        <v>1117.21</v>
      </c>
      <c r="C5" s="11">
        <v>-1.3120000000000005</v>
      </c>
      <c r="J5" s="6" t="s">
        <v>40</v>
      </c>
      <c r="K5" s="9">
        <v>97.722000000000008</v>
      </c>
      <c r="L5" s="10">
        <v>1229551000</v>
      </c>
      <c r="M5" s="2">
        <v>0.77486666666666659</v>
      </c>
      <c r="O5" s="6" t="s">
        <v>71</v>
      </c>
      <c r="P5" s="8">
        <v>868</v>
      </c>
      <c r="R5" s="6">
        <v>2019</v>
      </c>
      <c r="S5" s="8">
        <v>16879</v>
      </c>
      <c r="T5" s="8">
        <v>3.0991232876712318</v>
      </c>
      <c r="U5" s="8">
        <v>0.27451095890410965</v>
      </c>
      <c r="W5" s="6">
        <v>2019</v>
      </c>
      <c r="X5" s="9">
        <v>32.903945205479445</v>
      </c>
      <c r="Y5" s="8">
        <v>365</v>
      </c>
      <c r="Z5" s="9">
        <v>100.19650000000001</v>
      </c>
      <c r="AA5" s="8">
        <v>365</v>
      </c>
    </row>
    <row r="6" spans="1:27" x14ac:dyDescent="0.3">
      <c r="A6" s="6">
        <v>2020</v>
      </c>
      <c r="B6" s="11">
        <v>1597.8300000000006</v>
      </c>
      <c r="C6" s="11">
        <v>11.218</v>
      </c>
      <c r="J6" s="6" t="s">
        <v>41</v>
      </c>
      <c r="K6" s="9">
        <v>100.11076923076922</v>
      </c>
      <c r="L6" s="10">
        <v>230791340</v>
      </c>
      <c r="M6" s="2">
        <v>0.22269230769230769</v>
      </c>
      <c r="O6" s="6" t="s">
        <v>72</v>
      </c>
      <c r="P6" s="8">
        <v>968</v>
      </c>
      <c r="R6" s="6">
        <v>2020</v>
      </c>
      <c r="S6" s="8">
        <v>28569</v>
      </c>
      <c r="T6" s="8">
        <v>3.1349180327868873</v>
      </c>
      <c r="U6" s="8">
        <v>0.27188497267759587</v>
      </c>
      <c r="W6" s="6">
        <v>2020</v>
      </c>
      <c r="X6" s="9">
        <v>44.531065573770483</v>
      </c>
      <c r="Y6" s="8">
        <v>366</v>
      </c>
      <c r="Z6" s="9">
        <v>99.509900000000087</v>
      </c>
      <c r="AA6" s="8">
        <v>366</v>
      </c>
    </row>
    <row r="7" spans="1:27" x14ac:dyDescent="0.3">
      <c r="A7" s="7" t="s">
        <v>32</v>
      </c>
      <c r="B7" s="11">
        <v>1597.8300000000006</v>
      </c>
      <c r="C7" s="11">
        <v>11.218</v>
      </c>
      <c r="J7" s="6" t="s">
        <v>42</v>
      </c>
      <c r="K7" s="9">
        <v>49.756774193548402</v>
      </c>
      <c r="L7" s="10">
        <v>1162619000</v>
      </c>
      <c r="M7" s="2">
        <v>0.24377419354838709</v>
      </c>
      <c r="O7" s="6" t="s">
        <v>29</v>
      </c>
      <c r="P7" s="8">
        <v>2780</v>
      </c>
      <c r="R7" s="6">
        <v>2021</v>
      </c>
      <c r="S7" s="8">
        <v>17737</v>
      </c>
      <c r="T7" s="8">
        <v>2.7819726027397245</v>
      </c>
      <c r="U7" s="8">
        <v>0.19635342465753428</v>
      </c>
      <c r="W7" s="6">
        <v>2021</v>
      </c>
      <c r="X7" s="9">
        <v>55.820739726027355</v>
      </c>
      <c r="Y7" s="8">
        <v>365</v>
      </c>
      <c r="Z7" s="9">
        <v>71.669000000000011</v>
      </c>
      <c r="AA7" s="8">
        <v>365</v>
      </c>
    </row>
    <row r="8" spans="1:27" x14ac:dyDescent="0.3">
      <c r="A8" s="6">
        <v>2021</v>
      </c>
      <c r="B8" s="11">
        <v>2002.1600000000003</v>
      </c>
      <c r="C8" s="11">
        <v>-11.789000000000001</v>
      </c>
      <c r="J8" s="6" t="s">
        <v>43</v>
      </c>
      <c r="K8" s="9">
        <v>53.270322580645171</v>
      </c>
      <c r="L8" s="10">
        <v>547477000</v>
      </c>
      <c r="M8" s="2">
        <v>0.32474193548387092</v>
      </c>
      <c r="R8" s="6">
        <v>2022</v>
      </c>
      <c r="S8" s="8">
        <v>15125</v>
      </c>
      <c r="T8" s="8">
        <v>2.7008493150684925</v>
      </c>
      <c r="U8" s="8">
        <v>0.17230082191780821</v>
      </c>
      <c r="W8" s="6">
        <v>2022</v>
      </c>
      <c r="X8" s="9">
        <v>28.570136986301371</v>
      </c>
      <c r="Y8" s="8">
        <v>365</v>
      </c>
      <c r="Z8" s="9">
        <v>62.889800000000001</v>
      </c>
      <c r="AA8" s="8">
        <v>365</v>
      </c>
    </row>
    <row r="9" spans="1:27" x14ac:dyDescent="0.3">
      <c r="A9" s="7" t="s">
        <v>31</v>
      </c>
      <c r="B9" s="11">
        <v>2002.1600000000003</v>
      </c>
      <c r="C9" s="11">
        <v>-11.789000000000001</v>
      </c>
      <c r="J9" s="6" t="s">
        <v>44</v>
      </c>
      <c r="K9" s="9">
        <v>65.941935483870978</v>
      </c>
      <c r="L9" s="10">
        <v>673177000</v>
      </c>
      <c r="M9" s="2">
        <v>0.31780645161290316</v>
      </c>
      <c r="R9" s="6">
        <v>2023</v>
      </c>
      <c r="S9" s="8">
        <v>12853</v>
      </c>
      <c r="T9" s="8">
        <v>2.2382739726027387</v>
      </c>
      <c r="U9" s="8">
        <v>8.2340547945205497E-2</v>
      </c>
      <c r="W9" s="6">
        <v>2023</v>
      </c>
      <c r="X9" s="9">
        <v>39.046958904109594</v>
      </c>
      <c r="Y9" s="8">
        <v>365</v>
      </c>
      <c r="Z9" s="9">
        <v>30.054300000000005</v>
      </c>
      <c r="AA9" s="8">
        <v>365</v>
      </c>
    </row>
    <row r="10" spans="1:27" x14ac:dyDescent="0.3">
      <c r="A10" s="6">
        <v>2022</v>
      </c>
      <c r="B10" s="11">
        <v>1518.5200000000007</v>
      </c>
      <c r="C10" s="11">
        <v>-15.510999999999996</v>
      </c>
      <c r="J10" s="6" t="s">
        <v>45</v>
      </c>
      <c r="K10" s="9">
        <v>51.542903225806469</v>
      </c>
      <c r="L10" s="10">
        <v>775641000</v>
      </c>
      <c r="M10" s="2">
        <v>0.3618709677419355</v>
      </c>
      <c r="R10" s="6">
        <v>2024</v>
      </c>
      <c r="S10" s="8">
        <v>27554</v>
      </c>
      <c r="T10" s="8">
        <v>2.6782666666666661</v>
      </c>
      <c r="U10" s="8">
        <v>9.6703666666666674E-2</v>
      </c>
      <c r="W10" s="6">
        <v>2024</v>
      </c>
      <c r="X10" s="9">
        <v>67.18959016393444</v>
      </c>
      <c r="Y10" s="8">
        <v>300</v>
      </c>
      <c r="Z10" s="9">
        <v>29.011100000000003</v>
      </c>
      <c r="AA10" s="8">
        <v>366</v>
      </c>
    </row>
    <row r="11" spans="1:27" x14ac:dyDescent="0.3">
      <c r="A11" s="7" t="s">
        <v>33</v>
      </c>
      <c r="B11" s="11">
        <v>1518.5200000000007</v>
      </c>
      <c r="C11" s="11">
        <v>-15.510999999999996</v>
      </c>
      <c r="J11" s="6" t="s">
        <v>46</v>
      </c>
      <c r="K11" s="9">
        <v>35.458571428571432</v>
      </c>
      <c r="L11" s="10">
        <v>1481921000</v>
      </c>
      <c r="M11" s="2">
        <v>0.1968928571428572</v>
      </c>
      <c r="R11" s="6">
        <v>2025</v>
      </c>
      <c r="S11" s="8">
        <v>21123</v>
      </c>
      <c r="T11" s="8">
        <v>3.0745569620253166</v>
      </c>
      <c r="U11" s="8">
        <v>0.14958354430379739</v>
      </c>
      <c r="W11" s="6">
        <v>2025</v>
      </c>
      <c r="X11" s="9">
        <v>109.44542465753419</v>
      </c>
      <c r="Y11" s="8">
        <v>316</v>
      </c>
      <c r="Z11" s="9">
        <v>47.268399999999978</v>
      </c>
      <c r="AA11" s="8">
        <v>365</v>
      </c>
    </row>
    <row r="12" spans="1:27" x14ac:dyDescent="0.3">
      <c r="A12" s="6">
        <v>2023</v>
      </c>
      <c r="B12" s="11">
        <v>1469.8600000000004</v>
      </c>
      <c r="C12" s="11">
        <v>-1.0780000000000003</v>
      </c>
      <c r="J12" s="6" t="s">
        <v>47</v>
      </c>
      <c r="K12" s="9">
        <v>37.241379310344826</v>
      </c>
      <c r="L12" s="10">
        <v>1140560000</v>
      </c>
      <c r="M12" s="2">
        <v>0.34282758620689657</v>
      </c>
      <c r="R12" s="6">
        <v>2026</v>
      </c>
      <c r="S12" s="8">
        <v>6951</v>
      </c>
      <c r="T12" s="8">
        <v>3.1953153153153155</v>
      </c>
      <c r="U12" s="8">
        <v>0.19098288288288295</v>
      </c>
      <c r="W12" s="6">
        <v>2026</v>
      </c>
      <c r="X12" s="9">
        <v>88.393482142857152</v>
      </c>
      <c r="Y12" s="8">
        <v>111</v>
      </c>
      <c r="Z12" s="9">
        <v>21.199100000000008</v>
      </c>
      <c r="AA12" s="8">
        <v>112</v>
      </c>
    </row>
    <row r="13" spans="1:27" x14ac:dyDescent="0.3">
      <c r="A13" s="7" t="s">
        <v>32</v>
      </c>
      <c r="B13" s="11">
        <v>1469.8600000000004</v>
      </c>
      <c r="C13" s="11">
        <v>-1.0780000000000003</v>
      </c>
      <c r="J13" s="6" t="s">
        <v>48</v>
      </c>
      <c r="K13" s="9">
        <v>32.496774193548383</v>
      </c>
      <c r="L13" s="10">
        <v>3066164000</v>
      </c>
      <c r="M13" s="2">
        <v>0.57196774193548394</v>
      </c>
      <c r="R13" s="6" t="s">
        <v>29</v>
      </c>
      <c r="S13" s="8">
        <v>151593</v>
      </c>
      <c r="T13" s="8">
        <v>2.848682432432434</v>
      </c>
      <c r="U13" s="8">
        <v>0.18483325825825797</v>
      </c>
      <c r="W13" s="6" t="s">
        <v>29</v>
      </c>
      <c r="X13" s="9">
        <v>54.396928057553936</v>
      </c>
      <c r="Y13" s="8">
        <v>2664</v>
      </c>
      <c r="Z13" s="9">
        <v>492.39579999999927</v>
      </c>
      <c r="AA13" s="8">
        <v>2780</v>
      </c>
    </row>
    <row r="14" spans="1:27" x14ac:dyDescent="0.3">
      <c r="A14" s="6">
        <v>2024</v>
      </c>
      <c r="B14" s="11">
        <v>2833.8400000000006</v>
      </c>
      <c r="C14" s="11">
        <v>1.770999999999999</v>
      </c>
      <c r="J14" s="6" t="s">
        <v>49</v>
      </c>
      <c r="K14" s="9">
        <v>33.29451612903226</v>
      </c>
      <c r="L14" s="10">
        <v>2064174000</v>
      </c>
      <c r="M14" s="2">
        <v>0.46151612903225814</v>
      </c>
    </row>
    <row r="15" spans="1:27" x14ac:dyDescent="0.3">
      <c r="A15" s="7" t="s">
        <v>32</v>
      </c>
      <c r="B15" s="11">
        <v>2833.8400000000006</v>
      </c>
      <c r="C15" s="11">
        <v>1.770999999999999</v>
      </c>
      <c r="J15" s="6" t="s">
        <v>50</v>
      </c>
      <c r="K15" s="9">
        <v>49.875483870967727</v>
      </c>
      <c r="L15" s="10">
        <v>2322063000</v>
      </c>
      <c r="M15" s="2">
        <v>0.2490322580645162</v>
      </c>
    </row>
    <row r="16" spans="1:27" x14ac:dyDescent="0.3">
      <c r="A16" s="6">
        <v>2025</v>
      </c>
      <c r="B16" s="11">
        <v>3829.0100000000007</v>
      </c>
      <c r="C16" s="11">
        <v>-12.782</v>
      </c>
      <c r="J16" s="6" t="s">
        <v>51</v>
      </c>
      <c r="K16" s="9">
        <v>19.885483870967743</v>
      </c>
      <c r="L16" s="10">
        <v>2700837000</v>
      </c>
      <c r="M16" s="2">
        <v>0.96725806451612906</v>
      </c>
    </row>
    <row r="17" spans="1:27" x14ac:dyDescent="0.3">
      <c r="A17" s="7" t="s">
        <v>36</v>
      </c>
      <c r="B17" s="11">
        <v>3829.0100000000007</v>
      </c>
      <c r="C17" s="11">
        <v>-12.782</v>
      </c>
      <c r="J17" s="6" t="s">
        <v>52</v>
      </c>
      <c r="K17" s="9">
        <v>43.756666666666653</v>
      </c>
      <c r="L17" s="10">
        <v>1172799000</v>
      </c>
      <c r="M17" s="2">
        <v>0.23280000000000001</v>
      </c>
    </row>
    <row r="18" spans="1:27" x14ac:dyDescent="0.3">
      <c r="A18" s="6">
        <v>2026</v>
      </c>
      <c r="B18" s="11">
        <v>2947.08</v>
      </c>
      <c r="C18" s="11">
        <v>4.0629999999999979</v>
      </c>
      <c r="J18" s="6" t="s">
        <v>53</v>
      </c>
      <c r="K18" s="9">
        <v>66.297333333333327</v>
      </c>
      <c r="L18" s="10">
        <v>542109000</v>
      </c>
      <c r="M18" s="2">
        <v>0.19293333333333335</v>
      </c>
    </row>
    <row r="19" spans="1:27" x14ac:dyDescent="0.3">
      <c r="A19" s="7" t="s">
        <v>34</v>
      </c>
      <c r="B19" s="11">
        <v>2947.08</v>
      </c>
      <c r="C19" s="11">
        <v>4.0629999999999979</v>
      </c>
      <c r="J19" s="6" t="s">
        <v>54</v>
      </c>
      <c r="K19" s="9">
        <v>124.55333333333331</v>
      </c>
      <c r="L19" s="10">
        <v>549972000</v>
      </c>
      <c r="M19" s="2">
        <v>0.21506666666666668</v>
      </c>
    </row>
    <row r="20" spans="1:27" x14ac:dyDescent="0.3">
      <c r="A20" s="6" t="s">
        <v>29</v>
      </c>
      <c r="B20" s="11">
        <v>18351.710000000003</v>
      </c>
      <c r="C20" s="11">
        <v>-54.353000000000002</v>
      </c>
      <c r="J20" s="6" t="s">
        <v>55</v>
      </c>
      <c r="K20" s="9">
        <v>35.071935483870959</v>
      </c>
      <c r="L20" s="10">
        <v>2019791000</v>
      </c>
      <c r="M20" s="2">
        <v>0.2395483870967742</v>
      </c>
    </row>
    <row r="21" spans="1:27" x14ac:dyDescent="0.3">
      <c r="J21" s="6" t="s">
        <v>56</v>
      </c>
      <c r="K21" s="9">
        <v>18.714516129032255</v>
      </c>
      <c r="L21" s="10">
        <v>2516158000</v>
      </c>
      <c r="M21" s="2">
        <v>0.24825806451612906</v>
      </c>
    </row>
    <row r="22" spans="1:27" x14ac:dyDescent="0.3">
      <c r="J22" s="6" t="s">
        <v>57</v>
      </c>
      <c r="K22" s="9">
        <v>34.95870967741935</v>
      </c>
      <c r="L22" s="10">
        <v>1454850000</v>
      </c>
      <c r="M22" s="2">
        <v>0.42193548387096774</v>
      </c>
    </row>
    <row r="23" spans="1:27" x14ac:dyDescent="0.3">
      <c r="J23" s="6" t="s">
        <v>58</v>
      </c>
      <c r="K23" s="9">
        <v>61.862258064516134</v>
      </c>
      <c r="L23" s="10">
        <v>689993000</v>
      </c>
      <c r="M23" s="2">
        <v>0.41580645161290325</v>
      </c>
    </row>
    <row r="24" spans="1:27" x14ac:dyDescent="0.3">
      <c r="J24" s="6" t="s">
        <v>59</v>
      </c>
      <c r="K24" s="9">
        <v>117.01419354838706</v>
      </c>
      <c r="L24" s="10">
        <v>752076000</v>
      </c>
      <c r="M24" s="2">
        <v>0.39535483870967753</v>
      </c>
    </row>
    <row r="25" spans="1:27" x14ac:dyDescent="0.3">
      <c r="J25" s="6" t="s">
        <v>60</v>
      </c>
      <c r="K25" s="9">
        <v>29.936999999999998</v>
      </c>
      <c r="L25" s="10">
        <v>1136459000</v>
      </c>
      <c r="M25" s="2">
        <v>0.32876666666666665</v>
      </c>
    </row>
    <row r="26" spans="1:27" x14ac:dyDescent="0.3">
      <c r="J26" s="6" t="s">
        <v>61</v>
      </c>
      <c r="K26" s="9">
        <v>45.660666666666692</v>
      </c>
      <c r="L26" s="10">
        <v>717437000</v>
      </c>
      <c r="M26" s="2">
        <v>0.31513333333333332</v>
      </c>
    </row>
    <row r="27" spans="1:27" x14ac:dyDescent="0.3">
      <c r="J27" s="6" t="s">
        <v>62</v>
      </c>
      <c r="K27" s="9">
        <v>83.245666666666665</v>
      </c>
      <c r="L27" s="10">
        <v>641615000</v>
      </c>
      <c r="M27" s="2">
        <v>0.49619999999999997</v>
      </c>
      <c r="Q27" s="5" t="s">
        <v>28</v>
      </c>
      <c r="R27" t="s">
        <v>73</v>
      </c>
    </row>
    <row r="28" spans="1:27" x14ac:dyDescent="0.3">
      <c r="J28" s="6" t="s">
        <v>63</v>
      </c>
      <c r="K28" s="9">
        <v>27.746129032258057</v>
      </c>
      <c r="L28" s="10">
        <v>2315564000</v>
      </c>
      <c r="M28" s="2">
        <v>0.24548387096774196</v>
      </c>
      <c r="Q28" s="6" t="s">
        <v>70</v>
      </c>
      <c r="R28" s="8">
        <v>43</v>
      </c>
    </row>
    <row r="29" spans="1:27" x14ac:dyDescent="0.3">
      <c r="J29" s="6" t="s">
        <v>64</v>
      </c>
      <c r="K29" s="9">
        <v>64.337419354838715</v>
      </c>
      <c r="L29" s="10">
        <v>985763000</v>
      </c>
      <c r="M29" s="2">
        <v>0.32151612903225807</v>
      </c>
      <c r="Q29" s="6" t="s">
        <v>77</v>
      </c>
      <c r="R29" s="8">
        <v>666</v>
      </c>
    </row>
    <row r="30" spans="1:27" x14ac:dyDescent="0.3">
      <c r="J30" s="6" t="s">
        <v>65</v>
      </c>
      <c r="K30" s="9">
        <v>25.589354838709685</v>
      </c>
      <c r="L30" s="10">
        <v>3352638000</v>
      </c>
      <c r="M30" s="2">
        <v>0.31419354838709684</v>
      </c>
      <c r="Q30" s="6" t="s">
        <v>72</v>
      </c>
      <c r="R30" s="8">
        <v>2071</v>
      </c>
    </row>
    <row r="31" spans="1:27" x14ac:dyDescent="0.3">
      <c r="J31" s="6" t="s">
        <v>66</v>
      </c>
      <c r="K31" s="9">
        <v>23.175666666666665</v>
      </c>
      <c r="L31" s="10">
        <v>2339207000</v>
      </c>
      <c r="M31" s="2">
        <v>0.31286666666666663</v>
      </c>
      <c r="Q31" s="6" t="s">
        <v>29</v>
      </c>
      <c r="R31" s="8">
        <v>2780</v>
      </c>
      <c r="X31" s="5" t="s">
        <v>28</v>
      </c>
      <c r="Y31" t="s">
        <v>83</v>
      </c>
      <c r="Z31" t="s">
        <v>73</v>
      </c>
      <c r="AA31" t="s">
        <v>82</v>
      </c>
    </row>
    <row r="32" spans="1:27" x14ac:dyDescent="0.3">
      <c r="J32" s="6" t="s">
        <v>29</v>
      </c>
      <c r="K32" s="9">
        <v>51.422344497607746</v>
      </c>
      <c r="L32" s="10">
        <v>40832522340</v>
      </c>
      <c r="M32" s="2">
        <v>0.36248086124401918</v>
      </c>
      <c r="X32" s="6" t="s">
        <v>80</v>
      </c>
      <c r="Y32" s="8">
        <v>31499059.066820275</v>
      </c>
      <c r="Z32" s="8">
        <v>868</v>
      </c>
      <c r="AA32" s="8">
        <v>868</v>
      </c>
    </row>
    <row r="33" spans="24:27" x14ac:dyDescent="0.3">
      <c r="X33" s="6" t="s">
        <v>81</v>
      </c>
      <c r="Y33" s="8">
        <v>50059459.429916315</v>
      </c>
      <c r="Z33" s="8">
        <v>1912</v>
      </c>
      <c r="AA33" s="8">
        <v>1912</v>
      </c>
    </row>
    <row r="34" spans="24:27" x14ac:dyDescent="0.3">
      <c r="X34" s="6" t="s">
        <v>29</v>
      </c>
      <c r="Y34" s="8">
        <v>44264341.618705034</v>
      </c>
      <c r="Z34" s="8">
        <v>2780</v>
      </c>
      <c r="AA34" s="8">
        <v>2780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06229-2EAF-462A-9C33-D3EFC206B828}">
  <dimension ref="A1:P2781"/>
  <sheetViews>
    <sheetView topLeftCell="A2" workbookViewId="0">
      <selection activeCell="E12" sqref="A2:P2781"/>
    </sheetView>
  </sheetViews>
  <sheetFormatPr defaultRowHeight="14.4" x14ac:dyDescent="0.3"/>
  <cols>
    <col min="1" max="1" width="14.44140625" customWidth="1"/>
    <col min="2" max="2" width="12.5546875" customWidth="1"/>
    <col min="3" max="3" width="14.6640625" customWidth="1"/>
    <col min="4" max="4" width="22.21875" customWidth="1"/>
    <col min="5" max="5" width="15.109375" customWidth="1"/>
    <col min="6" max="6" width="19.109375" customWidth="1"/>
    <col min="7" max="7" width="24.109375" customWidth="1"/>
    <col min="8" max="8" width="20.77734375" customWidth="1"/>
    <col min="9" max="9" width="21.6640625" customWidth="1"/>
    <col min="10" max="11" width="15.21875" customWidth="1"/>
    <col min="14" max="14" width="15.5546875" customWidth="1"/>
  </cols>
  <sheetData>
    <row r="1" spans="1:16" x14ac:dyDescent="0.3">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3">
      <c r="A2" s="1">
        <v>43355</v>
      </c>
      <c r="B2">
        <v>36.99</v>
      </c>
      <c r="C2">
        <v>104808000</v>
      </c>
      <c r="D2">
        <v>3.0270000000000001</v>
      </c>
      <c r="E2">
        <v>28</v>
      </c>
      <c r="F2">
        <v>3.18</v>
      </c>
      <c r="G2">
        <v>0.19500000000000001</v>
      </c>
      <c r="H2">
        <v>2</v>
      </c>
      <c r="I2">
        <v>7.6</v>
      </c>
      <c r="J2">
        <v>1</v>
      </c>
      <c r="K2">
        <f>YEAR(NetflixData[[#This Row],[date]])</f>
        <v>2018</v>
      </c>
      <c r="L2" t="str">
        <f>TEXT(NetflixData[[#This Row],[date]],"mmm")</f>
        <v>Sep</v>
      </c>
      <c r="M2" t="str">
        <f>TEXT(NetflixData[[#This Row],[date]],"mmm yyyy")</f>
        <v>Sep 2018</v>
      </c>
      <c r="N2" t="str">
        <f t="shared" ref="N2:N65" si="0">IF(J3=1,"Trading Day","Non-Trading Day")</f>
        <v>Trading Day</v>
      </c>
      <c r="O2" t="str">
        <f t="shared" ref="O2:O65" si="1">IF(D2&gt;0,"Positive",IF(D2&lt;0,"Negative","No Change"))</f>
        <v>Positive</v>
      </c>
      <c r="P2" t="str">
        <f t="shared" ref="P2:P65" si="2">IF(G2&gt;0.1,"Positive",IF(G2&lt;-0.1,"Negative","Neutral"))</f>
        <v>Positive</v>
      </c>
    </row>
    <row r="3" spans="1:16" x14ac:dyDescent="0.3">
      <c r="A3" s="1">
        <v>43356</v>
      </c>
      <c r="B3">
        <v>36.81</v>
      </c>
      <c r="C3">
        <v>83661000</v>
      </c>
      <c r="D3">
        <v>-1.0109999999999999</v>
      </c>
      <c r="E3">
        <v>37</v>
      </c>
      <c r="F3">
        <v>2.81</v>
      </c>
      <c r="G3">
        <v>0.2291</v>
      </c>
      <c r="H3">
        <v>2</v>
      </c>
      <c r="I3">
        <v>7.3</v>
      </c>
      <c r="J3">
        <v>1</v>
      </c>
      <c r="K3">
        <f>YEAR(NetflixData[[#This Row],[date]])</f>
        <v>2018</v>
      </c>
      <c r="L3" t="str">
        <f>TEXT(NetflixData[[#This Row],[date]],"mmm")</f>
        <v>Sep</v>
      </c>
      <c r="M3" t="str">
        <f>TEXT(NetflixData[[#This Row],[date]],"mmm yyyy")</f>
        <v>Sep 2018</v>
      </c>
      <c r="N3" t="str">
        <f t="shared" si="0"/>
        <v>Trading Day</v>
      </c>
      <c r="O3" t="str">
        <f t="shared" si="1"/>
        <v>Negative</v>
      </c>
      <c r="P3" t="str">
        <f t="shared" si="2"/>
        <v>Positive</v>
      </c>
    </row>
    <row r="4" spans="1:16" x14ac:dyDescent="0.3">
      <c r="A4" s="1">
        <v>43357</v>
      </c>
      <c r="B4">
        <v>36.46</v>
      </c>
      <c r="C4">
        <v>47564000</v>
      </c>
      <c r="D4">
        <v>-1.083</v>
      </c>
      <c r="E4">
        <v>34</v>
      </c>
      <c r="F4">
        <v>3.06</v>
      </c>
      <c r="G4">
        <v>0.23250000000000001</v>
      </c>
      <c r="H4">
        <v>11</v>
      </c>
      <c r="I4">
        <v>6.78</v>
      </c>
      <c r="J4">
        <v>1</v>
      </c>
      <c r="K4">
        <f>YEAR(NetflixData[[#This Row],[date]])</f>
        <v>2018</v>
      </c>
      <c r="L4" t="str">
        <f>TEXT(NetflixData[[#This Row],[date]],"mmm")</f>
        <v>Sep</v>
      </c>
      <c r="M4" t="str">
        <f>TEXT(NetflixData[[#This Row],[date]],"mmm yyyy")</f>
        <v>Sep 2018</v>
      </c>
      <c r="N4" t="str">
        <f t="shared" si="0"/>
        <v>Non-Trading Day</v>
      </c>
      <c r="O4" t="str">
        <f t="shared" si="1"/>
        <v>Negative</v>
      </c>
      <c r="P4" t="str">
        <f t="shared" si="2"/>
        <v>Positive</v>
      </c>
    </row>
    <row r="5" spans="1:16" x14ac:dyDescent="0.3">
      <c r="A5" s="1">
        <v>43358</v>
      </c>
      <c r="B5">
        <v>36.46</v>
      </c>
      <c r="C5">
        <v>0</v>
      </c>
      <c r="D5">
        <v>0</v>
      </c>
      <c r="E5">
        <v>44</v>
      </c>
      <c r="F5">
        <v>2.91</v>
      </c>
      <c r="G5">
        <v>-4.5400000000000003E-2</v>
      </c>
      <c r="H5">
        <v>16</v>
      </c>
      <c r="I5">
        <v>6.86</v>
      </c>
      <c r="J5">
        <v>0</v>
      </c>
      <c r="K5">
        <f>YEAR(NetflixData[[#This Row],[date]])</f>
        <v>2018</v>
      </c>
      <c r="L5" t="str">
        <f>TEXT(NetflixData[[#This Row],[date]],"mmm")</f>
        <v>Sep</v>
      </c>
      <c r="M5" t="str">
        <f>TEXT(NetflixData[[#This Row],[date]],"mmm yyyy")</f>
        <v>Sep 2018</v>
      </c>
      <c r="N5" t="str">
        <f t="shared" si="0"/>
        <v>Non-Trading Day</v>
      </c>
      <c r="O5" t="str">
        <f t="shared" si="1"/>
        <v>No Change</v>
      </c>
      <c r="P5" t="str">
        <f t="shared" si="2"/>
        <v>Neutral</v>
      </c>
    </row>
    <row r="6" spans="1:16" x14ac:dyDescent="0.3">
      <c r="A6" s="1">
        <v>43359</v>
      </c>
      <c r="B6">
        <v>36.46</v>
      </c>
      <c r="C6">
        <v>0</v>
      </c>
      <c r="D6">
        <v>0</v>
      </c>
      <c r="E6">
        <v>46</v>
      </c>
      <c r="F6">
        <v>3.33</v>
      </c>
      <c r="G6">
        <v>0.33589999999999998</v>
      </c>
      <c r="H6">
        <v>2</v>
      </c>
      <c r="I6">
        <v>6.9</v>
      </c>
      <c r="J6">
        <v>0</v>
      </c>
      <c r="K6">
        <f>YEAR(NetflixData[[#This Row],[date]])</f>
        <v>2018</v>
      </c>
      <c r="L6" t="str">
        <f>TEXT(NetflixData[[#This Row],[date]],"mmm")</f>
        <v>Sep</v>
      </c>
      <c r="M6" t="str">
        <f>TEXT(NetflixData[[#This Row],[date]],"mmm yyyy")</f>
        <v>Sep 2018</v>
      </c>
      <c r="N6" t="str">
        <f t="shared" si="0"/>
        <v>Trading Day</v>
      </c>
      <c r="O6" t="str">
        <f t="shared" si="1"/>
        <v>No Change</v>
      </c>
      <c r="P6" t="str">
        <f t="shared" si="2"/>
        <v>Positive</v>
      </c>
    </row>
    <row r="7" spans="1:16" x14ac:dyDescent="0.3">
      <c r="A7" s="1">
        <v>43360</v>
      </c>
      <c r="B7">
        <v>35.03</v>
      </c>
      <c r="C7">
        <v>70719000</v>
      </c>
      <c r="D7">
        <v>-3.8079999999999998</v>
      </c>
      <c r="E7">
        <v>33</v>
      </c>
      <c r="F7">
        <v>2.85</v>
      </c>
      <c r="G7">
        <v>0.20519999999999999</v>
      </c>
      <c r="H7">
        <v>1</v>
      </c>
      <c r="I7">
        <v>7</v>
      </c>
      <c r="J7">
        <v>1</v>
      </c>
      <c r="K7">
        <f>YEAR(NetflixData[[#This Row],[date]])</f>
        <v>2018</v>
      </c>
      <c r="L7" t="str">
        <f>TEXT(NetflixData[[#This Row],[date]],"mmm")</f>
        <v>Sep</v>
      </c>
      <c r="M7" t="str">
        <f>TEXT(NetflixData[[#This Row],[date]],"mmm yyyy")</f>
        <v>Sep 2018</v>
      </c>
      <c r="N7" t="str">
        <f t="shared" si="0"/>
        <v>Trading Day</v>
      </c>
      <c r="O7" t="str">
        <f t="shared" si="1"/>
        <v>Negative</v>
      </c>
      <c r="P7" t="str">
        <f t="shared" si="2"/>
        <v>Positive</v>
      </c>
    </row>
    <row r="8" spans="1:16" x14ac:dyDescent="0.3">
      <c r="A8" s="1">
        <v>43361</v>
      </c>
      <c r="B8">
        <v>36.76</v>
      </c>
      <c r="C8">
        <v>104140000</v>
      </c>
      <c r="D8">
        <v>3.9529999999999998</v>
      </c>
      <c r="E8">
        <v>29</v>
      </c>
      <c r="F8">
        <v>2.5499999999999998</v>
      </c>
      <c r="G8">
        <v>0.1239</v>
      </c>
      <c r="H8">
        <v>1</v>
      </c>
      <c r="I8">
        <v>6.5</v>
      </c>
      <c r="J8">
        <v>1</v>
      </c>
      <c r="K8">
        <f>YEAR(NetflixData[[#This Row],[date]])</f>
        <v>2018</v>
      </c>
      <c r="L8" t="str">
        <f>TEXT(NetflixData[[#This Row],[date]],"mmm")</f>
        <v>Sep</v>
      </c>
      <c r="M8" t="str">
        <f>TEXT(NetflixData[[#This Row],[date]],"mmm yyyy")</f>
        <v>Sep 2018</v>
      </c>
      <c r="N8" t="str">
        <f t="shared" si="0"/>
        <v>Trading Day</v>
      </c>
      <c r="O8" t="str">
        <f t="shared" si="1"/>
        <v>Positive</v>
      </c>
      <c r="P8" t="str">
        <f t="shared" si="2"/>
        <v>Positive</v>
      </c>
    </row>
    <row r="9" spans="1:16" x14ac:dyDescent="0.3">
      <c r="A9" s="1">
        <v>43362</v>
      </c>
      <c r="B9">
        <v>36.700000000000003</v>
      </c>
      <c r="C9">
        <v>118768000</v>
      </c>
      <c r="D9">
        <v>-1.869</v>
      </c>
      <c r="E9">
        <v>29</v>
      </c>
      <c r="F9">
        <v>2.79</v>
      </c>
      <c r="G9">
        <v>0.185</v>
      </c>
      <c r="H9">
        <v>2</v>
      </c>
      <c r="I9">
        <v>6.5</v>
      </c>
      <c r="J9">
        <v>1</v>
      </c>
      <c r="K9">
        <f>YEAR(NetflixData[[#This Row],[date]])</f>
        <v>2018</v>
      </c>
      <c r="L9" t="str">
        <f>TEXT(NetflixData[[#This Row],[date]],"mmm")</f>
        <v>Sep</v>
      </c>
      <c r="M9" t="str">
        <f>TEXT(NetflixData[[#This Row],[date]],"mmm yyyy")</f>
        <v>Sep 2018</v>
      </c>
      <c r="N9" t="str">
        <f t="shared" si="0"/>
        <v>Trading Day</v>
      </c>
      <c r="O9" t="str">
        <f t="shared" si="1"/>
        <v>Negative</v>
      </c>
      <c r="P9" t="str">
        <f t="shared" si="2"/>
        <v>Positive</v>
      </c>
    </row>
    <row r="10" spans="1:16" x14ac:dyDescent="0.3">
      <c r="A10" s="1">
        <v>43363</v>
      </c>
      <c r="B10">
        <v>36.54</v>
      </c>
      <c r="C10">
        <v>67681000</v>
      </c>
      <c r="D10">
        <v>-1.323</v>
      </c>
      <c r="E10">
        <v>35</v>
      </c>
      <c r="F10">
        <v>2.66</v>
      </c>
      <c r="G10">
        <v>0.13170000000000001</v>
      </c>
      <c r="H10">
        <v>3</v>
      </c>
      <c r="I10">
        <v>7.2</v>
      </c>
      <c r="J10">
        <v>1</v>
      </c>
      <c r="K10">
        <f>YEAR(NetflixData[[#This Row],[date]])</f>
        <v>2018</v>
      </c>
      <c r="L10" t="str">
        <f>TEXT(NetflixData[[#This Row],[date]],"mmm")</f>
        <v>Sep</v>
      </c>
      <c r="M10" t="str">
        <f>TEXT(NetflixData[[#This Row],[date]],"mmm yyyy")</f>
        <v>Sep 2018</v>
      </c>
      <c r="N10" t="str">
        <f t="shared" si="0"/>
        <v>Trading Day</v>
      </c>
      <c r="O10" t="str">
        <f t="shared" si="1"/>
        <v>Negative</v>
      </c>
      <c r="P10" t="str">
        <f t="shared" si="2"/>
        <v>Positive</v>
      </c>
    </row>
    <row r="11" spans="1:16" x14ac:dyDescent="0.3">
      <c r="A11" s="1">
        <v>43364</v>
      </c>
      <c r="B11">
        <v>36.119999999999997</v>
      </c>
      <c r="C11">
        <v>119306000</v>
      </c>
      <c r="D11">
        <v>-1.4730000000000001</v>
      </c>
      <c r="E11">
        <v>33</v>
      </c>
      <c r="F11">
        <v>2.73</v>
      </c>
      <c r="G11">
        <v>0.217</v>
      </c>
      <c r="H11">
        <v>6</v>
      </c>
      <c r="I11">
        <v>7.3</v>
      </c>
      <c r="J11">
        <v>1</v>
      </c>
      <c r="K11">
        <f>YEAR(NetflixData[[#This Row],[date]])</f>
        <v>2018</v>
      </c>
      <c r="L11" t="str">
        <f>TEXT(NetflixData[[#This Row],[date]],"mmm")</f>
        <v>Sep</v>
      </c>
      <c r="M11" t="str">
        <f>TEXT(NetflixData[[#This Row],[date]],"mmm yyyy")</f>
        <v>Sep 2018</v>
      </c>
      <c r="N11" t="str">
        <f t="shared" si="0"/>
        <v>Non-Trading Day</v>
      </c>
      <c r="O11" t="str">
        <f t="shared" si="1"/>
        <v>Negative</v>
      </c>
      <c r="P11" t="str">
        <f t="shared" si="2"/>
        <v>Positive</v>
      </c>
    </row>
    <row r="12" spans="1:16" x14ac:dyDescent="0.3">
      <c r="A12" s="1">
        <v>43365</v>
      </c>
      <c r="B12">
        <v>36.119999999999997</v>
      </c>
      <c r="C12">
        <v>0</v>
      </c>
      <c r="D12">
        <v>0</v>
      </c>
      <c r="E12">
        <v>33</v>
      </c>
      <c r="F12">
        <v>2.82</v>
      </c>
      <c r="G12">
        <v>0.1336</v>
      </c>
      <c r="H12">
        <v>2</v>
      </c>
      <c r="I12">
        <v>6.6</v>
      </c>
      <c r="J12">
        <v>0</v>
      </c>
      <c r="K12">
        <f>YEAR(NetflixData[[#This Row],[date]])</f>
        <v>2018</v>
      </c>
      <c r="L12" t="str">
        <f>TEXT(NetflixData[[#This Row],[date]],"mmm")</f>
        <v>Sep</v>
      </c>
      <c r="M12" t="str">
        <f>TEXT(NetflixData[[#This Row],[date]],"mmm yyyy")</f>
        <v>Sep 2018</v>
      </c>
      <c r="N12" t="str">
        <f t="shared" si="0"/>
        <v>Non-Trading Day</v>
      </c>
      <c r="O12" t="str">
        <f t="shared" si="1"/>
        <v>No Change</v>
      </c>
      <c r="P12" t="str">
        <f t="shared" si="2"/>
        <v>Positive</v>
      </c>
    </row>
    <row r="13" spans="1:16" x14ac:dyDescent="0.3">
      <c r="A13" s="1">
        <v>43366</v>
      </c>
      <c r="B13">
        <v>36.119999999999997</v>
      </c>
      <c r="C13">
        <v>0</v>
      </c>
      <c r="D13">
        <v>0</v>
      </c>
      <c r="E13">
        <v>48</v>
      </c>
      <c r="F13">
        <v>2.6</v>
      </c>
      <c r="G13">
        <v>0.192</v>
      </c>
      <c r="H13">
        <v>0</v>
      </c>
      <c r="J13">
        <v>0</v>
      </c>
      <c r="K13">
        <f>YEAR(NetflixData[[#This Row],[date]])</f>
        <v>2018</v>
      </c>
      <c r="L13" t="str">
        <f>TEXT(NetflixData[[#This Row],[date]],"mmm")</f>
        <v>Sep</v>
      </c>
      <c r="M13" t="str">
        <f>TEXT(NetflixData[[#This Row],[date]],"mmm yyyy")</f>
        <v>Sep 2018</v>
      </c>
      <c r="N13" t="str">
        <f t="shared" si="0"/>
        <v>Trading Day</v>
      </c>
      <c r="O13" t="str">
        <f t="shared" si="1"/>
        <v>No Change</v>
      </c>
      <c r="P13" t="str">
        <f t="shared" si="2"/>
        <v>Positive</v>
      </c>
    </row>
    <row r="14" spans="1:16" x14ac:dyDescent="0.3">
      <c r="A14" s="1">
        <v>43367</v>
      </c>
      <c r="B14">
        <v>36.96</v>
      </c>
      <c r="C14">
        <v>93225000</v>
      </c>
      <c r="D14">
        <v>2.9550000000000001</v>
      </c>
      <c r="E14">
        <v>23</v>
      </c>
      <c r="F14">
        <v>3.09</v>
      </c>
      <c r="G14">
        <v>0.2394</v>
      </c>
      <c r="H14">
        <v>1</v>
      </c>
      <c r="I14">
        <v>2.6</v>
      </c>
      <c r="J14">
        <v>1</v>
      </c>
      <c r="K14">
        <f>YEAR(NetflixData[[#This Row],[date]])</f>
        <v>2018</v>
      </c>
      <c r="L14" t="str">
        <f>TEXT(NetflixData[[#This Row],[date]],"mmm")</f>
        <v>Sep</v>
      </c>
      <c r="M14" t="str">
        <f>TEXT(NetflixData[[#This Row],[date]],"mmm yyyy")</f>
        <v>Sep 2018</v>
      </c>
      <c r="N14" t="str">
        <f t="shared" si="0"/>
        <v>Trading Day</v>
      </c>
      <c r="O14" t="str">
        <f t="shared" si="1"/>
        <v>Positive</v>
      </c>
      <c r="P14" t="str">
        <f t="shared" si="2"/>
        <v>Positive</v>
      </c>
    </row>
    <row r="15" spans="1:16" x14ac:dyDescent="0.3">
      <c r="A15" s="1">
        <v>43368</v>
      </c>
      <c r="B15">
        <v>36.94</v>
      </c>
      <c r="C15">
        <v>67998000</v>
      </c>
      <c r="D15">
        <v>-0.216</v>
      </c>
      <c r="E15">
        <v>39</v>
      </c>
      <c r="F15">
        <v>3.03</v>
      </c>
      <c r="G15">
        <v>0.23430000000000001</v>
      </c>
      <c r="H15">
        <v>1</v>
      </c>
      <c r="I15">
        <v>4.3</v>
      </c>
      <c r="J15">
        <v>1</v>
      </c>
      <c r="K15">
        <f>YEAR(NetflixData[[#This Row],[date]])</f>
        <v>2018</v>
      </c>
      <c r="L15" t="str">
        <f>TEXT(NetflixData[[#This Row],[date]],"mmm")</f>
        <v>Sep</v>
      </c>
      <c r="M15" t="str">
        <f>TEXT(NetflixData[[#This Row],[date]],"mmm yyyy")</f>
        <v>Sep 2018</v>
      </c>
      <c r="N15" t="str">
        <f t="shared" si="0"/>
        <v>Trading Day</v>
      </c>
      <c r="O15" t="str">
        <f t="shared" si="1"/>
        <v>Negative</v>
      </c>
      <c r="P15" t="str">
        <f t="shared" si="2"/>
        <v>Positive</v>
      </c>
    </row>
    <row r="16" spans="1:16" x14ac:dyDescent="0.3">
      <c r="A16" s="1">
        <v>43369</v>
      </c>
      <c r="B16">
        <v>37.79</v>
      </c>
      <c r="C16">
        <v>137997000</v>
      </c>
      <c r="D16">
        <v>1.1479999999999999</v>
      </c>
      <c r="E16">
        <v>49</v>
      </c>
      <c r="F16">
        <v>3.04</v>
      </c>
      <c r="G16">
        <v>0.124</v>
      </c>
      <c r="H16">
        <v>1</v>
      </c>
      <c r="I16">
        <v>5.2</v>
      </c>
      <c r="J16">
        <v>1</v>
      </c>
      <c r="K16">
        <f>YEAR(NetflixData[[#This Row],[date]])</f>
        <v>2018</v>
      </c>
      <c r="L16" t="str">
        <f>TEXT(NetflixData[[#This Row],[date]],"mmm")</f>
        <v>Sep</v>
      </c>
      <c r="M16" t="str">
        <f>TEXT(NetflixData[[#This Row],[date]],"mmm yyyy")</f>
        <v>Sep 2018</v>
      </c>
      <c r="N16" t="str">
        <f t="shared" si="0"/>
        <v>Trading Day</v>
      </c>
      <c r="O16" t="str">
        <f t="shared" si="1"/>
        <v>Positive</v>
      </c>
      <c r="P16" t="str">
        <f t="shared" si="2"/>
        <v>Positive</v>
      </c>
    </row>
    <row r="17" spans="1:16" x14ac:dyDescent="0.3">
      <c r="A17" s="1">
        <v>43370</v>
      </c>
      <c r="B17">
        <v>38.07</v>
      </c>
      <c r="C17">
        <v>73262000</v>
      </c>
      <c r="D17">
        <v>0.221</v>
      </c>
      <c r="E17">
        <v>47</v>
      </c>
      <c r="F17">
        <v>3.13</v>
      </c>
      <c r="G17">
        <v>0.2717</v>
      </c>
      <c r="H17">
        <v>1</v>
      </c>
      <c r="I17">
        <v>6.7</v>
      </c>
      <c r="J17">
        <v>1</v>
      </c>
      <c r="K17">
        <f>YEAR(NetflixData[[#This Row],[date]])</f>
        <v>2018</v>
      </c>
      <c r="L17" t="str">
        <f>TEXT(NetflixData[[#This Row],[date]],"mmm")</f>
        <v>Sep</v>
      </c>
      <c r="M17" t="str">
        <f>TEXT(NetflixData[[#This Row],[date]],"mmm yyyy")</f>
        <v>Sep 2018</v>
      </c>
      <c r="N17" t="str">
        <f t="shared" si="0"/>
        <v>Trading Day</v>
      </c>
      <c r="O17" t="str">
        <f t="shared" si="1"/>
        <v>Positive</v>
      </c>
      <c r="P17" t="str">
        <f t="shared" si="2"/>
        <v>Positive</v>
      </c>
    </row>
    <row r="18" spans="1:16" x14ac:dyDescent="0.3">
      <c r="A18" s="1">
        <v>43371</v>
      </c>
      <c r="B18">
        <v>37.409999999999997</v>
      </c>
      <c r="C18">
        <v>71149000</v>
      </c>
      <c r="D18">
        <v>-1.347</v>
      </c>
      <c r="E18">
        <v>29</v>
      </c>
      <c r="F18">
        <v>3.41</v>
      </c>
      <c r="G18">
        <v>0.36670000000000003</v>
      </c>
      <c r="H18">
        <v>11</v>
      </c>
      <c r="I18">
        <v>6</v>
      </c>
      <c r="J18">
        <v>1</v>
      </c>
      <c r="K18">
        <f>YEAR(NetflixData[[#This Row],[date]])</f>
        <v>2018</v>
      </c>
      <c r="L18" t="str">
        <f>TEXT(NetflixData[[#This Row],[date]],"mmm")</f>
        <v>Sep</v>
      </c>
      <c r="M18" t="str">
        <f>TEXT(NetflixData[[#This Row],[date]],"mmm yyyy")</f>
        <v>Sep 2018</v>
      </c>
      <c r="N18" t="str">
        <f t="shared" si="0"/>
        <v>Non-Trading Day</v>
      </c>
      <c r="O18" t="str">
        <f t="shared" si="1"/>
        <v>Negative</v>
      </c>
      <c r="P18" t="str">
        <f t="shared" si="2"/>
        <v>Positive</v>
      </c>
    </row>
    <row r="19" spans="1:16" x14ac:dyDescent="0.3">
      <c r="A19" s="1">
        <v>43372</v>
      </c>
      <c r="B19">
        <v>37.409999999999997</v>
      </c>
      <c r="C19">
        <v>0</v>
      </c>
      <c r="D19">
        <v>0</v>
      </c>
      <c r="E19">
        <v>40</v>
      </c>
      <c r="F19">
        <v>3.18</v>
      </c>
      <c r="G19">
        <v>0.1845</v>
      </c>
      <c r="H19">
        <v>2</v>
      </c>
      <c r="I19">
        <v>6.35</v>
      </c>
      <c r="J19">
        <v>0</v>
      </c>
      <c r="K19">
        <f>YEAR(NetflixData[[#This Row],[date]])</f>
        <v>2018</v>
      </c>
      <c r="L19" t="str">
        <f>TEXT(NetflixData[[#This Row],[date]],"mmm")</f>
        <v>Sep</v>
      </c>
      <c r="M19" t="str">
        <f>TEXT(NetflixData[[#This Row],[date]],"mmm yyyy")</f>
        <v>Sep 2018</v>
      </c>
      <c r="N19" t="str">
        <f t="shared" si="0"/>
        <v>Non-Trading Day</v>
      </c>
      <c r="O19" t="str">
        <f t="shared" si="1"/>
        <v>No Change</v>
      </c>
      <c r="P19" t="str">
        <f t="shared" si="2"/>
        <v>Positive</v>
      </c>
    </row>
    <row r="20" spans="1:16" x14ac:dyDescent="0.3">
      <c r="A20" s="1">
        <v>43373</v>
      </c>
      <c r="B20">
        <v>37.409999999999997</v>
      </c>
      <c r="C20">
        <v>0</v>
      </c>
      <c r="D20">
        <v>0</v>
      </c>
      <c r="E20">
        <v>46</v>
      </c>
      <c r="F20">
        <v>3.48</v>
      </c>
      <c r="G20">
        <v>0.31190000000000001</v>
      </c>
      <c r="H20">
        <v>7</v>
      </c>
      <c r="I20">
        <v>6.87</v>
      </c>
      <c r="J20">
        <v>0</v>
      </c>
      <c r="K20">
        <f>YEAR(NetflixData[[#This Row],[date]])</f>
        <v>2018</v>
      </c>
      <c r="L20" t="str">
        <f>TEXT(NetflixData[[#This Row],[date]],"mmm")</f>
        <v>Sep</v>
      </c>
      <c r="M20" t="str">
        <f>TEXT(NetflixData[[#This Row],[date]],"mmm yyyy")</f>
        <v>Sep 2018</v>
      </c>
      <c r="N20" t="str">
        <f t="shared" si="0"/>
        <v>Trading Day</v>
      </c>
      <c r="O20" t="str">
        <f t="shared" si="1"/>
        <v>No Change</v>
      </c>
      <c r="P20" t="str">
        <f t="shared" si="2"/>
        <v>Positive</v>
      </c>
    </row>
    <row r="21" spans="1:16" x14ac:dyDescent="0.3">
      <c r="A21" s="1">
        <v>43374</v>
      </c>
      <c r="B21">
        <v>38.14</v>
      </c>
      <c r="C21">
        <v>83766000</v>
      </c>
      <c r="D21">
        <v>1.4850000000000001</v>
      </c>
      <c r="E21">
        <v>44</v>
      </c>
      <c r="F21">
        <v>3.48</v>
      </c>
      <c r="G21">
        <v>0.31240000000000001</v>
      </c>
      <c r="H21">
        <v>72</v>
      </c>
      <c r="I21">
        <v>6.32</v>
      </c>
      <c r="J21">
        <v>1</v>
      </c>
      <c r="K21">
        <f>YEAR(NetflixData[[#This Row],[date]])</f>
        <v>2018</v>
      </c>
      <c r="L21" t="str">
        <f>TEXT(NetflixData[[#This Row],[date]],"mmm")</f>
        <v>Oct</v>
      </c>
      <c r="M21" t="str">
        <f>TEXT(NetflixData[[#This Row],[date]],"mmm yyyy")</f>
        <v>Oct 2018</v>
      </c>
      <c r="N21" t="str">
        <f t="shared" si="0"/>
        <v>Trading Day</v>
      </c>
      <c r="O21" t="str">
        <f t="shared" si="1"/>
        <v>Positive</v>
      </c>
      <c r="P21" t="str">
        <f t="shared" si="2"/>
        <v>Positive</v>
      </c>
    </row>
    <row r="22" spans="1:16" x14ac:dyDescent="0.3">
      <c r="A22" s="1">
        <v>43375</v>
      </c>
      <c r="B22">
        <v>37.71</v>
      </c>
      <c r="C22">
        <v>86387000</v>
      </c>
      <c r="D22">
        <v>-1.8839999999999999</v>
      </c>
      <c r="E22">
        <v>62</v>
      </c>
      <c r="F22">
        <v>3.68</v>
      </c>
      <c r="G22">
        <v>0.43709999999999999</v>
      </c>
      <c r="H22">
        <v>17</v>
      </c>
      <c r="I22">
        <v>7.9</v>
      </c>
      <c r="J22">
        <v>1</v>
      </c>
      <c r="K22">
        <f>YEAR(NetflixData[[#This Row],[date]])</f>
        <v>2018</v>
      </c>
      <c r="L22" t="str">
        <f>TEXT(NetflixData[[#This Row],[date]],"mmm")</f>
        <v>Oct</v>
      </c>
      <c r="M22" t="str">
        <f>TEXT(NetflixData[[#This Row],[date]],"mmm yyyy")</f>
        <v>Oct 2018</v>
      </c>
      <c r="N22" t="str">
        <f t="shared" si="0"/>
        <v>Trading Day</v>
      </c>
      <c r="O22" t="str">
        <f t="shared" si="1"/>
        <v>Negative</v>
      </c>
      <c r="P22" t="str">
        <f t="shared" si="2"/>
        <v>Positive</v>
      </c>
    </row>
    <row r="23" spans="1:16" x14ac:dyDescent="0.3">
      <c r="A23" s="1">
        <v>43376</v>
      </c>
      <c r="B23">
        <v>37.71</v>
      </c>
      <c r="C23">
        <v>57986000</v>
      </c>
      <c r="D23">
        <v>-0.39100000000000001</v>
      </c>
      <c r="E23">
        <v>24</v>
      </c>
      <c r="F23">
        <v>2.88</v>
      </c>
      <c r="G23">
        <v>0.25519999999999998</v>
      </c>
      <c r="H23">
        <v>3</v>
      </c>
      <c r="I23">
        <v>6.05</v>
      </c>
      <c r="J23">
        <v>1</v>
      </c>
      <c r="K23">
        <f>YEAR(NetflixData[[#This Row],[date]])</f>
        <v>2018</v>
      </c>
      <c r="L23" t="str">
        <f>TEXT(NetflixData[[#This Row],[date]],"mmm")</f>
        <v>Oct</v>
      </c>
      <c r="M23" t="str">
        <f>TEXT(NetflixData[[#This Row],[date]],"mmm yyyy")</f>
        <v>Oct 2018</v>
      </c>
      <c r="N23" t="str">
        <f t="shared" si="0"/>
        <v>Trading Day</v>
      </c>
      <c r="O23" t="str">
        <f t="shared" si="1"/>
        <v>Negative</v>
      </c>
      <c r="P23" t="str">
        <f t="shared" si="2"/>
        <v>Positive</v>
      </c>
    </row>
    <row r="24" spans="1:16" x14ac:dyDescent="0.3">
      <c r="A24" s="1">
        <v>43377</v>
      </c>
      <c r="B24">
        <v>36.369999999999997</v>
      </c>
      <c r="C24">
        <v>90744000</v>
      </c>
      <c r="D24">
        <v>-3.254</v>
      </c>
      <c r="E24">
        <v>38</v>
      </c>
      <c r="F24">
        <v>3.16</v>
      </c>
      <c r="G24">
        <v>0.2336</v>
      </c>
      <c r="H24">
        <v>4</v>
      </c>
      <c r="I24">
        <v>4.87</v>
      </c>
      <c r="J24">
        <v>1</v>
      </c>
      <c r="K24">
        <f>YEAR(NetflixData[[#This Row],[date]])</f>
        <v>2018</v>
      </c>
      <c r="L24" t="str">
        <f>TEXT(NetflixData[[#This Row],[date]],"mmm")</f>
        <v>Oct</v>
      </c>
      <c r="M24" t="str">
        <f>TEXT(NetflixData[[#This Row],[date]],"mmm yyyy")</f>
        <v>Oct 2018</v>
      </c>
      <c r="N24" t="str">
        <f t="shared" si="0"/>
        <v>Trading Day</v>
      </c>
      <c r="O24" t="str">
        <f t="shared" si="1"/>
        <v>Negative</v>
      </c>
      <c r="P24" t="str">
        <f t="shared" si="2"/>
        <v>Positive</v>
      </c>
    </row>
    <row r="25" spans="1:16" x14ac:dyDescent="0.3">
      <c r="A25" s="1">
        <v>43378</v>
      </c>
      <c r="B25">
        <v>35.130000000000003</v>
      </c>
      <c r="C25">
        <v>135230000</v>
      </c>
      <c r="D25">
        <v>-2.34</v>
      </c>
      <c r="E25">
        <v>49</v>
      </c>
      <c r="F25">
        <v>3.16</v>
      </c>
      <c r="G25">
        <v>0.2525</v>
      </c>
      <c r="H25">
        <v>9</v>
      </c>
      <c r="I25">
        <v>6.49</v>
      </c>
      <c r="J25">
        <v>1</v>
      </c>
      <c r="K25">
        <f>YEAR(NetflixData[[#This Row],[date]])</f>
        <v>2018</v>
      </c>
      <c r="L25" t="str">
        <f>TEXT(NetflixData[[#This Row],[date]],"mmm")</f>
        <v>Oct</v>
      </c>
      <c r="M25" t="str">
        <f>TEXT(NetflixData[[#This Row],[date]],"mmm yyyy")</f>
        <v>Oct 2018</v>
      </c>
      <c r="N25" t="str">
        <f t="shared" si="0"/>
        <v>Non-Trading Day</v>
      </c>
      <c r="O25" t="str">
        <f t="shared" si="1"/>
        <v>Negative</v>
      </c>
      <c r="P25" t="str">
        <f t="shared" si="2"/>
        <v>Positive</v>
      </c>
    </row>
    <row r="26" spans="1:16" x14ac:dyDescent="0.3">
      <c r="A26" s="1">
        <v>43379</v>
      </c>
      <c r="B26">
        <v>35.130000000000003</v>
      </c>
      <c r="C26">
        <v>0</v>
      </c>
      <c r="D26">
        <v>0</v>
      </c>
      <c r="E26">
        <v>45</v>
      </c>
      <c r="F26">
        <v>3.11</v>
      </c>
      <c r="G26">
        <v>0.25490000000000002</v>
      </c>
      <c r="H26">
        <v>2</v>
      </c>
      <c r="I26">
        <v>5.95</v>
      </c>
      <c r="J26">
        <v>0</v>
      </c>
      <c r="K26">
        <f>YEAR(NetflixData[[#This Row],[date]])</f>
        <v>2018</v>
      </c>
      <c r="L26" t="str">
        <f>TEXT(NetflixData[[#This Row],[date]],"mmm")</f>
        <v>Oct</v>
      </c>
      <c r="M26" t="str">
        <f>TEXT(NetflixData[[#This Row],[date]],"mmm yyyy")</f>
        <v>Oct 2018</v>
      </c>
      <c r="N26" t="str">
        <f t="shared" si="0"/>
        <v>Non-Trading Day</v>
      </c>
      <c r="O26" t="str">
        <f t="shared" si="1"/>
        <v>No Change</v>
      </c>
      <c r="P26" t="str">
        <f t="shared" si="2"/>
        <v>Positive</v>
      </c>
    </row>
    <row r="27" spans="1:16" x14ac:dyDescent="0.3">
      <c r="A27" s="1">
        <v>43380</v>
      </c>
      <c r="B27">
        <v>35.130000000000003</v>
      </c>
      <c r="C27">
        <v>0</v>
      </c>
      <c r="D27">
        <v>0</v>
      </c>
      <c r="E27">
        <v>26</v>
      </c>
      <c r="F27">
        <v>3.31</v>
      </c>
      <c r="G27">
        <v>0.22969999999999999</v>
      </c>
      <c r="H27">
        <v>0</v>
      </c>
      <c r="J27">
        <v>0</v>
      </c>
      <c r="K27">
        <f>YEAR(NetflixData[[#This Row],[date]])</f>
        <v>2018</v>
      </c>
      <c r="L27" t="str">
        <f>TEXT(NetflixData[[#This Row],[date]],"mmm")</f>
        <v>Oct</v>
      </c>
      <c r="M27" t="str">
        <f>TEXT(NetflixData[[#This Row],[date]],"mmm yyyy")</f>
        <v>Oct 2018</v>
      </c>
      <c r="N27" t="str">
        <f t="shared" si="0"/>
        <v>Trading Day</v>
      </c>
      <c r="O27" t="str">
        <f t="shared" si="1"/>
        <v>No Change</v>
      </c>
      <c r="P27" t="str">
        <f t="shared" si="2"/>
        <v>Positive</v>
      </c>
    </row>
    <row r="28" spans="1:16" x14ac:dyDescent="0.3">
      <c r="A28" s="1">
        <v>43381</v>
      </c>
      <c r="B28">
        <v>34.909999999999997</v>
      </c>
      <c r="C28">
        <v>123755000</v>
      </c>
      <c r="D28">
        <v>1.1359999999999999</v>
      </c>
      <c r="E28">
        <v>43</v>
      </c>
      <c r="F28">
        <v>3.44</v>
      </c>
      <c r="G28">
        <v>0.28770000000000001</v>
      </c>
      <c r="H28">
        <v>2</v>
      </c>
      <c r="I28">
        <v>6.7</v>
      </c>
      <c r="J28">
        <v>1</v>
      </c>
      <c r="K28">
        <f>YEAR(NetflixData[[#This Row],[date]])</f>
        <v>2018</v>
      </c>
      <c r="L28" t="str">
        <f>TEXT(NetflixData[[#This Row],[date]],"mmm")</f>
        <v>Oct</v>
      </c>
      <c r="M28" t="str">
        <f>TEXT(NetflixData[[#This Row],[date]],"mmm yyyy")</f>
        <v>Oct 2018</v>
      </c>
      <c r="N28" t="str">
        <f t="shared" si="0"/>
        <v>Trading Day</v>
      </c>
      <c r="O28" t="str">
        <f t="shared" si="1"/>
        <v>Positive</v>
      </c>
      <c r="P28" t="str">
        <f t="shared" si="2"/>
        <v>Positive</v>
      </c>
    </row>
    <row r="29" spans="1:16" x14ac:dyDescent="0.3">
      <c r="A29" s="1">
        <v>43382</v>
      </c>
      <c r="B29">
        <v>35.57</v>
      </c>
      <c r="C29">
        <v>87550000</v>
      </c>
      <c r="D29">
        <v>2.0750000000000002</v>
      </c>
      <c r="E29">
        <v>43</v>
      </c>
      <c r="F29">
        <v>3.4</v>
      </c>
      <c r="G29">
        <v>0.24410000000000001</v>
      </c>
      <c r="H29">
        <v>3</v>
      </c>
      <c r="I29">
        <v>6.7</v>
      </c>
      <c r="J29">
        <v>1</v>
      </c>
      <c r="K29">
        <f>YEAR(NetflixData[[#This Row],[date]])</f>
        <v>2018</v>
      </c>
      <c r="L29" t="str">
        <f>TEXT(NetflixData[[#This Row],[date]],"mmm")</f>
        <v>Oct</v>
      </c>
      <c r="M29" t="str">
        <f>TEXT(NetflixData[[#This Row],[date]],"mmm yyyy")</f>
        <v>Oct 2018</v>
      </c>
      <c r="N29" t="str">
        <f t="shared" si="0"/>
        <v>Trading Day</v>
      </c>
      <c r="O29" t="str">
        <f t="shared" si="1"/>
        <v>Positive</v>
      </c>
      <c r="P29" t="str">
        <f t="shared" si="2"/>
        <v>Positive</v>
      </c>
    </row>
    <row r="30" spans="1:16" x14ac:dyDescent="0.3">
      <c r="A30" s="1">
        <v>43383</v>
      </c>
      <c r="B30">
        <v>32.590000000000003</v>
      </c>
      <c r="C30">
        <v>171831000</v>
      </c>
      <c r="D30">
        <v>-7.8159999999999998</v>
      </c>
      <c r="E30">
        <v>57</v>
      </c>
      <c r="F30">
        <v>3.58</v>
      </c>
      <c r="G30">
        <v>0.36309999999999998</v>
      </c>
      <c r="H30">
        <v>3</v>
      </c>
      <c r="I30">
        <v>8.6999999999999993</v>
      </c>
      <c r="J30">
        <v>1</v>
      </c>
      <c r="K30">
        <f>YEAR(NetflixData[[#This Row],[date]])</f>
        <v>2018</v>
      </c>
      <c r="L30" t="str">
        <f>TEXT(NetflixData[[#This Row],[date]],"mmm")</f>
        <v>Oct</v>
      </c>
      <c r="M30" t="str">
        <f>TEXT(NetflixData[[#This Row],[date]],"mmm yyyy")</f>
        <v>Oct 2018</v>
      </c>
      <c r="N30" t="str">
        <f t="shared" si="0"/>
        <v>Trading Day</v>
      </c>
      <c r="O30" t="str">
        <f t="shared" si="1"/>
        <v>Negative</v>
      </c>
      <c r="P30" t="str">
        <f t="shared" si="2"/>
        <v>Positive</v>
      </c>
    </row>
    <row r="31" spans="1:16" x14ac:dyDescent="0.3">
      <c r="A31" s="1">
        <v>43384</v>
      </c>
      <c r="B31">
        <v>32.11</v>
      </c>
      <c r="C31">
        <v>160821000</v>
      </c>
      <c r="D31">
        <v>-1.1819999999999999</v>
      </c>
      <c r="E31">
        <v>49</v>
      </c>
      <c r="F31">
        <v>3.45</v>
      </c>
      <c r="G31">
        <v>0.30819999999999997</v>
      </c>
      <c r="H31">
        <v>4</v>
      </c>
      <c r="I31">
        <v>7.25</v>
      </c>
      <c r="J31">
        <v>1</v>
      </c>
      <c r="K31">
        <f>YEAR(NetflixData[[#This Row],[date]])</f>
        <v>2018</v>
      </c>
      <c r="L31" t="str">
        <f>TEXT(NetflixData[[#This Row],[date]],"mmm")</f>
        <v>Oct</v>
      </c>
      <c r="M31" t="str">
        <f>TEXT(NetflixData[[#This Row],[date]],"mmm yyyy")</f>
        <v>Oct 2018</v>
      </c>
      <c r="N31" t="str">
        <f t="shared" si="0"/>
        <v>Trading Day</v>
      </c>
      <c r="O31" t="str">
        <f t="shared" si="1"/>
        <v>Negative</v>
      </c>
      <c r="P31" t="str">
        <f t="shared" si="2"/>
        <v>Positive</v>
      </c>
    </row>
    <row r="32" spans="1:16" x14ac:dyDescent="0.3">
      <c r="A32" s="1">
        <v>43385</v>
      </c>
      <c r="B32">
        <v>33.96</v>
      </c>
      <c r="C32">
        <v>148708000</v>
      </c>
      <c r="D32">
        <v>-3.0000000000000001E-3</v>
      </c>
      <c r="E32">
        <v>57</v>
      </c>
      <c r="F32">
        <v>3.04</v>
      </c>
      <c r="G32">
        <v>0.26640000000000003</v>
      </c>
      <c r="H32">
        <v>11</v>
      </c>
      <c r="I32">
        <v>7.3</v>
      </c>
      <c r="J32">
        <v>1</v>
      </c>
      <c r="K32">
        <f>YEAR(NetflixData[[#This Row],[date]])</f>
        <v>2018</v>
      </c>
      <c r="L32" t="str">
        <f>TEXT(NetflixData[[#This Row],[date]],"mmm")</f>
        <v>Oct</v>
      </c>
      <c r="M32" t="str">
        <f>TEXT(NetflixData[[#This Row],[date]],"mmm yyyy")</f>
        <v>Oct 2018</v>
      </c>
      <c r="N32" t="str">
        <f t="shared" si="0"/>
        <v>Non-Trading Day</v>
      </c>
      <c r="O32" t="str">
        <f t="shared" si="1"/>
        <v>Negative</v>
      </c>
      <c r="P32" t="str">
        <f t="shared" si="2"/>
        <v>Positive</v>
      </c>
    </row>
    <row r="33" spans="1:16" x14ac:dyDescent="0.3">
      <c r="A33" s="1">
        <v>43386</v>
      </c>
      <c r="B33">
        <v>33.96</v>
      </c>
      <c r="C33">
        <v>0</v>
      </c>
      <c r="D33">
        <v>0</v>
      </c>
      <c r="E33">
        <v>66</v>
      </c>
      <c r="F33">
        <v>3.39</v>
      </c>
      <c r="G33">
        <v>0.28789999999999999</v>
      </c>
      <c r="H33">
        <v>1</v>
      </c>
      <c r="I33">
        <v>7.3</v>
      </c>
      <c r="J33">
        <v>0</v>
      </c>
      <c r="K33">
        <f>YEAR(NetflixData[[#This Row],[date]])</f>
        <v>2018</v>
      </c>
      <c r="L33" t="str">
        <f>TEXT(NetflixData[[#This Row],[date]],"mmm")</f>
        <v>Oct</v>
      </c>
      <c r="M33" t="str">
        <f>TEXT(NetflixData[[#This Row],[date]],"mmm yyyy")</f>
        <v>Oct 2018</v>
      </c>
      <c r="N33" t="str">
        <f t="shared" si="0"/>
        <v>Non-Trading Day</v>
      </c>
      <c r="O33" t="str">
        <f t="shared" si="1"/>
        <v>No Change</v>
      </c>
      <c r="P33" t="str">
        <f t="shared" si="2"/>
        <v>Positive</v>
      </c>
    </row>
    <row r="34" spans="1:16" x14ac:dyDescent="0.3">
      <c r="A34" s="1">
        <v>43387</v>
      </c>
      <c r="B34">
        <v>33.96</v>
      </c>
      <c r="C34">
        <v>0</v>
      </c>
      <c r="D34">
        <v>0</v>
      </c>
      <c r="E34">
        <v>65</v>
      </c>
      <c r="F34">
        <v>3.26</v>
      </c>
      <c r="G34">
        <v>0.28720000000000001</v>
      </c>
      <c r="H34">
        <v>0</v>
      </c>
      <c r="J34">
        <v>0</v>
      </c>
      <c r="K34">
        <f>YEAR(NetflixData[[#This Row],[date]])</f>
        <v>2018</v>
      </c>
      <c r="L34" t="str">
        <f>TEXT(NetflixData[[#This Row],[date]],"mmm")</f>
        <v>Oct</v>
      </c>
      <c r="M34" t="str">
        <f>TEXT(NetflixData[[#This Row],[date]],"mmm yyyy")</f>
        <v>Oct 2018</v>
      </c>
      <c r="N34" t="str">
        <f t="shared" si="0"/>
        <v>Trading Day</v>
      </c>
      <c r="O34" t="str">
        <f t="shared" si="1"/>
        <v>No Change</v>
      </c>
      <c r="P34" t="str">
        <f t="shared" si="2"/>
        <v>Positive</v>
      </c>
    </row>
    <row r="35" spans="1:16" x14ac:dyDescent="0.3">
      <c r="A35" s="1">
        <v>43388</v>
      </c>
      <c r="B35">
        <v>33.31</v>
      </c>
      <c r="C35">
        <v>112150000</v>
      </c>
      <c r="D35">
        <v>-1.333</v>
      </c>
      <c r="E35">
        <v>55</v>
      </c>
      <c r="F35">
        <v>3.04</v>
      </c>
      <c r="G35">
        <v>0.26190000000000002</v>
      </c>
      <c r="H35">
        <v>5</v>
      </c>
      <c r="I35">
        <v>6.15</v>
      </c>
      <c r="J35">
        <v>1</v>
      </c>
      <c r="K35">
        <f>YEAR(NetflixData[[#This Row],[date]])</f>
        <v>2018</v>
      </c>
      <c r="L35" t="str">
        <f>TEXT(NetflixData[[#This Row],[date]],"mmm")</f>
        <v>Oct</v>
      </c>
      <c r="M35" t="str">
        <f>TEXT(NetflixData[[#This Row],[date]],"mmm yyyy")</f>
        <v>Oct 2018</v>
      </c>
      <c r="N35" t="str">
        <f t="shared" si="0"/>
        <v>Trading Day</v>
      </c>
      <c r="O35" t="str">
        <f t="shared" si="1"/>
        <v>Negative</v>
      </c>
      <c r="P35" t="str">
        <f t="shared" si="2"/>
        <v>Positive</v>
      </c>
    </row>
    <row r="36" spans="1:16" x14ac:dyDescent="0.3">
      <c r="A36" s="1">
        <v>43389</v>
      </c>
      <c r="B36">
        <v>34.64</v>
      </c>
      <c r="C36">
        <v>201564000</v>
      </c>
      <c r="D36">
        <v>2.7160000000000002</v>
      </c>
      <c r="E36">
        <v>40</v>
      </c>
      <c r="F36">
        <v>2.62</v>
      </c>
      <c r="G36">
        <v>0.2021</v>
      </c>
      <c r="H36">
        <v>2</v>
      </c>
      <c r="I36">
        <v>3.6</v>
      </c>
      <c r="J36">
        <v>1</v>
      </c>
      <c r="K36">
        <f>YEAR(NetflixData[[#This Row],[date]])</f>
        <v>2018</v>
      </c>
      <c r="L36" t="str">
        <f>TEXT(NetflixData[[#This Row],[date]],"mmm")</f>
        <v>Oct</v>
      </c>
      <c r="M36" t="str">
        <f>TEXT(NetflixData[[#This Row],[date]],"mmm yyyy")</f>
        <v>Oct 2018</v>
      </c>
      <c r="N36" t="str">
        <f t="shared" si="0"/>
        <v>Trading Day</v>
      </c>
      <c r="O36" t="str">
        <f t="shared" si="1"/>
        <v>Positive</v>
      </c>
      <c r="P36" t="str">
        <f t="shared" si="2"/>
        <v>Positive</v>
      </c>
    </row>
    <row r="37" spans="1:16" x14ac:dyDescent="0.3">
      <c r="A37" s="1">
        <v>43390</v>
      </c>
      <c r="B37">
        <v>36.47</v>
      </c>
      <c r="C37">
        <v>326109000</v>
      </c>
      <c r="D37">
        <v>-3.6030000000000002</v>
      </c>
      <c r="E37">
        <v>40</v>
      </c>
      <c r="F37">
        <v>2.98</v>
      </c>
      <c r="G37">
        <v>0.1789</v>
      </c>
      <c r="H37">
        <v>2</v>
      </c>
      <c r="I37">
        <v>7.1</v>
      </c>
      <c r="J37">
        <v>1</v>
      </c>
      <c r="K37">
        <f>YEAR(NetflixData[[#This Row],[date]])</f>
        <v>2018</v>
      </c>
      <c r="L37" t="str">
        <f>TEXT(NetflixData[[#This Row],[date]],"mmm")</f>
        <v>Oct</v>
      </c>
      <c r="M37" t="str">
        <f>TEXT(NetflixData[[#This Row],[date]],"mmm yyyy")</f>
        <v>Oct 2018</v>
      </c>
      <c r="N37" t="str">
        <f t="shared" si="0"/>
        <v>Trading Day</v>
      </c>
      <c r="O37" t="str">
        <f t="shared" si="1"/>
        <v>Negative</v>
      </c>
      <c r="P37" t="str">
        <f t="shared" si="2"/>
        <v>Positive</v>
      </c>
    </row>
    <row r="38" spans="1:16" x14ac:dyDescent="0.3">
      <c r="A38" s="1">
        <v>43391</v>
      </c>
      <c r="B38">
        <v>34.67</v>
      </c>
      <c r="C38">
        <v>184610000</v>
      </c>
      <c r="D38">
        <v>-3.871</v>
      </c>
      <c r="E38">
        <v>62</v>
      </c>
      <c r="F38">
        <v>3.05</v>
      </c>
      <c r="G38">
        <v>0.29759999999999998</v>
      </c>
      <c r="H38">
        <v>1</v>
      </c>
      <c r="I38">
        <v>5.0999999999999996</v>
      </c>
      <c r="J38">
        <v>1</v>
      </c>
      <c r="K38">
        <f>YEAR(NetflixData[[#This Row],[date]])</f>
        <v>2018</v>
      </c>
      <c r="L38" t="str">
        <f>TEXT(NetflixData[[#This Row],[date]],"mmm")</f>
        <v>Oct</v>
      </c>
      <c r="M38" t="str">
        <f>TEXT(NetflixData[[#This Row],[date]],"mmm yyyy")</f>
        <v>Oct 2018</v>
      </c>
      <c r="N38" t="str">
        <f t="shared" si="0"/>
        <v>Trading Day</v>
      </c>
      <c r="O38" t="str">
        <f t="shared" si="1"/>
        <v>Negative</v>
      </c>
      <c r="P38" t="str">
        <f t="shared" si="2"/>
        <v>Positive</v>
      </c>
    </row>
    <row r="39" spans="1:16" x14ac:dyDescent="0.3">
      <c r="A39" s="1">
        <v>43392</v>
      </c>
      <c r="B39">
        <v>33.270000000000003</v>
      </c>
      <c r="C39">
        <v>167172000</v>
      </c>
      <c r="D39">
        <v>-5.2220000000000004</v>
      </c>
      <c r="E39">
        <v>45</v>
      </c>
      <c r="F39">
        <v>3.24</v>
      </c>
      <c r="G39">
        <v>0.2351</v>
      </c>
      <c r="H39">
        <v>18</v>
      </c>
      <c r="I39">
        <v>6.84</v>
      </c>
      <c r="J39">
        <v>1</v>
      </c>
      <c r="K39">
        <f>YEAR(NetflixData[[#This Row],[date]])</f>
        <v>2018</v>
      </c>
      <c r="L39" t="str">
        <f>TEXT(NetflixData[[#This Row],[date]],"mmm")</f>
        <v>Oct</v>
      </c>
      <c r="M39" t="str">
        <f>TEXT(NetflixData[[#This Row],[date]],"mmm yyyy")</f>
        <v>Oct 2018</v>
      </c>
      <c r="N39" t="str">
        <f t="shared" si="0"/>
        <v>Non-Trading Day</v>
      </c>
      <c r="O39" t="str">
        <f t="shared" si="1"/>
        <v>Negative</v>
      </c>
      <c r="P39" t="str">
        <f t="shared" si="2"/>
        <v>Positive</v>
      </c>
    </row>
    <row r="40" spans="1:16" x14ac:dyDescent="0.3">
      <c r="A40" s="1">
        <v>43393</v>
      </c>
      <c r="B40">
        <v>33.270000000000003</v>
      </c>
      <c r="C40">
        <v>0</v>
      </c>
      <c r="D40">
        <v>0</v>
      </c>
      <c r="E40">
        <v>68</v>
      </c>
      <c r="F40">
        <v>2.9</v>
      </c>
      <c r="G40">
        <v>0.1847</v>
      </c>
      <c r="H40">
        <v>2</v>
      </c>
      <c r="I40">
        <v>6.95</v>
      </c>
      <c r="J40">
        <v>0</v>
      </c>
      <c r="K40">
        <f>YEAR(NetflixData[[#This Row],[date]])</f>
        <v>2018</v>
      </c>
      <c r="L40" t="str">
        <f>TEXT(NetflixData[[#This Row],[date]],"mmm")</f>
        <v>Oct</v>
      </c>
      <c r="M40" t="str">
        <f>TEXT(NetflixData[[#This Row],[date]],"mmm yyyy")</f>
        <v>Oct 2018</v>
      </c>
      <c r="N40" t="str">
        <f t="shared" si="0"/>
        <v>Non-Trading Day</v>
      </c>
      <c r="O40" t="str">
        <f t="shared" si="1"/>
        <v>No Change</v>
      </c>
      <c r="P40" t="str">
        <f t="shared" si="2"/>
        <v>Positive</v>
      </c>
    </row>
    <row r="41" spans="1:16" x14ac:dyDescent="0.3">
      <c r="A41" s="1">
        <v>43394</v>
      </c>
      <c r="B41">
        <v>33.270000000000003</v>
      </c>
      <c r="C41">
        <v>0</v>
      </c>
      <c r="D41">
        <v>0</v>
      </c>
      <c r="E41">
        <v>63</v>
      </c>
      <c r="F41">
        <v>3.06</v>
      </c>
      <c r="G41">
        <v>0.17330000000000001</v>
      </c>
      <c r="H41">
        <v>1</v>
      </c>
      <c r="I41">
        <v>7.9</v>
      </c>
      <c r="J41">
        <v>0</v>
      </c>
      <c r="K41">
        <f>YEAR(NetflixData[[#This Row],[date]])</f>
        <v>2018</v>
      </c>
      <c r="L41" t="str">
        <f>TEXT(NetflixData[[#This Row],[date]],"mmm")</f>
        <v>Oct</v>
      </c>
      <c r="M41" t="str">
        <f>TEXT(NetflixData[[#This Row],[date]],"mmm yyyy")</f>
        <v>Oct 2018</v>
      </c>
      <c r="N41" t="str">
        <f t="shared" si="0"/>
        <v>Trading Day</v>
      </c>
      <c r="O41" t="str">
        <f t="shared" si="1"/>
        <v>No Change</v>
      </c>
      <c r="P41" t="str">
        <f t="shared" si="2"/>
        <v>Positive</v>
      </c>
    </row>
    <row r="42" spans="1:16" x14ac:dyDescent="0.3">
      <c r="A42" s="1">
        <v>43395</v>
      </c>
      <c r="B42">
        <v>32.950000000000003</v>
      </c>
      <c r="C42">
        <v>170972000</v>
      </c>
      <c r="D42">
        <v>-1.069</v>
      </c>
      <c r="E42">
        <v>66</v>
      </c>
      <c r="F42">
        <v>3.45</v>
      </c>
      <c r="G42">
        <v>0.32429999999999998</v>
      </c>
      <c r="H42">
        <v>1</v>
      </c>
      <c r="I42">
        <v>7.2</v>
      </c>
      <c r="J42">
        <v>1</v>
      </c>
      <c r="K42">
        <f>YEAR(NetflixData[[#This Row],[date]])</f>
        <v>2018</v>
      </c>
      <c r="L42" t="str">
        <f>TEXT(NetflixData[[#This Row],[date]],"mmm")</f>
        <v>Oct</v>
      </c>
      <c r="M42" t="str">
        <f>TEXT(NetflixData[[#This Row],[date]],"mmm yyyy")</f>
        <v>Oct 2018</v>
      </c>
      <c r="N42" t="str">
        <f t="shared" si="0"/>
        <v>Trading Day</v>
      </c>
      <c r="O42" t="str">
        <f t="shared" si="1"/>
        <v>Negative</v>
      </c>
      <c r="P42" t="str">
        <f t="shared" si="2"/>
        <v>Positive</v>
      </c>
    </row>
    <row r="43" spans="1:16" x14ac:dyDescent="0.3">
      <c r="A43" s="1">
        <v>43396</v>
      </c>
      <c r="B43">
        <v>33.32</v>
      </c>
      <c r="C43">
        <v>149073000</v>
      </c>
      <c r="D43">
        <v>4.7670000000000003</v>
      </c>
      <c r="E43">
        <v>42</v>
      </c>
      <c r="F43">
        <v>3.19</v>
      </c>
      <c r="G43">
        <v>0.34570000000000001</v>
      </c>
      <c r="H43">
        <v>4</v>
      </c>
      <c r="I43">
        <v>7.35</v>
      </c>
      <c r="J43">
        <v>1</v>
      </c>
      <c r="K43">
        <f>YEAR(NetflixData[[#This Row],[date]])</f>
        <v>2018</v>
      </c>
      <c r="L43" t="str">
        <f>TEXT(NetflixData[[#This Row],[date]],"mmm")</f>
        <v>Oct</v>
      </c>
      <c r="M43" t="str">
        <f>TEXT(NetflixData[[#This Row],[date]],"mmm yyyy")</f>
        <v>Oct 2018</v>
      </c>
      <c r="N43" t="str">
        <f t="shared" si="0"/>
        <v>Trading Day</v>
      </c>
      <c r="O43" t="str">
        <f t="shared" si="1"/>
        <v>Positive</v>
      </c>
      <c r="P43" t="str">
        <f t="shared" si="2"/>
        <v>Positive</v>
      </c>
    </row>
    <row r="44" spans="1:16" x14ac:dyDescent="0.3">
      <c r="A44" s="1">
        <v>43397</v>
      </c>
      <c r="B44">
        <v>30.18</v>
      </c>
      <c r="C44">
        <v>190393000</v>
      </c>
      <c r="D44">
        <v>-9.1639999999999997</v>
      </c>
      <c r="E44">
        <v>48</v>
      </c>
      <c r="F44">
        <v>3.25</v>
      </c>
      <c r="G44">
        <v>0.36770000000000003</v>
      </c>
      <c r="H44">
        <v>1</v>
      </c>
      <c r="J44">
        <v>1</v>
      </c>
      <c r="K44">
        <f>YEAR(NetflixData[[#This Row],[date]])</f>
        <v>2018</v>
      </c>
      <c r="L44" t="str">
        <f>TEXT(NetflixData[[#This Row],[date]],"mmm")</f>
        <v>Oct</v>
      </c>
      <c r="M44" t="str">
        <f>TEXT(NetflixData[[#This Row],[date]],"mmm yyyy")</f>
        <v>Oct 2018</v>
      </c>
      <c r="N44" t="str">
        <f t="shared" si="0"/>
        <v>Trading Day</v>
      </c>
      <c r="O44" t="str">
        <f t="shared" si="1"/>
        <v>Negative</v>
      </c>
      <c r="P44" t="str">
        <f t="shared" si="2"/>
        <v>Positive</v>
      </c>
    </row>
    <row r="45" spans="1:16" x14ac:dyDescent="0.3">
      <c r="A45" s="1">
        <v>43398</v>
      </c>
      <c r="B45">
        <v>31.29</v>
      </c>
      <c r="C45">
        <v>133469000</v>
      </c>
      <c r="D45">
        <v>1.8720000000000001</v>
      </c>
      <c r="E45">
        <v>30</v>
      </c>
      <c r="F45">
        <v>3.1</v>
      </c>
      <c r="G45">
        <v>0.23699999999999999</v>
      </c>
      <c r="H45">
        <v>4</v>
      </c>
      <c r="I45">
        <v>6.83</v>
      </c>
      <c r="J45">
        <v>1</v>
      </c>
      <c r="K45">
        <f>YEAR(NetflixData[[#This Row],[date]])</f>
        <v>2018</v>
      </c>
      <c r="L45" t="str">
        <f>TEXT(NetflixData[[#This Row],[date]],"mmm")</f>
        <v>Oct</v>
      </c>
      <c r="M45" t="str">
        <f>TEXT(NetflixData[[#This Row],[date]],"mmm yyyy")</f>
        <v>Oct 2018</v>
      </c>
      <c r="N45" t="str">
        <f t="shared" si="0"/>
        <v>Trading Day</v>
      </c>
      <c r="O45" t="str">
        <f t="shared" si="1"/>
        <v>Positive</v>
      </c>
      <c r="P45" t="str">
        <f t="shared" si="2"/>
        <v>Positive</v>
      </c>
    </row>
    <row r="46" spans="1:16" x14ac:dyDescent="0.3">
      <c r="A46" s="1">
        <v>43399</v>
      </c>
      <c r="B46">
        <v>29.98</v>
      </c>
      <c r="C46">
        <v>196160000</v>
      </c>
      <c r="D46">
        <v>-0.22600000000000001</v>
      </c>
      <c r="E46">
        <v>42</v>
      </c>
      <c r="F46">
        <v>3.24</v>
      </c>
      <c r="G46">
        <v>0.32719999999999999</v>
      </c>
      <c r="H46">
        <v>8</v>
      </c>
      <c r="I46">
        <v>5.64</v>
      </c>
      <c r="J46">
        <v>1</v>
      </c>
      <c r="K46">
        <f>YEAR(NetflixData[[#This Row],[date]])</f>
        <v>2018</v>
      </c>
      <c r="L46" t="str">
        <f>TEXT(NetflixData[[#This Row],[date]],"mmm")</f>
        <v>Oct</v>
      </c>
      <c r="M46" t="str">
        <f>TEXT(NetflixData[[#This Row],[date]],"mmm yyyy")</f>
        <v>Oct 2018</v>
      </c>
      <c r="N46" t="str">
        <f t="shared" si="0"/>
        <v>Non-Trading Day</v>
      </c>
      <c r="O46" t="str">
        <f t="shared" si="1"/>
        <v>Negative</v>
      </c>
      <c r="P46" t="str">
        <f t="shared" si="2"/>
        <v>Positive</v>
      </c>
    </row>
    <row r="47" spans="1:16" x14ac:dyDescent="0.3">
      <c r="A47" s="1">
        <v>43400</v>
      </c>
      <c r="B47">
        <v>29.98</v>
      </c>
      <c r="C47">
        <v>0</v>
      </c>
      <c r="D47">
        <v>0</v>
      </c>
      <c r="E47">
        <v>44</v>
      </c>
      <c r="F47">
        <v>2.98</v>
      </c>
      <c r="G47">
        <v>0.20300000000000001</v>
      </c>
      <c r="H47">
        <v>2</v>
      </c>
      <c r="I47">
        <v>5.4</v>
      </c>
      <c r="J47">
        <v>0</v>
      </c>
      <c r="K47">
        <f>YEAR(NetflixData[[#This Row],[date]])</f>
        <v>2018</v>
      </c>
      <c r="L47" t="str">
        <f>TEXT(NetflixData[[#This Row],[date]],"mmm")</f>
        <v>Oct</v>
      </c>
      <c r="M47" t="str">
        <f>TEXT(NetflixData[[#This Row],[date]],"mmm yyyy")</f>
        <v>Oct 2018</v>
      </c>
      <c r="N47" t="str">
        <f t="shared" si="0"/>
        <v>Non-Trading Day</v>
      </c>
      <c r="O47" t="str">
        <f t="shared" si="1"/>
        <v>No Change</v>
      </c>
      <c r="P47" t="str">
        <f t="shared" si="2"/>
        <v>Positive</v>
      </c>
    </row>
    <row r="48" spans="1:16" x14ac:dyDescent="0.3">
      <c r="A48" s="1">
        <v>43401</v>
      </c>
      <c r="B48">
        <v>29.98</v>
      </c>
      <c r="C48">
        <v>0</v>
      </c>
      <c r="D48">
        <v>0</v>
      </c>
      <c r="E48">
        <v>51</v>
      </c>
      <c r="F48">
        <v>3.27</v>
      </c>
      <c r="G48">
        <v>0.30099999999999999</v>
      </c>
      <c r="H48">
        <v>1</v>
      </c>
      <c r="I48">
        <v>6</v>
      </c>
      <c r="J48">
        <v>0</v>
      </c>
      <c r="K48">
        <f>YEAR(NetflixData[[#This Row],[date]])</f>
        <v>2018</v>
      </c>
      <c r="L48" t="str">
        <f>TEXT(NetflixData[[#This Row],[date]],"mmm")</f>
        <v>Oct</v>
      </c>
      <c r="M48" t="str">
        <f>TEXT(NetflixData[[#This Row],[date]],"mmm yyyy")</f>
        <v>Oct 2018</v>
      </c>
      <c r="N48" t="str">
        <f t="shared" si="0"/>
        <v>Trading Day</v>
      </c>
      <c r="O48" t="str">
        <f t="shared" si="1"/>
        <v>No Change</v>
      </c>
      <c r="P48" t="str">
        <f t="shared" si="2"/>
        <v>Positive</v>
      </c>
    </row>
    <row r="49" spans="1:16" x14ac:dyDescent="0.3">
      <c r="A49" s="1">
        <v>43402</v>
      </c>
      <c r="B49">
        <v>28.48</v>
      </c>
      <c r="C49">
        <v>216988000</v>
      </c>
      <c r="D49">
        <v>-6.6890000000000001</v>
      </c>
      <c r="E49">
        <v>42</v>
      </c>
      <c r="F49">
        <v>3.19</v>
      </c>
      <c r="G49">
        <v>0.16500000000000001</v>
      </c>
      <c r="H49">
        <v>1</v>
      </c>
      <c r="J49">
        <v>1</v>
      </c>
      <c r="K49">
        <f>YEAR(NetflixData[[#This Row],[date]])</f>
        <v>2018</v>
      </c>
      <c r="L49" t="str">
        <f>TEXT(NetflixData[[#This Row],[date]],"mmm")</f>
        <v>Oct</v>
      </c>
      <c r="M49" t="str">
        <f>TEXT(NetflixData[[#This Row],[date]],"mmm yyyy")</f>
        <v>Oct 2018</v>
      </c>
      <c r="N49" t="str">
        <f t="shared" si="0"/>
        <v>Trading Day</v>
      </c>
      <c r="O49" t="str">
        <f t="shared" si="1"/>
        <v>Negative</v>
      </c>
      <c r="P49" t="str">
        <f t="shared" si="2"/>
        <v>Positive</v>
      </c>
    </row>
    <row r="50" spans="1:16" x14ac:dyDescent="0.3">
      <c r="A50" s="1">
        <v>43403</v>
      </c>
      <c r="B50">
        <v>28.58</v>
      </c>
      <c r="C50">
        <v>236857000</v>
      </c>
      <c r="D50">
        <v>3.7160000000000002</v>
      </c>
      <c r="E50">
        <v>90</v>
      </c>
      <c r="F50">
        <v>2.7</v>
      </c>
      <c r="G50">
        <v>6.6699999999999995E-2</v>
      </c>
      <c r="H50">
        <v>5</v>
      </c>
      <c r="I50">
        <v>6.2</v>
      </c>
      <c r="J50">
        <v>1</v>
      </c>
      <c r="K50">
        <f>YEAR(NetflixData[[#This Row],[date]])</f>
        <v>2018</v>
      </c>
      <c r="L50" t="str">
        <f>TEXT(NetflixData[[#This Row],[date]],"mmm")</f>
        <v>Oct</v>
      </c>
      <c r="M50" t="str">
        <f>TEXT(NetflixData[[#This Row],[date]],"mmm yyyy")</f>
        <v>Oct 2018</v>
      </c>
      <c r="N50" t="str">
        <f t="shared" si="0"/>
        <v>Trading Day</v>
      </c>
      <c r="O50" t="str">
        <f t="shared" si="1"/>
        <v>Positive</v>
      </c>
      <c r="P50" t="str">
        <f t="shared" si="2"/>
        <v>Neutral</v>
      </c>
    </row>
    <row r="51" spans="1:16" x14ac:dyDescent="0.3">
      <c r="A51" s="1">
        <v>43404</v>
      </c>
      <c r="B51">
        <v>30.18</v>
      </c>
      <c r="C51">
        <v>203603000</v>
      </c>
      <c r="D51">
        <v>1.347</v>
      </c>
      <c r="E51">
        <v>73</v>
      </c>
      <c r="F51">
        <v>3.22</v>
      </c>
      <c r="G51">
        <v>1.3899999999999999E-2</v>
      </c>
      <c r="H51">
        <v>2</v>
      </c>
      <c r="I51">
        <v>6.85</v>
      </c>
      <c r="J51">
        <v>1</v>
      </c>
      <c r="K51">
        <f>YEAR(NetflixData[[#This Row],[date]])</f>
        <v>2018</v>
      </c>
      <c r="L51" t="str">
        <f>TEXT(NetflixData[[#This Row],[date]],"mmm")</f>
        <v>Oct</v>
      </c>
      <c r="M51" t="str">
        <f>TEXT(NetflixData[[#This Row],[date]],"mmm yyyy")</f>
        <v>Oct 2018</v>
      </c>
      <c r="N51" t="str">
        <f t="shared" si="0"/>
        <v>Trading Day</v>
      </c>
      <c r="O51" t="str">
        <f t="shared" si="1"/>
        <v>Positive</v>
      </c>
      <c r="P51" t="str">
        <f t="shared" si="2"/>
        <v>Neutral</v>
      </c>
    </row>
    <row r="52" spans="1:16" x14ac:dyDescent="0.3">
      <c r="A52" s="1">
        <v>43405</v>
      </c>
      <c r="B52">
        <v>31.74</v>
      </c>
      <c r="C52">
        <v>151215000</v>
      </c>
      <c r="D52">
        <v>4.1989999999999998</v>
      </c>
      <c r="E52">
        <v>71</v>
      </c>
      <c r="F52">
        <v>3.51</v>
      </c>
      <c r="G52">
        <v>0.2606</v>
      </c>
      <c r="H52">
        <v>61</v>
      </c>
      <c r="I52">
        <v>6.26</v>
      </c>
      <c r="J52">
        <v>1</v>
      </c>
      <c r="K52">
        <f>YEAR(NetflixData[[#This Row],[date]])</f>
        <v>2018</v>
      </c>
      <c r="L52" t="str">
        <f>TEXT(NetflixData[[#This Row],[date]],"mmm")</f>
        <v>Nov</v>
      </c>
      <c r="M52" t="str">
        <f>TEXT(NetflixData[[#This Row],[date]],"mmm yyyy")</f>
        <v>Nov 2018</v>
      </c>
      <c r="N52" t="str">
        <f t="shared" si="0"/>
        <v>Trading Day</v>
      </c>
      <c r="O52" t="str">
        <f t="shared" si="1"/>
        <v>Positive</v>
      </c>
      <c r="P52" t="str">
        <f t="shared" si="2"/>
        <v>Positive</v>
      </c>
    </row>
    <row r="53" spans="1:16" x14ac:dyDescent="0.3">
      <c r="A53" s="1">
        <v>43406</v>
      </c>
      <c r="B53">
        <v>30.91</v>
      </c>
      <c r="C53">
        <v>134046000</v>
      </c>
      <c r="D53">
        <v>-2.7989999999999999</v>
      </c>
      <c r="E53">
        <v>57</v>
      </c>
      <c r="F53">
        <v>3.16</v>
      </c>
      <c r="G53">
        <v>0.1857</v>
      </c>
      <c r="H53">
        <v>8</v>
      </c>
      <c r="I53">
        <v>6.78</v>
      </c>
      <c r="J53">
        <v>1</v>
      </c>
      <c r="K53">
        <f>YEAR(NetflixData[[#This Row],[date]])</f>
        <v>2018</v>
      </c>
      <c r="L53" t="str">
        <f>TEXT(NetflixData[[#This Row],[date]],"mmm")</f>
        <v>Nov</v>
      </c>
      <c r="M53" t="str">
        <f>TEXT(NetflixData[[#This Row],[date]],"mmm yyyy")</f>
        <v>Nov 2018</v>
      </c>
      <c r="N53" t="str">
        <f t="shared" si="0"/>
        <v>Non-Trading Day</v>
      </c>
      <c r="O53" t="str">
        <f t="shared" si="1"/>
        <v>Negative</v>
      </c>
      <c r="P53" t="str">
        <f t="shared" si="2"/>
        <v>Positive</v>
      </c>
    </row>
    <row r="54" spans="1:16" x14ac:dyDescent="0.3">
      <c r="A54" s="1">
        <v>43407</v>
      </c>
      <c r="B54">
        <v>30.91</v>
      </c>
      <c r="C54">
        <v>0</v>
      </c>
      <c r="D54">
        <v>0</v>
      </c>
      <c r="E54">
        <v>52</v>
      </c>
      <c r="F54">
        <v>2.77</v>
      </c>
      <c r="G54">
        <v>0.1865</v>
      </c>
      <c r="H54">
        <v>2</v>
      </c>
      <c r="I54">
        <v>4.7</v>
      </c>
      <c r="J54">
        <v>0</v>
      </c>
      <c r="K54">
        <f>YEAR(NetflixData[[#This Row],[date]])</f>
        <v>2018</v>
      </c>
      <c r="L54" t="str">
        <f>TEXT(NetflixData[[#This Row],[date]],"mmm")</f>
        <v>Nov</v>
      </c>
      <c r="M54" t="str">
        <f>TEXT(NetflixData[[#This Row],[date]],"mmm yyyy")</f>
        <v>Nov 2018</v>
      </c>
      <c r="N54" t="str">
        <f t="shared" si="0"/>
        <v>Non-Trading Day</v>
      </c>
      <c r="O54" t="str">
        <f t="shared" si="1"/>
        <v>No Change</v>
      </c>
      <c r="P54" t="str">
        <f t="shared" si="2"/>
        <v>Positive</v>
      </c>
    </row>
    <row r="55" spans="1:16" x14ac:dyDescent="0.3">
      <c r="A55" s="1">
        <v>43408</v>
      </c>
      <c r="B55">
        <v>30.91</v>
      </c>
      <c r="C55">
        <v>0</v>
      </c>
      <c r="D55">
        <v>0</v>
      </c>
      <c r="E55">
        <v>58</v>
      </c>
      <c r="F55">
        <v>3.07</v>
      </c>
      <c r="G55">
        <v>0.14000000000000001</v>
      </c>
      <c r="H55">
        <v>0</v>
      </c>
      <c r="J55">
        <v>0</v>
      </c>
      <c r="K55">
        <f>YEAR(NetflixData[[#This Row],[date]])</f>
        <v>2018</v>
      </c>
      <c r="L55" t="str">
        <f>TEXT(NetflixData[[#This Row],[date]],"mmm")</f>
        <v>Nov</v>
      </c>
      <c r="M55" t="str">
        <f>TEXT(NetflixData[[#This Row],[date]],"mmm yyyy")</f>
        <v>Nov 2018</v>
      </c>
      <c r="N55" t="str">
        <f t="shared" si="0"/>
        <v>Trading Day</v>
      </c>
      <c r="O55" t="str">
        <f t="shared" si="1"/>
        <v>No Change</v>
      </c>
      <c r="P55" t="str">
        <f t="shared" si="2"/>
        <v>Positive</v>
      </c>
    </row>
    <row r="56" spans="1:16" x14ac:dyDescent="0.3">
      <c r="A56" s="1">
        <v>43409</v>
      </c>
      <c r="B56">
        <v>31.54</v>
      </c>
      <c r="C56">
        <v>102830000</v>
      </c>
      <c r="D56">
        <v>1.395</v>
      </c>
      <c r="E56">
        <v>62</v>
      </c>
      <c r="F56">
        <v>3.5</v>
      </c>
      <c r="G56">
        <v>0.30309999999999998</v>
      </c>
      <c r="H56">
        <v>2</v>
      </c>
      <c r="I56">
        <v>5.7</v>
      </c>
      <c r="J56">
        <v>1</v>
      </c>
      <c r="K56">
        <f>YEAR(NetflixData[[#This Row],[date]])</f>
        <v>2018</v>
      </c>
      <c r="L56" t="str">
        <f>TEXT(NetflixData[[#This Row],[date]],"mmm")</f>
        <v>Nov</v>
      </c>
      <c r="M56" t="str">
        <f>TEXT(NetflixData[[#This Row],[date]],"mmm yyyy")</f>
        <v>Nov 2018</v>
      </c>
      <c r="N56" t="str">
        <f t="shared" si="0"/>
        <v>Trading Day</v>
      </c>
      <c r="O56" t="str">
        <f t="shared" si="1"/>
        <v>Positive</v>
      </c>
      <c r="P56" t="str">
        <f t="shared" si="2"/>
        <v>Positive</v>
      </c>
    </row>
    <row r="57" spans="1:16" x14ac:dyDescent="0.3">
      <c r="A57" s="1">
        <v>43410</v>
      </c>
      <c r="B57">
        <v>31.08</v>
      </c>
      <c r="C57">
        <v>97104000</v>
      </c>
      <c r="D57">
        <v>-1.2450000000000001</v>
      </c>
      <c r="E57">
        <v>38</v>
      </c>
      <c r="F57">
        <v>3.05</v>
      </c>
      <c r="G57">
        <v>0.27010000000000001</v>
      </c>
      <c r="H57">
        <v>0</v>
      </c>
      <c r="J57">
        <v>1</v>
      </c>
      <c r="K57">
        <f>YEAR(NetflixData[[#This Row],[date]])</f>
        <v>2018</v>
      </c>
      <c r="L57" t="str">
        <f>TEXT(NetflixData[[#This Row],[date]],"mmm")</f>
        <v>Nov</v>
      </c>
      <c r="M57" t="str">
        <f>TEXT(NetflixData[[#This Row],[date]],"mmm yyyy")</f>
        <v>Nov 2018</v>
      </c>
      <c r="N57" t="str">
        <f t="shared" si="0"/>
        <v>Trading Day</v>
      </c>
      <c r="O57" t="str">
        <f t="shared" si="1"/>
        <v>Negative</v>
      </c>
      <c r="P57" t="str">
        <f t="shared" si="2"/>
        <v>Positive</v>
      </c>
    </row>
    <row r="58" spans="1:16" x14ac:dyDescent="0.3">
      <c r="A58" s="1">
        <v>43411</v>
      </c>
      <c r="B58">
        <v>32.75</v>
      </c>
      <c r="C58">
        <v>133283000</v>
      </c>
      <c r="D58">
        <v>4.6660000000000004</v>
      </c>
      <c r="E58">
        <v>39</v>
      </c>
      <c r="F58">
        <v>3.26</v>
      </c>
      <c r="G58">
        <v>0.26500000000000001</v>
      </c>
      <c r="H58">
        <v>3</v>
      </c>
      <c r="I58">
        <v>6.83</v>
      </c>
      <c r="J58">
        <v>1</v>
      </c>
      <c r="K58">
        <f>YEAR(NetflixData[[#This Row],[date]])</f>
        <v>2018</v>
      </c>
      <c r="L58" t="str">
        <f>TEXT(NetflixData[[#This Row],[date]],"mmm")</f>
        <v>Nov</v>
      </c>
      <c r="M58" t="str">
        <f>TEXT(NetflixData[[#This Row],[date]],"mmm yyyy")</f>
        <v>Nov 2018</v>
      </c>
      <c r="N58" t="str">
        <f t="shared" si="0"/>
        <v>Trading Day</v>
      </c>
      <c r="O58" t="str">
        <f t="shared" si="1"/>
        <v>Positive</v>
      </c>
      <c r="P58" t="str">
        <f t="shared" si="2"/>
        <v>Positive</v>
      </c>
    </row>
    <row r="59" spans="1:16" x14ac:dyDescent="0.3">
      <c r="A59" s="1">
        <v>43412</v>
      </c>
      <c r="B59">
        <v>31.79</v>
      </c>
      <c r="C59">
        <v>110239000</v>
      </c>
      <c r="D59">
        <v>-3.073</v>
      </c>
      <c r="E59">
        <v>42</v>
      </c>
      <c r="F59">
        <v>3.43</v>
      </c>
      <c r="G59">
        <v>0.3019</v>
      </c>
      <c r="H59">
        <v>6</v>
      </c>
      <c r="I59">
        <v>5.98</v>
      </c>
      <c r="J59">
        <v>1</v>
      </c>
      <c r="K59">
        <f>YEAR(NetflixData[[#This Row],[date]])</f>
        <v>2018</v>
      </c>
      <c r="L59" t="str">
        <f>TEXT(NetflixData[[#This Row],[date]],"mmm")</f>
        <v>Nov</v>
      </c>
      <c r="M59" t="str">
        <f>TEXT(NetflixData[[#This Row],[date]],"mmm yyyy")</f>
        <v>Nov 2018</v>
      </c>
      <c r="N59" t="str">
        <f t="shared" si="0"/>
        <v>Trading Day</v>
      </c>
      <c r="O59" t="str">
        <f t="shared" si="1"/>
        <v>Negative</v>
      </c>
      <c r="P59" t="str">
        <f t="shared" si="2"/>
        <v>Positive</v>
      </c>
    </row>
    <row r="60" spans="1:16" x14ac:dyDescent="0.3">
      <c r="A60" s="1">
        <v>43413</v>
      </c>
      <c r="B60">
        <v>30.35</v>
      </c>
      <c r="C60">
        <v>134808000</v>
      </c>
      <c r="D60">
        <v>-2.4430000000000001</v>
      </c>
      <c r="E60">
        <v>48</v>
      </c>
      <c r="F60">
        <v>3.31</v>
      </c>
      <c r="G60">
        <v>0.33050000000000002</v>
      </c>
      <c r="H60">
        <v>9</v>
      </c>
      <c r="I60">
        <v>6.72</v>
      </c>
      <c r="J60">
        <v>1</v>
      </c>
      <c r="K60">
        <f>YEAR(NetflixData[[#This Row],[date]])</f>
        <v>2018</v>
      </c>
      <c r="L60" t="str">
        <f>TEXT(NetflixData[[#This Row],[date]],"mmm")</f>
        <v>Nov</v>
      </c>
      <c r="M60" t="str">
        <f>TEXT(NetflixData[[#This Row],[date]],"mmm yyyy")</f>
        <v>Nov 2018</v>
      </c>
      <c r="N60" t="str">
        <f t="shared" si="0"/>
        <v>Non-Trading Day</v>
      </c>
      <c r="O60" t="str">
        <f t="shared" si="1"/>
        <v>Negative</v>
      </c>
      <c r="P60" t="str">
        <f t="shared" si="2"/>
        <v>Positive</v>
      </c>
    </row>
    <row r="61" spans="1:16" x14ac:dyDescent="0.3">
      <c r="A61" s="1">
        <v>43414</v>
      </c>
      <c r="B61">
        <v>30.35</v>
      </c>
      <c r="C61">
        <v>0</v>
      </c>
      <c r="D61">
        <v>0</v>
      </c>
      <c r="E61">
        <v>47</v>
      </c>
      <c r="F61">
        <v>3.4</v>
      </c>
      <c r="G61">
        <v>0.34810000000000002</v>
      </c>
      <c r="H61">
        <v>3</v>
      </c>
      <c r="I61">
        <v>5.9</v>
      </c>
      <c r="J61">
        <v>0</v>
      </c>
      <c r="K61">
        <f>YEAR(NetflixData[[#This Row],[date]])</f>
        <v>2018</v>
      </c>
      <c r="L61" t="str">
        <f>TEXT(NetflixData[[#This Row],[date]],"mmm")</f>
        <v>Nov</v>
      </c>
      <c r="M61" t="str">
        <f>TEXT(NetflixData[[#This Row],[date]],"mmm yyyy")</f>
        <v>Nov 2018</v>
      </c>
      <c r="N61" t="str">
        <f t="shared" si="0"/>
        <v>Non-Trading Day</v>
      </c>
      <c r="O61" t="str">
        <f t="shared" si="1"/>
        <v>No Change</v>
      </c>
      <c r="P61" t="str">
        <f t="shared" si="2"/>
        <v>Positive</v>
      </c>
    </row>
    <row r="62" spans="1:16" x14ac:dyDescent="0.3">
      <c r="A62" s="1">
        <v>43415</v>
      </c>
      <c r="B62">
        <v>30.35</v>
      </c>
      <c r="C62">
        <v>0</v>
      </c>
      <c r="D62">
        <v>0</v>
      </c>
      <c r="E62">
        <v>43</v>
      </c>
      <c r="F62">
        <v>3.49</v>
      </c>
      <c r="G62">
        <v>0.33879999999999999</v>
      </c>
      <c r="H62">
        <v>0</v>
      </c>
      <c r="J62">
        <v>0</v>
      </c>
      <c r="K62">
        <f>YEAR(NetflixData[[#This Row],[date]])</f>
        <v>2018</v>
      </c>
      <c r="L62" t="str">
        <f>TEXT(NetflixData[[#This Row],[date]],"mmm")</f>
        <v>Nov</v>
      </c>
      <c r="M62" t="str">
        <f>TEXT(NetflixData[[#This Row],[date]],"mmm yyyy")</f>
        <v>Nov 2018</v>
      </c>
      <c r="N62" t="str">
        <f t="shared" si="0"/>
        <v>Trading Day</v>
      </c>
      <c r="O62" t="str">
        <f t="shared" si="1"/>
        <v>No Change</v>
      </c>
      <c r="P62" t="str">
        <f t="shared" si="2"/>
        <v>Positive</v>
      </c>
    </row>
    <row r="63" spans="1:16" x14ac:dyDescent="0.3">
      <c r="A63" s="1">
        <v>43416</v>
      </c>
      <c r="B63">
        <v>29.41</v>
      </c>
      <c r="C63">
        <v>109248000</v>
      </c>
      <c r="D63">
        <v>-1.9770000000000001</v>
      </c>
      <c r="E63">
        <v>56</v>
      </c>
      <c r="F63">
        <v>3.71</v>
      </c>
      <c r="G63">
        <v>0.36990000000000001</v>
      </c>
      <c r="H63">
        <v>2</v>
      </c>
      <c r="I63">
        <v>6.9</v>
      </c>
      <c r="J63">
        <v>1</v>
      </c>
      <c r="K63">
        <f>YEAR(NetflixData[[#This Row],[date]])</f>
        <v>2018</v>
      </c>
      <c r="L63" t="str">
        <f>TEXT(NetflixData[[#This Row],[date]],"mmm")</f>
        <v>Nov</v>
      </c>
      <c r="M63" t="str">
        <f>TEXT(NetflixData[[#This Row],[date]],"mmm yyyy")</f>
        <v>Nov 2018</v>
      </c>
      <c r="N63" t="str">
        <f t="shared" si="0"/>
        <v>Trading Day</v>
      </c>
      <c r="O63" t="str">
        <f t="shared" si="1"/>
        <v>Negative</v>
      </c>
      <c r="P63" t="str">
        <f t="shared" si="2"/>
        <v>Positive</v>
      </c>
    </row>
    <row r="64" spans="1:16" x14ac:dyDescent="0.3">
      <c r="A64" s="1">
        <v>43417</v>
      </c>
      <c r="B64">
        <v>29.44</v>
      </c>
      <c r="C64">
        <v>122322000</v>
      </c>
      <c r="D64">
        <v>-0.20300000000000001</v>
      </c>
      <c r="E64">
        <v>40</v>
      </c>
      <c r="F64">
        <v>3.6</v>
      </c>
      <c r="G64">
        <v>0.35320000000000001</v>
      </c>
      <c r="H64">
        <v>3</v>
      </c>
      <c r="I64">
        <v>6.43</v>
      </c>
      <c r="J64">
        <v>1</v>
      </c>
      <c r="K64">
        <f>YEAR(NetflixData[[#This Row],[date]])</f>
        <v>2018</v>
      </c>
      <c r="L64" t="str">
        <f>TEXT(NetflixData[[#This Row],[date]],"mmm")</f>
        <v>Nov</v>
      </c>
      <c r="M64" t="str">
        <f>TEXT(NetflixData[[#This Row],[date]],"mmm yyyy")</f>
        <v>Nov 2018</v>
      </c>
      <c r="N64" t="str">
        <f t="shared" si="0"/>
        <v>Trading Day</v>
      </c>
      <c r="O64" t="str">
        <f t="shared" si="1"/>
        <v>Negative</v>
      </c>
      <c r="P64" t="str">
        <f t="shared" si="2"/>
        <v>Positive</v>
      </c>
    </row>
    <row r="65" spans="1:16" x14ac:dyDescent="0.3">
      <c r="A65" s="1">
        <v>43418</v>
      </c>
      <c r="B65">
        <v>28.67</v>
      </c>
      <c r="C65">
        <v>168536000</v>
      </c>
      <c r="D65">
        <v>-4.5510000000000002</v>
      </c>
      <c r="E65">
        <v>48</v>
      </c>
      <c r="F65">
        <v>3.48</v>
      </c>
      <c r="G65">
        <v>0.28720000000000001</v>
      </c>
      <c r="H65">
        <v>0</v>
      </c>
      <c r="J65">
        <v>1</v>
      </c>
      <c r="K65">
        <f>YEAR(NetflixData[[#This Row],[date]])</f>
        <v>2018</v>
      </c>
      <c r="L65" t="str">
        <f>TEXT(NetflixData[[#This Row],[date]],"mmm")</f>
        <v>Nov</v>
      </c>
      <c r="M65" t="str">
        <f>TEXT(NetflixData[[#This Row],[date]],"mmm yyyy")</f>
        <v>Nov 2018</v>
      </c>
      <c r="N65" t="str">
        <f t="shared" si="0"/>
        <v>Trading Day</v>
      </c>
      <c r="O65" t="str">
        <f t="shared" si="1"/>
        <v>Negative</v>
      </c>
      <c r="P65" t="str">
        <f t="shared" si="2"/>
        <v>Positive</v>
      </c>
    </row>
    <row r="66" spans="1:16" x14ac:dyDescent="0.3">
      <c r="A66" s="1">
        <v>43419</v>
      </c>
      <c r="B66">
        <v>29.01</v>
      </c>
      <c r="C66">
        <v>99671000</v>
      </c>
      <c r="D66">
        <v>1.5940000000000001</v>
      </c>
      <c r="E66">
        <v>50</v>
      </c>
      <c r="F66">
        <v>3.94</v>
      </c>
      <c r="G66">
        <v>0.37469999999999998</v>
      </c>
      <c r="H66">
        <v>16</v>
      </c>
      <c r="I66">
        <v>6.32</v>
      </c>
      <c r="J66">
        <v>1</v>
      </c>
      <c r="K66">
        <f>YEAR(NetflixData[[#This Row],[date]])</f>
        <v>2018</v>
      </c>
      <c r="L66" t="str">
        <f>TEXT(NetflixData[[#This Row],[date]],"mmm")</f>
        <v>Nov</v>
      </c>
      <c r="M66" t="str">
        <f>TEXT(NetflixData[[#This Row],[date]],"mmm yyyy")</f>
        <v>Nov 2018</v>
      </c>
      <c r="N66" t="str">
        <f t="shared" ref="N66:N129" si="3">IF(J67=1,"Trading Day","Non-Trading Day")</f>
        <v>Trading Day</v>
      </c>
      <c r="O66" t="str">
        <f t="shared" ref="O66:O129" si="4">IF(D66&gt;0,"Positive",IF(D66&lt;0,"Negative","No Change"))</f>
        <v>Positive</v>
      </c>
      <c r="P66" t="str">
        <f t="shared" ref="P66:P129" si="5">IF(G66&gt;0.1,"Positive",IF(G66&lt;-0.1,"Negative","Neutral"))</f>
        <v>Positive</v>
      </c>
    </row>
    <row r="67" spans="1:16" x14ac:dyDescent="0.3">
      <c r="A67" s="1">
        <v>43420</v>
      </c>
      <c r="B67">
        <v>28.62</v>
      </c>
      <c r="C67">
        <v>90995000</v>
      </c>
      <c r="D67">
        <v>-0.32400000000000001</v>
      </c>
      <c r="E67">
        <v>36</v>
      </c>
      <c r="F67">
        <v>3.75</v>
      </c>
      <c r="G67">
        <v>0.3372</v>
      </c>
      <c r="H67">
        <v>8</v>
      </c>
      <c r="I67">
        <v>6.56</v>
      </c>
      <c r="J67">
        <v>1</v>
      </c>
      <c r="K67">
        <f>YEAR(NetflixData[[#This Row],[date]])</f>
        <v>2018</v>
      </c>
      <c r="L67" t="str">
        <f>TEXT(NetflixData[[#This Row],[date]],"mmm")</f>
        <v>Nov</v>
      </c>
      <c r="M67" t="str">
        <f>TEXT(NetflixData[[#This Row],[date]],"mmm yyyy")</f>
        <v>Nov 2018</v>
      </c>
      <c r="N67" t="str">
        <f t="shared" si="3"/>
        <v>Non-Trading Day</v>
      </c>
      <c r="O67" t="str">
        <f t="shared" si="4"/>
        <v>Negative</v>
      </c>
      <c r="P67" t="str">
        <f t="shared" si="5"/>
        <v>Positive</v>
      </c>
    </row>
    <row r="68" spans="1:16" x14ac:dyDescent="0.3">
      <c r="A68" s="1">
        <v>43421</v>
      </c>
      <c r="B68">
        <v>28.62</v>
      </c>
      <c r="C68">
        <v>0</v>
      </c>
      <c r="D68">
        <v>0</v>
      </c>
      <c r="E68">
        <v>48</v>
      </c>
      <c r="F68">
        <v>3.73</v>
      </c>
      <c r="G68">
        <v>0.2722</v>
      </c>
      <c r="H68">
        <v>3</v>
      </c>
      <c r="I68">
        <v>7.75</v>
      </c>
      <c r="J68">
        <v>0</v>
      </c>
      <c r="K68">
        <f>YEAR(NetflixData[[#This Row],[date]])</f>
        <v>2018</v>
      </c>
      <c r="L68" t="str">
        <f>TEXT(NetflixData[[#This Row],[date]],"mmm")</f>
        <v>Nov</v>
      </c>
      <c r="M68" t="str">
        <f>TEXT(NetflixData[[#This Row],[date]],"mmm yyyy")</f>
        <v>Nov 2018</v>
      </c>
      <c r="N68" t="str">
        <f t="shared" si="3"/>
        <v>Non-Trading Day</v>
      </c>
      <c r="O68" t="str">
        <f t="shared" si="4"/>
        <v>No Change</v>
      </c>
      <c r="P68" t="str">
        <f t="shared" si="5"/>
        <v>Positive</v>
      </c>
    </row>
    <row r="69" spans="1:16" x14ac:dyDescent="0.3">
      <c r="A69" s="1">
        <v>43422</v>
      </c>
      <c r="B69">
        <v>28.62</v>
      </c>
      <c r="C69">
        <v>0</v>
      </c>
      <c r="D69">
        <v>0</v>
      </c>
      <c r="E69">
        <v>33</v>
      </c>
      <c r="F69">
        <v>3.76</v>
      </c>
      <c r="G69">
        <v>0.3493</v>
      </c>
      <c r="H69">
        <v>1</v>
      </c>
      <c r="I69">
        <v>7.7</v>
      </c>
      <c r="J69">
        <v>0</v>
      </c>
      <c r="K69">
        <f>YEAR(NetflixData[[#This Row],[date]])</f>
        <v>2018</v>
      </c>
      <c r="L69" t="str">
        <f>TEXT(NetflixData[[#This Row],[date]],"mmm")</f>
        <v>Nov</v>
      </c>
      <c r="M69" t="str">
        <f>TEXT(NetflixData[[#This Row],[date]],"mmm yyyy")</f>
        <v>Nov 2018</v>
      </c>
      <c r="N69" t="str">
        <f t="shared" si="3"/>
        <v>Trading Day</v>
      </c>
      <c r="O69" t="str">
        <f t="shared" si="4"/>
        <v>No Change</v>
      </c>
      <c r="P69" t="str">
        <f t="shared" si="5"/>
        <v>Positive</v>
      </c>
    </row>
    <row r="70" spans="1:16" x14ac:dyDescent="0.3">
      <c r="A70" s="1">
        <v>43423</v>
      </c>
      <c r="B70">
        <v>27.06</v>
      </c>
      <c r="C70">
        <v>129938000</v>
      </c>
      <c r="D70">
        <v>-4.6479999999999997</v>
      </c>
      <c r="E70">
        <v>43</v>
      </c>
      <c r="F70">
        <v>3.53</v>
      </c>
      <c r="G70">
        <v>0.30659999999999998</v>
      </c>
      <c r="H70">
        <v>0</v>
      </c>
      <c r="J70">
        <v>1</v>
      </c>
      <c r="K70">
        <f>YEAR(NetflixData[[#This Row],[date]])</f>
        <v>2018</v>
      </c>
      <c r="L70" t="str">
        <f>TEXT(NetflixData[[#This Row],[date]],"mmm")</f>
        <v>Nov</v>
      </c>
      <c r="M70" t="str">
        <f>TEXT(NetflixData[[#This Row],[date]],"mmm yyyy")</f>
        <v>Nov 2018</v>
      </c>
      <c r="N70" t="str">
        <f t="shared" si="3"/>
        <v>Trading Day</v>
      </c>
      <c r="O70" t="str">
        <f t="shared" si="4"/>
        <v>Negative</v>
      </c>
      <c r="P70" t="str">
        <f t="shared" si="5"/>
        <v>Positive</v>
      </c>
    </row>
    <row r="71" spans="1:16" x14ac:dyDescent="0.3">
      <c r="A71" s="1">
        <v>43424</v>
      </c>
      <c r="B71">
        <v>26.7</v>
      </c>
      <c r="C71">
        <v>166938000</v>
      </c>
      <c r="D71">
        <v>4.8499999999999996</v>
      </c>
      <c r="E71">
        <v>40</v>
      </c>
      <c r="F71">
        <v>4.03</v>
      </c>
      <c r="G71">
        <v>0.40129999999999999</v>
      </c>
      <c r="H71">
        <v>7</v>
      </c>
      <c r="I71">
        <v>5.22</v>
      </c>
      <c r="J71">
        <v>1</v>
      </c>
      <c r="K71">
        <f>YEAR(NetflixData[[#This Row],[date]])</f>
        <v>2018</v>
      </c>
      <c r="L71" t="str">
        <f>TEXT(NetflixData[[#This Row],[date]],"mmm")</f>
        <v>Nov</v>
      </c>
      <c r="M71" t="str">
        <f>TEXT(NetflixData[[#This Row],[date]],"mmm yyyy")</f>
        <v>Nov 2018</v>
      </c>
      <c r="N71" t="str">
        <f t="shared" si="3"/>
        <v>Trading Day</v>
      </c>
      <c r="O71" t="str">
        <f t="shared" si="4"/>
        <v>Positive</v>
      </c>
      <c r="P71" t="str">
        <f t="shared" si="5"/>
        <v>Positive</v>
      </c>
    </row>
    <row r="72" spans="1:16" x14ac:dyDescent="0.3">
      <c r="A72" s="1">
        <v>43425</v>
      </c>
      <c r="B72">
        <v>26.21</v>
      </c>
      <c r="C72">
        <v>110230000</v>
      </c>
      <c r="D72">
        <v>-4.4790000000000001</v>
      </c>
      <c r="E72">
        <v>49</v>
      </c>
      <c r="F72">
        <v>3.63</v>
      </c>
      <c r="G72">
        <v>0.28670000000000001</v>
      </c>
      <c r="H72">
        <v>2</v>
      </c>
      <c r="I72">
        <v>6.6</v>
      </c>
      <c r="J72">
        <v>1</v>
      </c>
      <c r="K72">
        <f>YEAR(NetflixData[[#This Row],[date]])</f>
        <v>2018</v>
      </c>
      <c r="L72" t="str">
        <f>TEXT(NetflixData[[#This Row],[date]],"mmm")</f>
        <v>Nov</v>
      </c>
      <c r="M72" t="str">
        <f>TEXT(NetflixData[[#This Row],[date]],"mmm yyyy")</f>
        <v>Nov 2018</v>
      </c>
      <c r="N72" t="str">
        <f t="shared" si="3"/>
        <v>Non-Trading Day</v>
      </c>
      <c r="O72" t="str">
        <f t="shared" si="4"/>
        <v>Negative</v>
      </c>
      <c r="P72" t="str">
        <f t="shared" si="5"/>
        <v>Positive</v>
      </c>
    </row>
    <row r="73" spans="1:16" x14ac:dyDescent="0.3">
      <c r="A73" s="1">
        <v>43426</v>
      </c>
      <c r="B73">
        <v>26.21</v>
      </c>
      <c r="C73">
        <v>0</v>
      </c>
      <c r="D73">
        <v>0</v>
      </c>
      <c r="E73">
        <v>29</v>
      </c>
      <c r="F73">
        <v>3.79</v>
      </c>
      <c r="G73">
        <v>0.42</v>
      </c>
      <c r="H73">
        <v>2</v>
      </c>
      <c r="I73">
        <v>7</v>
      </c>
      <c r="J73">
        <v>0</v>
      </c>
      <c r="K73">
        <f>YEAR(NetflixData[[#This Row],[date]])</f>
        <v>2018</v>
      </c>
      <c r="L73" t="str">
        <f>TEXT(NetflixData[[#This Row],[date]],"mmm")</f>
        <v>Nov</v>
      </c>
      <c r="M73" t="str">
        <f>TEXT(NetflixData[[#This Row],[date]],"mmm yyyy")</f>
        <v>Nov 2018</v>
      </c>
      <c r="N73" t="str">
        <f t="shared" si="3"/>
        <v>Trading Day</v>
      </c>
      <c r="O73" t="str">
        <f t="shared" si="4"/>
        <v>No Change</v>
      </c>
      <c r="P73" t="str">
        <f t="shared" si="5"/>
        <v>Positive</v>
      </c>
    </row>
    <row r="74" spans="1:16" x14ac:dyDescent="0.3">
      <c r="A74" s="1">
        <v>43427</v>
      </c>
      <c r="B74">
        <v>25.88</v>
      </c>
      <c r="C74">
        <v>52451000</v>
      </c>
      <c r="D74">
        <v>-0.496</v>
      </c>
      <c r="E74">
        <v>49</v>
      </c>
      <c r="F74">
        <v>3.84</v>
      </c>
      <c r="G74">
        <v>0.36899999999999999</v>
      </c>
      <c r="H74">
        <v>3</v>
      </c>
      <c r="I74">
        <v>6.15</v>
      </c>
      <c r="J74">
        <v>1</v>
      </c>
      <c r="K74">
        <f>YEAR(NetflixData[[#This Row],[date]])</f>
        <v>2018</v>
      </c>
      <c r="L74" t="str">
        <f>TEXT(NetflixData[[#This Row],[date]],"mmm")</f>
        <v>Nov</v>
      </c>
      <c r="M74" t="str">
        <f>TEXT(NetflixData[[#This Row],[date]],"mmm yyyy")</f>
        <v>Nov 2018</v>
      </c>
      <c r="N74" t="str">
        <f t="shared" si="3"/>
        <v>Non-Trading Day</v>
      </c>
      <c r="O74" t="str">
        <f t="shared" si="4"/>
        <v>Negative</v>
      </c>
      <c r="P74" t="str">
        <f t="shared" si="5"/>
        <v>Positive</v>
      </c>
    </row>
    <row r="75" spans="1:16" x14ac:dyDescent="0.3">
      <c r="A75" s="1">
        <v>43428</v>
      </c>
      <c r="B75">
        <v>25.88</v>
      </c>
      <c r="C75">
        <v>0</v>
      </c>
      <c r="D75">
        <v>0</v>
      </c>
      <c r="E75">
        <v>48</v>
      </c>
      <c r="F75">
        <v>3.62</v>
      </c>
      <c r="G75">
        <v>0.36870000000000003</v>
      </c>
      <c r="H75">
        <v>0</v>
      </c>
      <c r="J75">
        <v>0</v>
      </c>
      <c r="K75">
        <f>YEAR(NetflixData[[#This Row],[date]])</f>
        <v>2018</v>
      </c>
      <c r="L75" t="str">
        <f>TEXT(NetflixData[[#This Row],[date]],"mmm")</f>
        <v>Nov</v>
      </c>
      <c r="M75" t="str">
        <f>TEXT(NetflixData[[#This Row],[date]],"mmm yyyy")</f>
        <v>Nov 2018</v>
      </c>
      <c r="N75" t="str">
        <f t="shared" si="3"/>
        <v>Non-Trading Day</v>
      </c>
      <c r="O75" t="str">
        <f t="shared" si="4"/>
        <v>No Change</v>
      </c>
      <c r="P75" t="str">
        <f t="shared" si="5"/>
        <v>Positive</v>
      </c>
    </row>
    <row r="76" spans="1:16" x14ac:dyDescent="0.3">
      <c r="A76" s="1">
        <v>43429</v>
      </c>
      <c r="B76">
        <v>25.88</v>
      </c>
      <c r="C76">
        <v>0</v>
      </c>
      <c r="D76">
        <v>0</v>
      </c>
      <c r="E76">
        <v>49</v>
      </c>
      <c r="F76">
        <v>3.92</v>
      </c>
      <c r="G76">
        <v>0.46870000000000001</v>
      </c>
      <c r="H76">
        <v>2</v>
      </c>
      <c r="I76">
        <v>7.9</v>
      </c>
      <c r="J76">
        <v>0</v>
      </c>
      <c r="K76">
        <f>YEAR(NetflixData[[#This Row],[date]])</f>
        <v>2018</v>
      </c>
      <c r="L76" t="str">
        <f>TEXT(NetflixData[[#This Row],[date]],"mmm")</f>
        <v>Nov</v>
      </c>
      <c r="M76" t="str">
        <f>TEXT(NetflixData[[#This Row],[date]],"mmm yyyy")</f>
        <v>Nov 2018</v>
      </c>
      <c r="N76" t="str">
        <f t="shared" si="3"/>
        <v>Trading Day</v>
      </c>
      <c r="O76" t="str">
        <f t="shared" si="4"/>
        <v>No Change</v>
      </c>
      <c r="P76" t="str">
        <f t="shared" si="5"/>
        <v>Positive</v>
      </c>
    </row>
    <row r="77" spans="1:16" x14ac:dyDescent="0.3">
      <c r="A77" s="1">
        <v>43430</v>
      </c>
      <c r="B77">
        <v>26.14</v>
      </c>
      <c r="C77">
        <v>124986000</v>
      </c>
      <c r="D77">
        <v>0.33800000000000002</v>
      </c>
      <c r="E77">
        <v>37</v>
      </c>
      <c r="F77">
        <v>3.62</v>
      </c>
      <c r="G77">
        <v>0.33600000000000002</v>
      </c>
      <c r="H77">
        <v>0</v>
      </c>
      <c r="J77">
        <v>1</v>
      </c>
      <c r="K77">
        <f>YEAR(NetflixData[[#This Row],[date]])</f>
        <v>2018</v>
      </c>
      <c r="L77" t="str">
        <f>TEXT(NetflixData[[#This Row],[date]],"mmm")</f>
        <v>Nov</v>
      </c>
      <c r="M77" t="str">
        <f>TEXT(NetflixData[[#This Row],[date]],"mmm yyyy")</f>
        <v>Nov 2018</v>
      </c>
      <c r="N77" t="str">
        <f t="shared" si="3"/>
        <v>Trading Day</v>
      </c>
      <c r="O77" t="str">
        <f t="shared" si="4"/>
        <v>Positive</v>
      </c>
      <c r="P77" t="str">
        <f t="shared" si="5"/>
        <v>Positive</v>
      </c>
    </row>
    <row r="78" spans="1:16" x14ac:dyDescent="0.3">
      <c r="A78" s="1">
        <v>43431</v>
      </c>
      <c r="B78">
        <v>26.66</v>
      </c>
      <c r="C78">
        <v>111495000</v>
      </c>
      <c r="D78">
        <v>2.851</v>
      </c>
      <c r="E78">
        <v>38</v>
      </c>
      <c r="F78">
        <v>3.39</v>
      </c>
      <c r="G78">
        <v>0.25819999999999999</v>
      </c>
      <c r="H78">
        <v>3</v>
      </c>
      <c r="I78">
        <v>7.07</v>
      </c>
      <c r="J78">
        <v>1</v>
      </c>
      <c r="K78">
        <f>YEAR(NetflixData[[#This Row],[date]])</f>
        <v>2018</v>
      </c>
      <c r="L78" t="str">
        <f>TEXT(NetflixData[[#This Row],[date]],"mmm")</f>
        <v>Nov</v>
      </c>
      <c r="M78" t="str">
        <f>TEXT(NetflixData[[#This Row],[date]],"mmm yyyy")</f>
        <v>Nov 2018</v>
      </c>
      <c r="N78" t="str">
        <f t="shared" si="3"/>
        <v>Trading Day</v>
      </c>
      <c r="O78" t="str">
        <f t="shared" si="4"/>
        <v>Positive</v>
      </c>
      <c r="P78" t="str">
        <f t="shared" si="5"/>
        <v>Positive</v>
      </c>
    </row>
    <row r="79" spans="1:16" x14ac:dyDescent="0.3">
      <c r="A79" s="1">
        <v>43432</v>
      </c>
      <c r="B79">
        <v>28.26</v>
      </c>
      <c r="C79">
        <v>148013000</v>
      </c>
      <c r="D79">
        <v>3.923</v>
      </c>
      <c r="E79">
        <v>58</v>
      </c>
      <c r="F79">
        <v>3.66</v>
      </c>
      <c r="G79">
        <v>0.39800000000000002</v>
      </c>
      <c r="H79">
        <v>1</v>
      </c>
      <c r="J79">
        <v>1</v>
      </c>
      <c r="K79">
        <f>YEAR(NetflixData[[#This Row],[date]])</f>
        <v>2018</v>
      </c>
      <c r="L79" t="str">
        <f>TEXT(NetflixData[[#This Row],[date]],"mmm")</f>
        <v>Nov</v>
      </c>
      <c r="M79" t="str">
        <f>TEXT(NetflixData[[#This Row],[date]],"mmm yyyy")</f>
        <v>Nov 2018</v>
      </c>
      <c r="N79" t="str">
        <f t="shared" si="3"/>
        <v>Trading Day</v>
      </c>
      <c r="O79" t="str">
        <f t="shared" si="4"/>
        <v>Positive</v>
      </c>
      <c r="P79" t="str">
        <f t="shared" si="5"/>
        <v>Positive</v>
      </c>
    </row>
    <row r="80" spans="1:16" x14ac:dyDescent="0.3">
      <c r="A80" s="1">
        <v>43433</v>
      </c>
      <c r="B80">
        <v>28.88</v>
      </c>
      <c r="C80">
        <v>154315000</v>
      </c>
      <c r="D80">
        <v>2.278</v>
      </c>
      <c r="E80">
        <v>36</v>
      </c>
      <c r="F80">
        <v>3.28</v>
      </c>
      <c r="G80">
        <v>0.18940000000000001</v>
      </c>
      <c r="H80">
        <v>0</v>
      </c>
      <c r="J80">
        <v>1</v>
      </c>
      <c r="K80">
        <f>YEAR(NetflixData[[#This Row],[date]])</f>
        <v>2018</v>
      </c>
      <c r="L80" t="str">
        <f>TEXT(NetflixData[[#This Row],[date]],"mmm")</f>
        <v>Nov</v>
      </c>
      <c r="M80" t="str">
        <f>TEXT(NetflixData[[#This Row],[date]],"mmm yyyy")</f>
        <v>Nov 2018</v>
      </c>
      <c r="N80" t="str">
        <f t="shared" si="3"/>
        <v>Trading Day</v>
      </c>
      <c r="O80" t="str">
        <f t="shared" si="4"/>
        <v>Positive</v>
      </c>
      <c r="P80" t="str">
        <f t="shared" si="5"/>
        <v>Positive</v>
      </c>
    </row>
    <row r="81" spans="1:16" x14ac:dyDescent="0.3">
      <c r="A81" s="1">
        <v>43434</v>
      </c>
      <c r="B81">
        <v>28.61</v>
      </c>
      <c r="C81">
        <v>118601000</v>
      </c>
      <c r="D81">
        <v>-0.64900000000000002</v>
      </c>
      <c r="E81">
        <v>32</v>
      </c>
      <c r="F81">
        <v>3.53</v>
      </c>
      <c r="G81">
        <v>0.34660000000000002</v>
      </c>
      <c r="H81">
        <v>13</v>
      </c>
      <c r="I81">
        <v>6.28</v>
      </c>
      <c r="J81">
        <v>1</v>
      </c>
      <c r="K81">
        <f>YEAR(NetflixData[[#This Row],[date]])</f>
        <v>2018</v>
      </c>
      <c r="L81" t="str">
        <f>TEXT(NetflixData[[#This Row],[date]],"mmm")</f>
        <v>Nov</v>
      </c>
      <c r="M81" t="str">
        <f>TEXT(NetflixData[[#This Row],[date]],"mmm yyyy")</f>
        <v>Nov 2018</v>
      </c>
      <c r="N81" t="str">
        <f t="shared" si="3"/>
        <v>Non-Trading Day</v>
      </c>
      <c r="O81" t="str">
        <f t="shared" si="4"/>
        <v>Negative</v>
      </c>
      <c r="P81" t="str">
        <f t="shared" si="5"/>
        <v>Positive</v>
      </c>
    </row>
    <row r="82" spans="1:16" x14ac:dyDescent="0.3">
      <c r="A82" s="1">
        <v>43435</v>
      </c>
      <c r="B82">
        <v>28.61</v>
      </c>
      <c r="C82">
        <v>0</v>
      </c>
      <c r="D82">
        <v>0</v>
      </c>
      <c r="E82">
        <v>48</v>
      </c>
      <c r="F82">
        <v>3.6</v>
      </c>
      <c r="G82">
        <v>0.34789999999999999</v>
      </c>
      <c r="H82">
        <v>29</v>
      </c>
      <c r="I82">
        <v>6.42</v>
      </c>
      <c r="J82">
        <v>0</v>
      </c>
      <c r="K82">
        <f>YEAR(NetflixData[[#This Row],[date]])</f>
        <v>2018</v>
      </c>
      <c r="L82" t="str">
        <f>TEXT(NetflixData[[#This Row],[date]],"mmm")</f>
        <v>Dec</v>
      </c>
      <c r="M82" t="str">
        <f>TEXT(NetflixData[[#This Row],[date]],"mmm yyyy")</f>
        <v>Dec 2018</v>
      </c>
      <c r="N82" t="str">
        <f t="shared" si="3"/>
        <v>Non-Trading Day</v>
      </c>
      <c r="O82" t="str">
        <f t="shared" si="4"/>
        <v>No Change</v>
      </c>
      <c r="P82" t="str">
        <f t="shared" si="5"/>
        <v>Positive</v>
      </c>
    </row>
    <row r="83" spans="1:16" x14ac:dyDescent="0.3">
      <c r="A83" s="1">
        <v>43436</v>
      </c>
      <c r="B83">
        <v>28.61</v>
      </c>
      <c r="C83">
        <v>0</v>
      </c>
      <c r="D83">
        <v>0</v>
      </c>
      <c r="E83">
        <v>40</v>
      </c>
      <c r="F83">
        <v>3.42</v>
      </c>
      <c r="G83">
        <v>0.26500000000000001</v>
      </c>
      <c r="H83">
        <v>3</v>
      </c>
      <c r="I83">
        <v>7.27</v>
      </c>
      <c r="J83">
        <v>0</v>
      </c>
      <c r="K83">
        <f>YEAR(NetflixData[[#This Row],[date]])</f>
        <v>2018</v>
      </c>
      <c r="L83" t="str">
        <f>TEXT(NetflixData[[#This Row],[date]],"mmm")</f>
        <v>Dec</v>
      </c>
      <c r="M83" t="str">
        <f>TEXT(NetflixData[[#This Row],[date]],"mmm yyyy")</f>
        <v>Dec 2018</v>
      </c>
      <c r="N83" t="str">
        <f t="shared" si="3"/>
        <v>Trading Day</v>
      </c>
      <c r="O83" t="str">
        <f t="shared" si="4"/>
        <v>No Change</v>
      </c>
      <c r="P83" t="str">
        <f t="shared" si="5"/>
        <v>Positive</v>
      </c>
    </row>
    <row r="84" spans="1:16" x14ac:dyDescent="0.3">
      <c r="A84" s="1">
        <v>43437</v>
      </c>
      <c r="B84">
        <v>29.03</v>
      </c>
      <c r="C84">
        <v>141174000</v>
      </c>
      <c r="D84">
        <v>-0.98599999999999999</v>
      </c>
      <c r="E84">
        <v>39</v>
      </c>
      <c r="F84">
        <v>3.82</v>
      </c>
      <c r="G84">
        <v>0.4</v>
      </c>
      <c r="H84">
        <v>3</v>
      </c>
      <c r="I84">
        <v>7.65</v>
      </c>
      <c r="J84">
        <v>1</v>
      </c>
      <c r="K84">
        <f>YEAR(NetflixData[[#This Row],[date]])</f>
        <v>2018</v>
      </c>
      <c r="L84" t="str">
        <f>TEXT(NetflixData[[#This Row],[date]],"mmm")</f>
        <v>Dec</v>
      </c>
      <c r="M84" t="str">
        <f>TEXT(NetflixData[[#This Row],[date]],"mmm yyyy")</f>
        <v>Dec 2018</v>
      </c>
      <c r="N84" t="str">
        <f t="shared" si="3"/>
        <v>Trading Day</v>
      </c>
      <c r="O84" t="str">
        <f t="shared" si="4"/>
        <v>Negative</v>
      </c>
      <c r="P84" t="str">
        <f t="shared" si="5"/>
        <v>Positive</v>
      </c>
    </row>
    <row r="85" spans="1:16" x14ac:dyDescent="0.3">
      <c r="A85" s="1">
        <v>43438</v>
      </c>
      <c r="B85">
        <v>27.53</v>
      </c>
      <c r="C85">
        <v>128006000</v>
      </c>
      <c r="D85">
        <v>-4.4420000000000002</v>
      </c>
      <c r="E85">
        <v>48</v>
      </c>
      <c r="F85">
        <v>3.4</v>
      </c>
      <c r="G85">
        <v>0.32019999999999998</v>
      </c>
      <c r="H85">
        <v>3</v>
      </c>
      <c r="I85">
        <v>5.95</v>
      </c>
      <c r="J85">
        <v>1</v>
      </c>
      <c r="K85">
        <f>YEAR(NetflixData[[#This Row],[date]])</f>
        <v>2018</v>
      </c>
      <c r="L85" t="str">
        <f>TEXT(NetflixData[[#This Row],[date]],"mmm")</f>
        <v>Dec</v>
      </c>
      <c r="M85" t="str">
        <f>TEXT(NetflixData[[#This Row],[date]],"mmm yyyy")</f>
        <v>Dec 2018</v>
      </c>
      <c r="N85" t="str">
        <f t="shared" si="3"/>
        <v>Non-Trading Day</v>
      </c>
      <c r="O85" t="str">
        <f t="shared" si="4"/>
        <v>Negative</v>
      </c>
      <c r="P85" t="str">
        <f t="shared" si="5"/>
        <v>Positive</v>
      </c>
    </row>
    <row r="86" spans="1:16" x14ac:dyDescent="0.3">
      <c r="A86" s="1">
        <v>43439</v>
      </c>
      <c r="B86">
        <v>27.53</v>
      </c>
      <c r="C86">
        <v>0</v>
      </c>
      <c r="D86">
        <v>0</v>
      </c>
      <c r="E86">
        <v>31</v>
      </c>
      <c r="F86">
        <v>3.26</v>
      </c>
      <c r="G86">
        <v>0.30620000000000003</v>
      </c>
      <c r="H86">
        <v>1</v>
      </c>
      <c r="I86">
        <v>2.8</v>
      </c>
      <c r="J86">
        <v>0</v>
      </c>
      <c r="K86">
        <f>YEAR(NetflixData[[#This Row],[date]])</f>
        <v>2018</v>
      </c>
      <c r="L86" t="str">
        <f>TEXT(NetflixData[[#This Row],[date]],"mmm")</f>
        <v>Dec</v>
      </c>
      <c r="M86" t="str">
        <f>TEXT(NetflixData[[#This Row],[date]],"mmm yyyy")</f>
        <v>Dec 2018</v>
      </c>
      <c r="N86" t="str">
        <f t="shared" si="3"/>
        <v>Trading Day</v>
      </c>
      <c r="O86" t="str">
        <f t="shared" si="4"/>
        <v>No Change</v>
      </c>
      <c r="P86" t="str">
        <f t="shared" si="5"/>
        <v>Positive</v>
      </c>
    </row>
    <row r="87" spans="1:16" x14ac:dyDescent="0.3">
      <c r="A87" s="1">
        <v>43440</v>
      </c>
      <c r="B87">
        <v>28.29</v>
      </c>
      <c r="C87">
        <v>130743000</v>
      </c>
      <c r="D87">
        <v>5.4219999999999997</v>
      </c>
      <c r="E87">
        <v>35</v>
      </c>
      <c r="F87">
        <v>3.69</v>
      </c>
      <c r="G87">
        <v>0.43809999999999999</v>
      </c>
      <c r="H87">
        <v>1</v>
      </c>
      <c r="I87">
        <v>6.7</v>
      </c>
      <c r="J87">
        <v>1</v>
      </c>
      <c r="K87">
        <f>YEAR(NetflixData[[#This Row],[date]])</f>
        <v>2018</v>
      </c>
      <c r="L87" t="str">
        <f>TEXT(NetflixData[[#This Row],[date]],"mmm")</f>
        <v>Dec</v>
      </c>
      <c r="M87" t="str">
        <f>TEXT(NetflixData[[#This Row],[date]],"mmm yyyy")</f>
        <v>Dec 2018</v>
      </c>
      <c r="N87" t="str">
        <f t="shared" si="3"/>
        <v>Trading Day</v>
      </c>
      <c r="O87" t="str">
        <f t="shared" si="4"/>
        <v>Positive</v>
      </c>
      <c r="P87" t="str">
        <f t="shared" si="5"/>
        <v>Positive</v>
      </c>
    </row>
    <row r="88" spans="1:16" x14ac:dyDescent="0.3">
      <c r="A88" s="1">
        <v>43441</v>
      </c>
      <c r="B88">
        <v>26.51</v>
      </c>
      <c r="C88">
        <v>124667000</v>
      </c>
      <c r="D88">
        <v>-6.1379999999999999</v>
      </c>
      <c r="E88">
        <v>45</v>
      </c>
      <c r="F88">
        <v>3.44</v>
      </c>
      <c r="G88">
        <v>0.28599999999999998</v>
      </c>
      <c r="H88">
        <v>10</v>
      </c>
      <c r="I88">
        <v>6.63</v>
      </c>
      <c r="J88">
        <v>1</v>
      </c>
      <c r="K88">
        <f>YEAR(NetflixData[[#This Row],[date]])</f>
        <v>2018</v>
      </c>
      <c r="L88" t="str">
        <f>TEXT(NetflixData[[#This Row],[date]],"mmm")</f>
        <v>Dec</v>
      </c>
      <c r="M88" t="str">
        <f>TEXT(NetflixData[[#This Row],[date]],"mmm yyyy")</f>
        <v>Dec 2018</v>
      </c>
      <c r="N88" t="str">
        <f t="shared" si="3"/>
        <v>Non-Trading Day</v>
      </c>
      <c r="O88" t="str">
        <f t="shared" si="4"/>
        <v>Negative</v>
      </c>
      <c r="P88" t="str">
        <f t="shared" si="5"/>
        <v>Positive</v>
      </c>
    </row>
    <row r="89" spans="1:16" x14ac:dyDescent="0.3">
      <c r="A89" s="1">
        <v>43442</v>
      </c>
      <c r="B89">
        <v>26.51</v>
      </c>
      <c r="C89">
        <v>0</v>
      </c>
      <c r="D89">
        <v>0</v>
      </c>
      <c r="E89">
        <v>39</v>
      </c>
      <c r="F89">
        <v>3.26</v>
      </c>
      <c r="G89">
        <v>0.17660000000000001</v>
      </c>
      <c r="H89">
        <v>5</v>
      </c>
      <c r="I89">
        <v>6.43</v>
      </c>
      <c r="J89">
        <v>0</v>
      </c>
      <c r="K89">
        <f>YEAR(NetflixData[[#This Row],[date]])</f>
        <v>2018</v>
      </c>
      <c r="L89" t="str">
        <f>TEXT(NetflixData[[#This Row],[date]],"mmm")</f>
        <v>Dec</v>
      </c>
      <c r="M89" t="str">
        <f>TEXT(NetflixData[[#This Row],[date]],"mmm yyyy")</f>
        <v>Dec 2018</v>
      </c>
      <c r="N89" t="str">
        <f t="shared" si="3"/>
        <v>Non-Trading Day</v>
      </c>
      <c r="O89" t="str">
        <f t="shared" si="4"/>
        <v>No Change</v>
      </c>
      <c r="P89" t="str">
        <f t="shared" si="5"/>
        <v>Positive</v>
      </c>
    </row>
    <row r="90" spans="1:16" x14ac:dyDescent="0.3">
      <c r="A90" s="1">
        <v>43443</v>
      </c>
      <c r="B90">
        <v>26.51</v>
      </c>
      <c r="C90">
        <v>0</v>
      </c>
      <c r="D90">
        <v>0</v>
      </c>
      <c r="E90">
        <v>47</v>
      </c>
      <c r="F90">
        <v>3.49</v>
      </c>
      <c r="G90">
        <v>0.31319999999999998</v>
      </c>
      <c r="H90">
        <v>1</v>
      </c>
      <c r="J90">
        <v>0</v>
      </c>
      <c r="K90">
        <f>YEAR(NetflixData[[#This Row],[date]])</f>
        <v>2018</v>
      </c>
      <c r="L90" t="str">
        <f>TEXT(NetflixData[[#This Row],[date]],"mmm")</f>
        <v>Dec</v>
      </c>
      <c r="M90" t="str">
        <f>TEXT(NetflixData[[#This Row],[date]],"mmm yyyy")</f>
        <v>Dec 2018</v>
      </c>
      <c r="N90" t="str">
        <f t="shared" si="3"/>
        <v>Trading Day</v>
      </c>
      <c r="O90" t="str">
        <f t="shared" si="4"/>
        <v>No Change</v>
      </c>
      <c r="P90" t="str">
        <f t="shared" si="5"/>
        <v>Positive</v>
      </c>
    </row>
    <row r="91" spans="1:16" x14ac:dyDescent="0.3">
      <c r="A91" s="1">
        <v>43444</v>
      </c>
      <c r="B91">
        <v>26.97</v>
      </c>
      <c r="C91">
        <v>96056000</v>
      </c>
      <c r="D91">
        <v>2.0859999999999999</v>
      </c>
      <c r="E91">
        <v>29</v>
      </c>
      <c r="F91">
        <v>3.55</v>
      </c>
      <c r="G91">
        <v>0.35610000000000003</v>
      </c>
      <c r="H91">
        <v>4</v>
      </c>
      <c r="I91">
        <v>6.38</v>
      </c>
      <c r="J91">
        <v>1</v>
      </c>
      <c r="K91">
        <f>YEAR(NetflixData[[#This Row],[date]])</f>
        <v>2018</v>
      </c>
      <c r="L91" t="str">
        <f>TEXT(NetflixData[[#This Row],[date]],"mmm")</f>
        <v>Dec</v>
      </c>
      <c r="M91" t="str">
        <f>TEXT(NetflixData[[#This Row],[date]],"mmm yyyy")</f>
        <v>Dec 2018</v>
      </c>
      <c r="N91" t="str">
        <f t="shared" si="3"/>
        <v>Trading Day</v>
      </c>
      <c r="O91" t="str">
        <f t="shared" si="4"/>
        <v>Positive</v>
      </c>
      <c r="P91" t="str">
        <f t="shared" si="5"/>
        <v>Positive</v>
      </c>
    </row>
    <row r="92" spans="1:16" x14ac:dyDescent="0.3">
      <c r="A92" s="1">
        <v>43445</v>
      </c>
      <c r="B92">
        <v>26.53</v>
      </c>
      <c r="C92">
        <v>98432000</v>
      </c>
      <c r="D92">
        <v>-3.1960000000000002</v>
      </c>
      <c r="E92">
        <v>32</v>
      </c>
      <c r="F92">
        <v>3.06</v>
      </c>
      <c r="G92">
        <v>8.6099999999999996E-2</v>
      </c>
      <c r="H92">
        <v>2</v>
      </c>
      <c r="J92">
        <v>1</v>
      </c>
      <c r="K92">
        <f>YEAR(NetflixData[[#This Row],[date]])</f>
        <v>2018</v>
      </c>
      <c r="L92" t="str">
        <f>TEXT(NetflixData[[#This Row],[date]],"mmm")</f>
        <v>Dec</v>
      </c>
      <c r="M92" t="str">
        <f>TEXT(NetflixData[[#This Row],[date]],"mmm yyyy")</f>
        <v>Dec 2018</v>
      </c>
      <c r="N92" t="str">
        <f t="shared" si="3"/>
        <v>Trading Day</v>
      </c>
      <c r="O92" t="str">
        <f t="shared" si="4"/>
        <v>Negative</v>
      </c>
      <c r="P92" t="str">
        <f t="shared" si="5"/>
        <v>Neutral</v>
      </c>
    </row>
    <row r="93" spans="1:16" x14ac:dyDescent="0.3">
      <c r="A93" s="1">
        <v>43446</v>
      </c>
      <c r="B93">
        <v>27.49</v>
      </c>
      <c r="C93">
        <v>114567000</v>
      </c>
      <c r="D93">
        <v>2.6970000000000001</v>
      </c>
      <c r="E93">
        <v>39</v>
      </c>
      <c r="F93">
        <v>3.21</v>
      </c>
      <c r="G93">
        <v>0.34250000000000003</v>
      </c>
      <c r="H93">
        <v>2</v>
      </c>
      <c r="I93">
        <v>6.5</v>
      </c>
      <c r="J93">
        <v>1</v>
      </c>
      <c r="K93">
        <f>YEAR(NetflixData[[#This Row],[date]])</f>
        <v>2018</v>
      </c>
      <c r="L93" t="str">
        <f>TEXT(NetflixData[[#This Row],[date]],"mmm")</f>
        <v>Dec</v>
      </c>
      <c r="M93" t="str">
        <f>TEXT(NetflixData[[#This Row],[date]],"mmm yyyy")</f>
        <v>Dec 2018</v>
      </c>
      <c r="N93" t="str">
        <f t="shared" si="3"/>
        <v>Trading Day</v>
      </c>
      <c r="O93" t="str">
        <f t="shared" si="4"/>
        <v>Positive</v>
      </c>
      <c r="P93" t="str">
        <f t="shared" si="5"/>
        <v>Positive</v>
      </c>
    </row>
    <row r="94" spans="1:16" x14ac:dyDescent="0.3">
      <c r="A94" s="1">
        <v>43447</v>
      </c>
      <c r="B94">
        <v>27.6</v>
      </c>
      <c r="C94">
        <v>83793000</v>
      </c>
      <c r="D94">
        <v>-0.58299999999999996</v>
      </c>
      <c r="E94">
        <v>43</v>
      </c>
      <c r="F94">
        <v>3.63</v>
      </c>
      <c r="G94">
        <v>0.36470000000000002</v>
      </c>
      <c r="H94">
        <v>1</v>
      </c>
      <c r="I94">
        <v>8.1999999999999993</v>
      </c>
      <c r="J94">
        <v>1</v>
      </c>
      <c r="K94">
        <f>YEAR(NetflixData[[#This Row],[date]])</f>
        <v>2018</v>
      </c>
      <c r="L94" t="str">
        <f>TEXT(NetflixData[[#This Row],[date]],"mmm")</f>
        <v>Dec</v>
      </c>
      <c r="M94" t="str">
        <f>TEXT(NetflixData[[#This Row],[date]],"mmm yyyy")</f>
        <v>Dec 2018</v>
      </c>
      <c r="N94" t="str">
        <f t="shared" si="3"/>
        <v>Trading Day</v>
      </c>
      <c r="O94" t="str">
        <f t="shared" si="4"/>
        <v>Negative</v>
      </c>
      <c r="P94" t="str">
        <f t="shared" si="5"/>
        <v>Positive</v>
      </c>
    </row>
    <row r="95" spans="1:16" x14ac:dyDescent="0.3">
      <c r="A95" s="1">
        <v>43448</v>
      </c>
      <c r="B95">
        <v>26.68</v>
      </c>
      <c r="C95">
        <v>99153000</v>
      </c>
      <c r="D95">
        <v>-1.8280000000000001</v>
      </c>
      <c r="E95">
        <v>42</v>
      </c>
      <c r="F95">
        <v>3.6</v>
      </c>
      <c r="G95">
        <v>0.36820000000000003</v>
      </c>
      <c r="H95">
        <v>9</v>
      </c>
      <c r="I95">
        <v>6.91</v>
      </c>
      <c r="J95">
        <v>1</v>
      </c>
      <c r="K95">
        <f>YEAR(NetflixData[[#This Row],[date]])</f>
        <v>2018</v>
      </c>
      <c r="L95" t="str">
        <f>TEXT(NetflixData[[#This Row],[date]],"mmm")</f>
        <v>Dec</v>
      </c>
      <c r="M95" t="str">
        <f>TEXT(NetflixData[[#This Row],[date]],"mmm yyyy")</f>
        <v>Dec 2018</v>
      </c>
      <c r="N95" t="str">
        <f t="shared" si="3"/>
        <v>Non-Trading Day</v>
      </c>
      <c r="O95" t="str">
        <f t="shared" si="4"/>
        <v>Negative</v>
      </c>
      <c r="P95" t="str">
        <f t="shared" si="5"/>
        <v>Positive</v>
      </c>
    </row>
    <row r="96" spans="1:16" x14ac:dyDescent="0.3">
      <c r="A96" s="1">
        <v>43449</v>
      </c>
      <c r="B96">
        <v>26.68</v>
      </c>
      <c r="C96">
        <v>0</v>
      </c>
      <c r="D96">
        <v>0</v>
      </c>
      <c r="E96">
        <v>47</v>
      </c>
      <c r="F96">
        <v>3.6</v>
      </c>
      <c r="G96">
        <v>0.36830000000000002</v>
      </c>
      <c r="H96">
        <v>17</v>
      </c>
      <c r="I96">
        <v>5.49</v>
      </c>
      <c r="J96">
        <v>0</v>
      </c>
      <c r="K96">
        <f>YEAR(NetflixData[[#This Row],[date]])</f>
        <v>2018</v>
      </c>
      <c r="L96" t="str">
        <f>TEXT(NetflixData[[#This Row],[date]],"mmm")</f>
        <v>Dec</v>
      </c>
      <c r="M96" t="str">
        <f>TEXT(NetflixData[[#This Row],[date]],"mmm yyyy")</f>
        <v>Dec 2018</v>
      </c>
      <c r="N96" t="str">
        <f t="shared" si="3"/>
        <v>Non-Trading Day</v>
      </c>
      <c r="O96" t="str">
        <f t="shared" si="4"/>
        <v>No Change</v>
      </c>
      <c r="P96" t="str">
        <f t="shared" si="5"/>
        <v>Positive</v>
      </c>
    </row>
    <row r="97" spans="1:16" x14ac:dyDescent="0.3">
      <c r="A97" s="1">
        <v>43450</v>
      </c>
      <c r="B97">
        <v>26.68</v>
      </c>
      <c r="C97">
        <v>0</v>
      </c>
      <c r="D97">
        <v>0</v>
      </c>
      <c r="E97">
        <v>35</v>
      </c>
      <c r="F97">
        <v>3.37</v>
      </c>
      <c r="G97">
        <v>0.34379999999999999</v>
      </c>
      <c r="H97">
        <v>9</v>
      </c>
      <c r="I97">
        <v>7.37</v>
      </c>
      <c r="J97">
        <v>0</v>
      </c>
      <c r="K97">
        <f>YEAR(NetflixData[[#This Row],[date]])</f>
        <v>2018</v>
      </c>
      <c r="L97" t="str">
        <f>TEXT(NetflixData[[#This Row],[date]],"mmm")</f>
        <v>Dec</v>
      </c>
      <c r="M97" t="str">
        <f>TEXT(NetflixData[[#This Row],[date]],"mmm yyyy")</f>
        <v>Dec 2018</v>
      </c>
      <c r="N97" t="str">
        <f t="shared" si="3"/>
        <v>Trading Day</v>
      </c>
      <c r="O97" t="str">
        <f t="shared" si="4"/>
        <v>No Change</v>
      </c>
      <c r="P97" t="str">
        <f t="shared" si="5"/>
        <v>Positive</v>
      </c>
    </row>
    <row r="98" spans="1:16" x14ac:dyDescent="0.3">
      <c r="A98" s="1">
        <v>43451</v>
      </c>
      <c r="B98">
        <v>26.28</v>
      </c>
      <c r="C98">
        <v>96347000</v>
      </c>
      <c r="D98">
        <v>-1.3919999999999999</v>
      </c>
      <c r="E98">
        <v>34</v>
      </c>
      <c r="F98">
        <v>3.56</v>
      </c>
      <c r="G98">
        <v>0.3448</v>
      </c>
      <c r="H98">
        <v>3</v>
      </c>
      <c r="I98">
        <v>5.6</v>
      </c>
      <c r="J98">
        <v>1</v>
      </c>
      <c r="K98">
        <f>YEAR(NetflixData[[#This Row],[date]])</f>
        <v>2018</v>
      </c>
      <c r="L98" t="str">
        <f>TEXT(NetflixData[[#This Row],[date]],"mmm")</f>
        <v>Dec</v>
      </c>
      <c r="M98" t="str">
        <f>TEXT(NetflixData[[#This Row],[date]],"mmm yyyy")</f>
        <v>Dec 2018</v>
      </c>
      <c r="N98" t="str">
        <f t="shared" si="3"/>
        <v>Trading Day</v>
      </c>
      <c r="O98" t="str">
        <f t="shared" si="4"/>
        <v>Negative</v>
      </c>
      <c r="P98" t="str">
        <f t="shared" si="5"/>
        <v>Positive</v>
      </c>
    </row>
    <row r="99" spans="1:16" x14ac:dyDescent="0.3">
      <c r="A99" s="1">
        <v>43452</v>
      </c>
      <c r="B99">
        <v>27.09</v>
      </c>
      <c r="C99">
        <v>103501000</v>
      </c>
      <c r="D99">
        <v>2.9020000000000001</v>
      </c>
      <c r="E99">
        <v>37</v>
      </c>
      <c r="F99">
        <v>3.11</v>
      </c>
      <c r="G99">
        <v>0.31769999999999998</v>
      </c>
      <c r="H99">
        <v>2</v>
      </c>
      <c r="I99">
        <v>4.5</v>
      </c>
      <c r="J99">
        <v>1</v>
      </c>
      <c r="K99">
        <f>YEAR(NetflixData[[#This Row],[date]])</f>
        <v>2018</v>
      </c>
      <c r="L99" t="str">
        <f>TEXT(NetflixData[[#This Row],[date]],"mmm")</f>
        <v>Dec</v>
      </c>
      <c r="M99" t="str">
        <f>TEXT(NetflixData[[#This Row],[date]],"mmm yyyy")</f>
        <v>Dec 2018</v>
      </c>
      <c r="N99" t="str">
        <f t="shared" si="3"/>
        <v>Trading Day</v>
      </c>
      <c r="O99" t="str">
        <f t="shared" si="4"/>
        <v>Positive</v>
      </c>
      <c r="P99" t="str">
        <f t="shared" si="5"/>
        <v>Positive</v>
      </c>
    </row>
    <row r="100" spans="1:16" x14ac:dyDescent="0.3">
      <c r="A100" s="1">
        <v>43453</v>
      </c>
      <c r="B100">
        <v>26.68</v>
      </c>
      <c r="C100">
        <v>137884000</v>
      </c>
      <c r="D100">
        <v>-1.1819999999999999</v>
      </c>
      <c r="E100">
        <v>29</v>
      </c>
      <c r="F100">
        <v>3.21</v>
      </c>
      <c r="G100">
        <v>0.3886</v>
      </c>
      <c r="H100">
        <v>1</v>
      </c>
      <c r="I100">
        <v>4.9000000000000004</v>
      </c>
      <c r="J100">
        <v>1</v>
      </c>
      <c r="K100">
        <f>YEAR(NetflixData[[#This Row],[date]])</f>
        <v>2018</v>
      </c>
      <c r="L100" t="str">
        <f>TEXT(NetflixData[[#This Row],[date]],"mmm")</f>
        <v>Dec</v>
      </c>
      <c r="M100" t="str">
        <f>TEXT(NetflixData[[#This Row],[date]],"mmm yyyy")</f>
        <v>Dec 2018</v>
      </c>
      <c r="N100" t="str">
        <f t="shared" si="3"/>
        <v>Trading Day</v>
      </c>
      <c r="O100" t="str">
        <f t="shared" si="4"/>
        <v>Negative</v>
      </c>
      <c r="P100" t="str">
        <f t="shared" si="5"/>
        <v>Positive</v>
      </c>
    </row>
    <row r="101" spans="1:16" x14ac:dyDescent="0.3">
      <c r="A101" s="1">
        <v>43454</v>
      </c>
      <c r="B101">
        <v>26.06</v>
      </c>
      <c r="C101">
        <v>167929000</v>
      </c>
      <c r="D101">
        <v>-1.534</v>
      </c>
      <c r="E101">
        <v>21</v>
      </c>
      <c r="F101">
        <v>2.71</v>
      </c>
      <c r="G101">
        <v>0.12180000000000001</v>
      </c>
      <c r="H101">
        <v>8</v>
      </c>
      <c r="I101">
        <v>5.4</v>
      </c>
      <c r="J101">
        <v>1</v>
      </c>
      <c r="K101">
        <f>YEAR(NetflixData[[#This Row],[date]])</f>
        <v>2018</v>
      </c>
      <c r="L101" t="str">
        <f>TEXT(NetflixData[[#This Row],[date]],"mmm")</f>
        <v>Dec</v>
      </c>
      <c r="M101" t="str">
        <f>TEXT(NetflixData[[#This Row],[date]],"mmm yyyy")</f>
        <v>Dec 2018</v>
      </c>
      <c r="N101" t="str">
        <f t="shared" si="3"/>
        <v>Trading Day</v>
      </c>
      <c r="O101" t="str">
        <f t="shared" si="4"/>
        <v>Negative</v>
      </c>
      <c r="P101" t="str">
        <f t="shared" si="5"/>
        <v>Positive</v>
      </c>
    </row>
    <row r="102" spans="1:16" x14ac:dyDescent="0.3">
      <c r="A102" s="1">
        <v>43455</v>
      </c>
      <c r="B102">
        <v>24.64</v>
      </c>
      <c r="C102">
        <v>213976000</v>
      </c>
      <c r="D102">
        <v>-6.61</v>
      </c>
      <c r="E102">
        <v>26</v>
      </c>
      <c r="F102">
        <v>3.04</v>
      </c>
      <c r="G102">
        <v>0.4304</v>
      </c>
      <c r="H102">
        <v>13</v>
      </c>
      <c r="I102">
        <v>6.88</v>
      </c>
      <c r="J102">
        <v>1</v>
      </c>
      <c r="K102">
        <f>YEAR(NetflixData[[#This Row],[date]])</f>
        <v>2018</v>
      </c>
      <c r="L102" t="str">
        <f>TEXT(NetflixData[[#This Row],[date]],"mmm")</f>
        <v>Dec</v>
      </c>
      <c r="M102" t="str">
        <f>TEXT(NetflixData[[#This Row],[date]],"mmm yyyy")</f>
        <v>Dec 2018</v>
      </c>
      <c r="N102" t="str">
        <f t="shared" si="3"/>
        <v>Non-Trading Day</v>
      </c>
      <c r="O102" t="str">
        <f t="shared" si="4"/>
        <v>Negative</v>
      </c>
      <c r="P102" t="str">
        <f t="shared" si="5"/>
        <v>Positive</v>
      </c>
    </row>
    <row r="103" spans="1:16" x14ac:dyDescent="0.3">
      <c r="A103" s="1">
        <v>43456</v>
      </c>
      <c r="B103">
        <v>24.64</v>
      </c>
      <c r="C103">
        <v>0</v>
      </c>
      <c r="D103">
        <v>0</v>
      </c>
      <c r="E103">
        <v>34</v>
      </c>
      <c r="F103">
        <v>2.88</v>
      </c>
      <c r="G103">
        <v>0.16009999999999999</v>
      </c>
      <c r="H103">
        <v>5</v>
      </c>
      <c r="I103">
        <v>5.0999999999999996</v>
      </c>
      <c r="J103">
        <v>0</v>
      </c>
      <c r="K103">
        <f>YEAR(NetflixData[[#This Row],[date]])</f>
        <v>2018</v>
      </c>
      <c r="L103" t="str">
        <f>TEXT(NetflixData[[#This Row],[date]],"mmm")</f>
        <v>Dec</v>
      </c>
      <c r="M103" t="str">
        <f>TEXT(NetflixData[[#This Row],[date]],"mmm yyyy")</f>
        <v>Dec 2018</v>
      </c>
      <c r="N103" t="str">
        <f t="shared" si="3"/>
        <v>Non-Trading Day</v>
      </c>
      <c r="O103" t="str">
        <f t="shared" si="4"/>
        <v>No Change</v>
      </c>
      <c r="P103" t="str">
        <f t="shared" si="5"/>
        <v>Positive</v>
      </c>
    </row>
    <row r="104" spans="1:16" x14ac:dyDescent="0.3">
      <c r="A104" s="1">
        <v>43457</v>
      </c>
      <c r="B104">
        <v>24.64</v>
      </c>
      <c r="C104">
        <v>0</v>
      </c>
      <c r="D104">
        <v>0</v>
      </c>
      <c r="E104">
        <v>29</v>
      </c>
      <c r="F104">
        <v>2.69</v>
      </c>
      <c r="G104">
        <v>5.7099999999999998E-2</v>
      </c>
      <c r="H104">
        <v>3</v>
      </c>
      <c r="I104">
        <v>6.83</v>
      </c>
      <c r="J104">
        <v>0</v>
      </c>
      <c r="K104">
        <f>YEAR(NetflixData[[#This Row],[date]])</f>
        <v>2018</v>
      </c>
      <c r="L104" t="str">
        <f>TEXT(NetflixData[[#This Row],[date]],"mmm")</f>
        <v>Dec</v>
      </c>
      <c r="M104" t="str">
        <f>TEXT(NetflixData[[#This Row],[date]],"mmm yyyy")</f>
        <v>Dec 2018</v>
      </c>
      <c r="N104" t="str">
        <f t="shared" si="3"/>
        <v>Trading Day</v>
      </c>
      <c r="O104" t="str">
        <f t="shared" si="4"/>
        <v>No Change</v>
      </c>
      <c r="P104" t="str">
        <f t="shared" si="5"/>
        <v>Neutral</v>
      </c>
    </row>
    <row r="105" spans="1:16" x14ac:dyDescent="0.3">
      <c r="A105" s="1">
        <v>43458</v>
      </c>
      <c r="B105">
        <v>23.39</v>
      </c>
      <c r="C105">
        <v>95476000</v>
      </c>
      <c r="D105">
        <v>-3.355</v>
      </c>
      <c r="E105">
        <v>24</v>
      </c>
      <c r="F105">
        <v>2.5</v>
      </c>
      <c r="G105">
        <v>0.16</v>
      </c>
      <c r="H105">
        <v>2</v>
      </c>
      <c r="I105">
        <v>7.8</v>
      </c>
      <c r="J105">
        <v>1</v>
      </c>
      <c r="K105">
        <f>YEAR(NetflixData[[#This Row],[date]])</f>
        <v>2018</v>
      </c>
      <c r="L105" t="str">
        <f>TEXT(NetflixData[[#This Row],[date]],"mmm")</f>
        <v>Dec</v>
      </c>
      <c r="M105" t="str">
        <f>TEXT(NetflixData[[#This Row],[date]],"mmm yyyy")</f>
        <v>Dec 2018</v>
      </c>
      <c r="N105" t="str">
        <f t="shared" si="3"/>
        <v>Non-Trading Day</v>
      </c>
      <c r="O105" t="str">
        <f t="shared" si="4"/>
        <v>Negative</v>
      </c>
      <c r="P105" t="str">
        <f t="shared" si="5"/>
        <v>Positive</v>
      </c>
    </row>
    <row r="106" spans="1:16" x14ac:dyDescent="0.3">
      <c r="A106" s="1">
        <v>43459</v>
      </c>
      <c r="B106">
        <v>23.39</v>
      </c>
      <c r="C106">
        <v>0</v>
      </c>
      <c r="D106">
        <v>0</v>
      </c>
      <c r="E106">
        <v>34</v>
      </c>
      <c r="F106">
        <v>3.24</v>
      </c>
      <c r="G106">
        <v>0.43190000000000001</v>
      </c>
      <c r="H106">
        <v>2</v>
      </c>
      <c r="I106">
        <v>7.2</v>
      </c>
      <c r="J106">
        <v>0</v>
      </c>
      <c r="K106">
        <f>YEAR(NetflixData[[#This Row],[date]])</f>
        <v>2018</v>
      </c>
      <c r="L106" t="str">
        <f>TEXT(NetflixData[[#This Row],[date]],"mmm")</f>
        <v>Dec</v>
      </c>
      <c r="M106" t="str">
        <f>TEXT(NetflixData[[#This Row],[date]],"mmm yyyy")</f>
        <v>Dec 2018</v>
      </c>
      <c r="N106" t="str">
        <f t="shared" si="3"/>
        <v>Trading Day</v>
      </c>
      <c r="O106" t="str">
        <f t="shared" si="4"/>
        <v>No Change</v>
      </c>
      <c r="P106" t="str">
        <f t="shared" si="5"/>
        <v>Positive</v>
      </c>
    </row>
    <row r="107" spans="1:16" x14ac:dyDescent="0.3">
      <c r="A107" s="1">
        <v>43460</v>
      </c>
      <c r="B107">
        <v>25.37</v>
      </c>
      <c r="C107">
        <v>144027000</v>
      </c>
      <c r="D107">
        <v>8.4429999999999996</v>
      </c>
      <c r="E107">
        <v>40</v>
      </c>
      <c r="F107">
        <v>2.78</v>
      </c>
      <c r="G107">
        <v>0.23549999999999999</v>
      </c>
      <c r="H107">
        <v>1</v>
      </c>
      <c r="I107">
        <v>3.2</v>
      </c>
      <c r="J107">
        <v>1</v>
      </c>
      <c r="K107">
        <f>YEAR(NetflixData[[#This Row],[date]])</f>
        <v>2018</v>
      </c>
      <c r="L107" t="str">
        <f>TEXT(NetflixData[[#This Row],[date]],"mmm")</f>
        <v>Dec</v>
      </c>
      <c r="M107" t="str">
        <f>TEXT(NetflixData[[#This Row],[date]],"mmm yyyy")</f>
        <v>Dec 2018</v>
      </c>
      <c r="N107" t="str">
        <f t="shared" si="3"/>
        <v>Trading Day</v>
      </c>
      <c r="O107" t="str">
        <f t="shared" si="4"/>
        <v>Positive</v>
      </c>
      <c r="P107" t="str">
        <f t="shared" si="5"/>
        <v>Positive</v>
      </c>
    </row>
    <row r="108" spans="1:16" x14ac:dyDescent="0.3">
      <c r="A108" s="1">
        <v>43461</v>
      </c>
      <c r="B108">
        <v>25.56</v>
      </c>
      <c r="C108">
        <v>122352000</v>
      </c>
      <c r="D108">
        <v>2.1829999999999998</v>
      </c>
      <c r="E108">
        <v>39</v>
      </c>
      <c r="F108">
        <v>3.56</v>
      </c>
      <c r="G108">
        <v>0.33460000000000001</v>
      </c>
      <c r="H108">
        <v>1</v>
      </c>
      <c r="I108">
        <v>5.6</v>
      </c>
      <c r="J108">
        <v>1</v>
      </c>
      <c r="K108">
        <f>YEAR(NetflixData[[#This Row],[date]])</f>
        <v>2018</v>
      </c>
      <c r="L108" t="str">
        <f>TEXT(NetflixData[[#This Row],[date]],"mmm")</f>
        <v>Dec</v>
      </c>
      <c r="M108" t="str">
        <f>TEXT(NetflixData[[#This Row],[date]],"mmm yyyy")</f>
        <v>Dec 2018</v>
      </c>
      <c r="N108" t="str">
        <f t="shared" si="3"/>
        <v>Trading Day</v>
      </c>
      <c r="O108" t="str">
        <f t="shared" si="4"/>
        <v>Positive</v>
      </c>
      <c r="P108" t="str">
        <f t="shared" si="5"/>
        <v>Positive</v>
      </c>
    </row>
    <row r="109" spans="1:16" x14ac:dyDescent="0.3">
      <c r="A109" s="1">
        <v>43462</v>
      </c>
      <c r="B109">
        <v>25.61</v>
      </c>
      <c r="C109">
        <v>109928000</v>
      </c>
      <c r="D109">
        <v>-0.72099999999999997</v>
      </c>
      <c r="E109">
        <v>49</v>
      </c>
      <c r="F109">
        <v>3.51</v>
      </c>
      <c r="G109">
        <v>0.40920000000000001</v>
      </c>
      <c r="H109">
        <v>11</v>
      </c>
      <c r="I109">
        <v>6.79</v>
      </c>
      <c r="J109">
        <v>1</v>
      </c>
      <c r="K109">
        <f>YEAR(NetflixData[[#This Row],[date]])</f>
        <v>2018</v>
      </c>
      <c r="L109" t="str">
        <f>TEXT(NetflixData[[#This Row],[date]],"mmm")</f>
        <v>Dec</v>
      </c>
      <c r="M109" t="str">
        <f>TEXT(NetflixData[[#This Row],[date]],"mmm yyyy")</f>
        <v>Dec 2018</v>
      </c>
      <c r="N109" t="str">
        <f t="shared" si="3"/>
        <v>Non-Trading Day</v>
      </c>
      <c r="O109" t="str">
        <f t="shared" si="4"/>
        <v>Negative</v>
      </c>
      <c r="P109" t="str">
        <f t="shared" si="5"/>
        <v>Positive</v>
      </c>
    </row>
    <row r="110" spans="1:16" x14ac:dyDescent="0.3">
      <c r="A110" s="1">
        <v>43463</v>
      </c>
      <c r="B110">
        <v>25.61</v>
      </c>
      <c r="C110">
        <v>0</v>
      </c>
      <c r="D110">
        <v>0</v>
      </c>
      <c r="E110">
        <v>37</v>
      </c>
      <c r="F110">
        <v>2.86</v>
      </c>
      <c r="G110">
        <v>0.2306</v>
      </c>
      <c r="H110">
        <v>2</v>
      </c>
      <c r="I110">
        <v>8.1999999999999993</v>
      </c>
      <c r="J110">
        <v>0</v>
      </c>
      <c r="K110">
        <f>YEAR(NetflixData[[#This Row],[date]])</f>
        <v>2018</v>
      </c>
      <c r="L110" t="str">
        <f>TEXT(NetflixData[[#This Row],[date]],"mmm")</f>
        <v>Dec</v>
      </c>
      <c r="M110" t="str">
        <f>TEXT(NetflixData[[#This Row],[date]],"mmm yyyy")</f>
        <v>Dec 2018</v>
      </c>
      <c r="N110" t="str">
        <f t="shared" si="3"/>
        <v>Non-Trading Day</v>
      </c>
      <c r="O110" t="str">
        <f t="shared" si="4"/>
        <v>No Change</v>
      </c>
      <c r="P110" t="str">
        <f t="shared" si="5"/>
        <v>Positive</v>
      </c>
    </row>
    <row r="111" spans="1:16" x14ac:dyDescent="0.3">
      <c r="A111" s="1">
        <v>43464</v>
      </c>
      <c r="B111">
        <v>25.61</v>
      </c>
      <c r="C111">
        <v>0</v>
      </c>
      <c r="D111">
        <v>0</v>
      </c>
      <c r="E111">
        <v>44</v>
      </c>
      <c r="F111">
        <v>2.64</v>
      </c>
      <c r="G111">
        <v>0.25840000000000002</v>
      </c>
      <c r="H111">
        <v>4</v>
      </c>
      <c r="I111">
        <v>6.1</v>
      </c>
      <c r="J111">
        <v>0</v>
      </c>
      <c r="K111">
        <f>YEAR(NetflixData[[#This Row],[date]])</f>
        <v>2018</v>
      </c>
      <c r="L111" t="str">
        <f>TEXT(NetflixData[[#This Row],[date]],"mmm")</f>
        <v>Dec</v>
      </c>
      <c r="M111" t="str">
        <f>TEXT(NetflixData[[#This Row],[date]],"mmm yyyy")</f>
        <v>Dec 2018</v>
      </c>
      <c r="N111" t="str">
        <f t="shared" si="3"/>
        <v>Trading Day</v>
      </c>
      <c r="O111" t="str">
        <f t="shared" si="4"/>
        <v>No Change</v>
      </c>
      <c r="P111" t="str">
        <f t="shared" si="5"/>
        <v>Positive</v>
      </c>
    </row>
    <row r="112" spans="1:16" x14ac:dyDescent="0.3">
      <c r="A112" s="1">
        <v>43465</v>
      </c>
      <c r="B112">
        <v>26.77</v>
      </c>
      <c r="C112">
        <v>135089000</v>
      </c>
      <c r="D112">
        <v>2.883</v>
      </c>
      <c r="E112">
        <v>39</v>
      </c>
      <c r="F112">
        <v>3.49</v>
      </c>
      <c r="G112">
        <v>0.43780000000000002</v>
      </c>
      <c r="H112">
        <v>27</v>
      </c>
      <c r="I112">
        <v>5.97</v>
      </c>
      <c r="J112">
        <v>1</v>
      </c>
      <c r="K112">
        <f>YEAR(NetflixData[[#This Row],[date]])</f>
        <v>2018</v>
      </c>
      <c r="L112" t="str">
        <f>TEXT(NetflixData[[#This Row],[date]],"mmm")</f>
        <v>Dec</v>
      </c>
      <c r="M112" t="str">
        <f>TEXT(NetflixData[[#This Row],[date]],"mmm yyyy")</f>
        <v>Dec 2018</v>
      </c>
      <c r="N112" t="str">
        <f t="shared" si="3"/>
        <v>Non-Trading Day</v>
      </c>
      <c r="O112" t="str">
        <f t="shared" si="4"/>
        <v>Positive</v>
      </c>
      <c r="P112" t="str">
        <f t="shared" si="5"/>
        <v>Positive</v>
      </c>
    </row>
    <row r="113" spans="1:16" x14ac:dyDescent="0.3">
      <c r="A113" s="1">
        <v>43466</v>
      </c>
      <c r="B113">
        <v>26.77</v>
      </c>
      <c r="C113">
        <v>0</v>
      </c>
      <c r="D113">
        <v>0</v>
      </c>
      <c r="E113">
        <v>38</v>
      </c>
      <c r="F113">
        <v>2.58</v>
      </c>
      <c r="G113">
        <v>0.2</v>
      </c>
      <c r="H113">
        <v>40</v>
      </c>
      <c r="I113">
        <v>6.72</v>
      </c>
      <c r="J113">
        <v>0</v>
      </c>
      <c r="K113">
        <f>YEAR(NetflixData[[#This Row],[date]])</f>
        <v>2019</v>
      </c>
      <c r="L113" t="str">
        <f>TEXT(NetflixData[[#This Row],[date]],"mmm")</f>
        <v>Jan</v>
      </c>
      <c r="M113" t="str">
        <f>TEXT(NetflixData[[#This Row],[date]],"mmm yyyy")</f>
        <v>Jan 2019</v>
      </c>
      <c r="N113" t="str">
        <f t="shared" si="3"/>
        <v>Trading Day</v>
      </c>
      <c r="O113" t="str">
        <f t="shared" si="4"/>
        <v>No Change</v>
      </c>
      <c r="P113" t="str">
        <f t="shared" si="5"/>
        <v>Positive</v>
      </c>
    </row>
    <row r="114" spans="1:16" x14ac:dyDescent="0.3">
      <c r="A114" s="1">
        <v>43467</v>
      </c>
      <c r="B114">
        <v>26.77</v>
      </c>
      <c r="C114">
        <v>116795000</v>
      </c>
      <c r="D114">
        <v>3.2320000000000002</v>
      </c>
      <c r="E114">
        <v>47</v>
      </c>
      <c r="F114">
        <v>2.79</v>
      </c>
      <c r="G114">
        <v>0.22589999999999999</v>
      </c>
      <c r="H114">
        <v>2</v>
      </c>
      <c r="I114">
        <v>7</v>
      </c>
      <c r="J114">
        <v>1</v>
      </c>
      <c r="K114">
        <f>YEAR(NetflixData[[#This Row],[date]])</f>
        <v>2019</v>
      </c>
      <c r="L114" t="str">
        <f>TEXT(NetflixData[[#This Row],[date]],"mmm")</f>
        <v>Jan</v>
      </c>
      <c r="M114" t="str">
        <f>TEXT(NetflixData[[#This Row],[date]],"mmm yyyy")</f>
        <v>Jan 2019</v>
      </c>
      <c r="N114" t="str">
        <f t="shared" si="3"/>
        <v>Trading Day</v>
      </c>
      <c r="O114" t="str">
        <f t="shared" si="4"/>
        <v>Positive</v>
      </c>
      <c r="P114" t="str">
        <f t="shared" si="5"/>
        <v>Positive</v>
      </c>
    </row>
    <row r="115" spans="1:16" x14ac:dyDescent="0.3">
      <c r="A115" s="1">
        <v>43468</v>
      </c>
      <c r="B115">
        <v>27.12</v>
      </c>
      <c r="C115">
        <v>149696000</v>
      </c>
      <c r="D115">
        <v>0.37</v>
      </c>
      <c r="E115">
        <v>39</v>
      </c>
      <c r="F115">
        <v>2.79</v>
      </c>
      <c r="G115">
        <v>0.3619</v>
      </c>
      <c r="H115">
        <v>2</v>
      </c>
      <c r="I115">
        <v>5.6</v>
      </c>
      <c r="J115">
        <v>1</v>
      </c>
      <c r="K115">
        <f>YEAR(NetflixData[[#This Row],[date]])</f>
        <v>2019</v>
      </c>
      <c r="L115" t="str">
        <f>TEXT(NetflixData[[#This Row],[date]],"mmm")</f>
        <v>Jan</v>
      </c>
      <c r="M115" t="str">
        <f>TEXT(NetflixData[[#This Row],[date]],"mmm yyyy")</f>
        <v>Jan 2019</v>
      </c>
      <c r="N115" t="str">
        <f t="shared" si="3"/>
        <v>Trading Day</v>
      </c>
      <c r="O115" t="str">
        <f t="shared" si="4"/>
        <v>Positive</v>
      </c>
      <c r="P115" t="str">
        <f t="shared" si="5"/>
        <v>Positive</v>
      </c>
    </row>
    <row r="116" spans="1:16" x14ac:dyDescent="0.3">
      <c r="A116" s="1">
        <v>43469</v>
      </c>
      <c r="B116">
        <v>29.76</v>
      </c>
      <c r="C116">
        <v>193301000</v>
      </c>
      <c r="D116">
        <v>5.5659999999999998</v>
      </c>
      <c r="E116">
        <v>35</v>
      </c>
      <c r="F116">
        <v>2.4900000000000002</v>
      </c>
      <c r="G116">
        <v>0.26369999999999999</v>
      </c>
      <c r="H116">
        <v>6</v>
      </c>
      <c r="I116">
        <v>6.22</v>
      </c>
      <c r="J116">
        <v>1</v>
      </c>
      <c r="K116">
        <f>YEAR(NetflixData[[#This Row],[date]])</f>
        <v>2019</v>
      </c>
      <c r="L116" t="str">
        <f>TEXT(NetflixData[[#This Row],[date]],"mmm")</f>
        <v>Jan</v>
      </c>
      <c r="M116" t="str">
        <f>TEXT(NetflixData[[#This Row],[date]],"mmm yyyy")</f>
        <v>Jan 2019</v>
      </c>
      <c r="N116" t="str">
        <f t="shared" si="3"/>
        <v>Non-Trading Day</v>
      </c>
      <c r="O116" t="str">
        <f t="shared" si="4"/>
        <v>Positive</v>
      </c>
      <c r="P116" t="str">
        <f t="shared" si="5"/>
        <v>Positive</v>
      </c>
    </row>
    <row r="117" spans="1:16" x14ac:dyDescent="0.3">
      <c r="A117" s="1">
        <v>43470</v>
      </c>
      <c r="B117">
        <v>29.76</v>
      </c>
      <c r="C117">
        <v>0</v>
      </c>
      <c r="D117">
        <v>0</v>
      </c>
      <c r="E117">
        <v>35</v>
      </c>
      <c r="F117">
        <v>3.17</v>
      </c>
      <c r="G117">
        <v>0.37480000000000002</v>
      </c>
      <c r="H117">
        <v>8</v>
      </c>
      <c r="I117">
        <v>6.05</v>
      </c>
      <c r="J117">
        <v>0</v>
      </c>
      <c r="K117">
        <f>YEAR(NetflixData[[#This Row],[date]])</f>
        <v>2019</v>
      </c>
      <c r="L117" t="str">
        <f>TEXT(NetflixData[[#This Row],[date]],"mmm")</f>
        <v>Jan</v>
      </c>
      <c r="M117" t="str">
        <f>TEXT(NetflixData[[#This Row],[date]],"mmm yyyy")</f>
        <v>Jan 2019</v>
      </c>
      <c r="N117" t="str">
        <f t="shared" si="3"/>
        <v>Non-Trading Day</v>
      </c>
      <c r="O117" t="str">
        <f t="shared" si="4"/>
        <v>No Change</v>
      </c>
      <c r="P117" t="str">
        <f t="shared" si="5"/>
        <v>Positive</v>
      </c>
    </row>
    <row r="118" spans="1:16" x14ac:dyDescent="0.3">
      <c r="A118" s="1">
        <v>43471</v>
      </c>
      <c r="B118">
        <v>29.76</v>
      </c>
      <c r="C118">
        <v>0</v>
      </c>
      <c r="D118">
        <v>0</v>
      </c>
      <c r="E118">
        <v>39</v>
      </c>
      <c r="F118">
        <v>3.33</v>
      </c>
      <c r="G118">
        <v>0.27650000000000002</v>
      </c>
      <c r="H118">
        <v>0</v>
      </c>
      <c r="J118">
        <v>0</v>
      </c>
      <c r="K118">
        <f>YEAR(NetflixData[[#This Row],[date]])</f>
        <v>2019</v>
      </c>
      <c r="L118" t="str">
        <f>TEXT(NetflixData[[#This Row],[date]],"mmm")</f>
        <v>Jan</v>
      </c>
      <c r="M118" t="str">
        <f>TEXT(NetflixData[[#This Row],[date]],"mmm yyyy")</f>
        <v>Jan 2019</v>
      </c>
      <c r="N118" t="str">
        <f t="shared" si="3"/>
        <v>Trading Day</v>
      </c>
      <c r="O118" t="str">
        <f t="shared" si="4"/>
        <v>No Change</v>
      </c>
      <c r="P118" t="str">
        <f t="shared" si="5"/>
        <v>Positive</v>
      </c>
    </row>
    <row r="119" spans="1:16" x14ac:dyDescent="0.3">
      <c r="A119" s="1">
        <v>43472</v>
      </c>
      <c r="B119">
        <v>31.53</v>
      </c>
      <c r="C119">
        <v>186201000</v>
      </c>
      <c r="D119">
        <v>4.383</v>
      </c>
      <c r="E119">
        <v>29</v>
      </c>
      <c r="F119">
        <v>3.07</v>
      </c>
      <c r="G119">
        <v>0.23350000000000001</v>
      </c>
      <c r="H119">
        <v>3</v>
      </c>
      <c r="I119">
        <v>6.8</v>
      </c>
      <c r="J119">
        <v>1</v>
      </c>
      <c r="K119">
        <f>YEAR(NetflixData[[#This Row],[date]])</f>
        <v>2019</v>
      </c>
      <c r="L119" t="str">
        <f>TEXT(NetflixData[[#This Row],[date]],"mmm")</f>
        <v>Jan</v>
      </c>
      <c r="M119" t="str">
        <f>TEXT(NetflixData[[#This Row],[date]],"mmm yyyy")</f>
        <v>Jan 2019</v>
      </c>
      <c r="N119" t="str">
        <f t="shared" si="3"/>
        <v>Trading Day</v>
      </c>
      <c r="O119" t="str">
        <f t="shared" si="4"/>
        <v>Positive</v>
      </c>
      <c r="P119" t="str">
        <f t="shared" si="5"/>
        <v>Positive</v>
      </c>
    </row>
    <row r="120" spans="1:16" x14ac:dyDescent="0.3">
      <c r="A120" s="1">
        <v>43473</v>
      </c>
      <c r="B120">
        <v>32.03</v>
      </c>
      <c r="C120">
        <v>153592000</v>
      </c>
      <c r="D120">
        <v>9.0999999999999998E-2</v>
      </c>
      <c r="E120">
        <v>35</v>
      </c>
      <c r="F120">
        <v>2.86</v>
      </c>
      <c r="G120">
        <v>0.18809999999999999</v>
      </c>
      <c r="H120">
        <v>1</v>
      </c>
      <c r="I120">
        <v>6.1</v>
      </c>
      <c r="J120">
        <v>1</v>
      </c>
      <c r="K120">
        <f>YEAR(NetflixData[[#This Row],[date]])</f>
        <v>2019</v>
      </c>
      <c r="L120" t="str">
        <f>TEXT(NetflixData[[#This Row],[date]],"mmm")</f>
        <v>Jan</v>
      </c>
      <c r="M120" t="str">
        <f>TEXT(NetflixData[[#This Row],[date]],"mmm yyyy")</f>
        <v>Jan 2019</v>
      </c>
      <c r="N120" t="str">
        <f t="shared" si="3"/>
        <v>Trading Day</v>
      </c>
      <c r="O120" t="str">
        <f t="shared" si="4"/>
        <v>Positive</v>
      </c>
      <c r="P120" t="str">
        <f t="shared" si="5"/>
        <v>Positive</v>
      </c>
    </row>
    <row r="121" spans="1:16" x14ac:dyDescent="0.3">
      <c r="A121" s="1">
        <v>43474</v>
      </c>
      <c r="B121">
        <v>32</v>
      </c>
      <c r="C121">
        <v>133432000</v>
      </c>
      <c r="D121">
        <v>0.70799999999999996</v>
      </c>
      <c r="E121">
        <v>26</v>
      </c>
      <c r="F121">
        <v>3.27</v>
      </c>
      <c r="G121">
        <v>0.39629999999999999</v>
      </c>
      <c r="H121">
        <v>5</v>
      </c>
      <c r="I121">
        <v>5.42</v>
      </c>
      <c r="J121">
        <v>1</v>
      </c>
      <c r="K121">
        <f>YEAR(NetflixData[[#This Row],[date]])</f>
        <v>2019</v>
      </c>
      <c r="L121" t="str">
        <f>TEXT(NetflixData[[#This Row],[date]],"mmm")</f>
        <v>Jan</v>
      </c>
      <c r="M121" t="str">
        <f>TEXT(NetflixData[[#This Row],[date]],"mmm yyyy")</f>
        <v>Jan 2019</v>
      </c>
      <c r="N121" t="str">
        <f t="shared" si="3"/>
        <v>Trading Day</v>
      </c>
      <c r="O121" t="str">
        <f t="shared" si="4"/>
        <v>Positive</v>
      </c>
      <c r="P121" t="str">
        <f t="shared" si="5"/>
        <v>Positive</v>
      </c>
    </row>
    <row r="122" spans="1:16" x14ac:dyDescent="0.3">
      <c r="A122" s="1">
        <v>43475</v>
      </c>
      <c r="B122">
        <v>32.47</v>
      </c>
      <c r="C122">
        <v>134725000</v>
      </c>
      <c r="D122">
        <v>3.2080000000000002</v>
      </c>
      <c r="E122">
        <v>34</v>
      </c>
      <c r="F122">
        <v>2.88</v>
      </c>
      <c r="G122">
        <v>0.34460000000000002</v>
      </c>
      <c r="H122">
        <v>3</v>
      </c>
      <c r="I122">
        <v>7.4</v>
      </c>
      <c r="J122">
        <v>1</v>
      </c>
      <c r="K122">
        <f>YEAR(NetflixData[[#This Row],[date]])</f>
        <v>2019</v>
      </c>
      <c r="L122" t="str">
        <f>TEXT(NetflixData[[#This Row],[date]],"mmm")</f>
        <v>Jan</v>
      </c>
      <c r="M122" t="str">
        <f>TEXT(NetflixData[[#This Row],[date]],"mmm yyyy")</f>
        <v>Jan 2019</v>
      </c>
      <c r="N122" t="str">
        <f t="shared" si="3"/>
        <v>Trading Day</v>
      </c>
      <c r="O122" t="str">
        <f t="shared" si="4"/>
        <v>Positive</v>
      </c>
      <c r="P122" t="str">
        <f t="shared" si="5"/>
        <v>Positive</v>
      </c>
    </row>
    <row r="123" spans="1:16" x14ac:dyDescent="0.3">
      <c r="A123" s="1">
        <v>43476</v>
      </c>
      <c r="B123">
        <v>33.76</v>
      </c>
      <c r="C123">
        <v>195004000</v>
      </c>
      <c r="D123">
        <v>2.0030000000000001</v>
      </c>
      <c r="E123">
        <v>34</v>
      </c>
      <c r="F123">
        <v>3.21</v>
      </c>
      <c r="G123">
        <v>0.32200000000000001</v>
      </c>
      <c r="H123">
        <v>8</v>
      </c>
      <c r="I123">
        <v>6.28</v>
      </c>
      <c r="J123">
        <v>1</v>
      </c>
      <c r="K123">
        <f>YEAR(NetflixData[[#This Row],[date]])</f>
        <v>2019</v>
      </c>
      <c r="L123" t="str">
        <f>TEXT(NetflixData[[#This Row],[date]],"mmm")</f>
        <v>Jan</v>
      </c>
      <c r="M123" t="str">
        <f>TEXT(NetflixData[[#This Row],[date]],"mmm yyyy")</f>
        <v>Jan 2019</v>
      </c>
      <c r="N123" t="str">
        <f t="shared" si="3"/>
        <v>Non-Trading Day</v>
      </c>
      <c r="O123" t="str">
        <f t="shared" si="4"/>
        <v>Positive</v>
      </c>
      <c r="P123" t="str">
        <f t="shared" si="5"/>
        <v>Positive</v>
      </c>
    </row>
    <row r="124" spans="1:16" x14ac:dyDescent="0.3">
      <c r="A124" s="1">
        <v>43477</v>
      </c>
      <c r="B124">
        <v>33.76</v>
      </c>
      <c r="C124">
        <v>0</v>
      </c>
      <c r="D124">
        <v>0</v>
      </c>
      <c r="E124">
        <v>36</v>
      </c>
      <c r="F124">
        <v>3.06</v>
      </c>
      <c r="G124">
        <v>0.12590000000000001</v>
      </c>
      <c r="H124">
        <v>2</v>
      </c>
      <c r="I124">
        <v>6.15</v>
      </c>
      <c r="J124">
        <v>0</v>
      </c>
      <c r="K124">
        <f>YEAR(NetflixData[[#This Row],[date]])</f>
        <v>2019</v>
      </c>
      <c r="L124" t="str">
        <f>TEXT(NetflixData[[#This Row],[date]],"mmm")</f>
        <v>Jan</v>
      </c>
      <c r="M124" t="str">
        <f>TEXT(NetflixData[[#This Row],[date]],"mmm yyyy")</f>
        <v>Jan 2019</v>
      </c>
      <c r="N124" t="str">
        <f t="shared" si="3"/>
        <v>Non-Trading Day</v>
      </c>
      <c r="O124" t="str">
        <f t="shared" si="4"/>
        <v>No Change</v>
      </c>
      <c r="P124" t="str">
        <f t="shared" si="5"/>
        <v>Positive</v>
      </c>
    </row>
    <row r="125" spans="1:16" x14ac:dyDescent="0.3">
      <c r="A125" s="1">
        <v>43478</v>
      </c>
      <c r="B125">
        <v>33.76</v>
      </c>
      <c r="C125">
        <v>0</v>
      </c>
      <c r="D125">
        <v>0</v>
      </c>
      <c r="E125">
        <v>32</v>
      </c>
      <c r="F125">
        <v>2.75</v>
      </c>
      <c r="G125">
        <v>0.22819999999999999</v>
      </c>
      <c r="H125">
        <v>3</v>
      </c>
      <c r="I125">
        <v>6.87</v>
      </c>
      <c r="J125">
        <v>0</v>
      </c>
      <c r="K125">
        <f>YEAR(NetflixData[[#This Row],[date]])</f>
        <v>2019</v>
      </c>
      <c r="L125" t="str">
        <f>TEXT(NetflixData[[#This Row],[date]],"mmm")</f>
        <v>Jan</v>
      </c>
      <c r="M125" t="str">
        <f>TEXT(NetflixData[[#This Row],[date]],"mmm yyyy")</f>
        <v>Jan 2019</v>
      </c>
      <c r="N125" t="str">
        <f t="shared" si="3"/>
        <v>Trading Day</v>
      </c>
      <c r="O125" t="str">
        <f t="shared" si="4"/>
        <v>No Change</v>
      </c>
      <c r="P125" t="str">
        <f t="shared" si="5"/>
        <v>Positive</v>
      </c>
    </row>
    <row r="126" spans="1:16" x14ac:dyDescent="0.3">
      <c r="A126" s="1">
        <v>43479</v>
      </c>
      <c r="B126">
        <v>33.29</v>
      </c>
      <c r="C126">
        <v>104996000</v>
      </c>
      <c r="D126">
        <v>-0.38900000000000001</v>
      </c>
      <c r="E126">
        <v>29</v>
      </c>
      <c r="F126">
        <v>3.1</v>
      </c>
      <c r="G126">
        <v>0.1167</v>
      </c>
      <c r="H126">
        <v>2</v>
      </c>
      <c r="I126">
        <v>7.1</v>
      </c>
      <c r="J126">
        <v>1</v>
      </c>
      <c r="K126">
        <f>YEAR(NetflixData[[#This Row],[date]])</f>
        <v>2019</v>
      </c>
      <c r="L126" t="str">
        <f>TEXT(NetflixData[[#This Row],[date]],"mmm")</f>
        <v>Jan</v>
      </c>
      <c r="M126" t="str">
        <f>TEXT(NetflixData[[#This Row],[date]],"mmm yyyy")</f>
        <v>Jan 2019</v>
      </c>
      <c r="N126" t="str">
        <f t="shared" si="3"/>
        <v>Trading Day</v>
      </c>
      <c r="O126" t="str">
        <f t="shared" si="4"/>
        <v>Negative</v>
      </c>
      <c r="P126" t="str">
        <f t="shared" si="5"/>
        <v>Positive</v>
      </c>
    </row>
    <row r="127" spans="1:16" x14ac:dyDescent="0.3">
      <c r="A127" s="1">
        <v>43480</v>
      </c>
      <c r="B127">
        <v>35.46</v>
      </c>
      <c r="C127">
        <v>211812000</v>
      </c>
      <c r="D127">
        <v>1.4419999999999999</v>
      </c>
      <c r="E127">
        <v>56</v>
      </c>
      <c r="F127">
        <v>3.34</v>
      </c>
      <c r="G127">
        <v>0.3931</v>
      </c>
      <c r="H127">
        <v>17</v>
      </c>
      <c r="I127">
        <v>6.23</v>
      </c>
      <c r="J127">
        <v>1</v>
      </c>
      <c r="K127">
        <f>YEAR(NetflixData[[#This Row],[date]])</f>
        <v>2019</v>
      </c>
      <c r="L127" t="str">
        <f>TEXT(NetflixData[[#This Row],[date]],"mmm")</f>
        <v>Jan</v>
      </c>
      <c r="M127" t="str">
        <f>TEXT(NetflixData[[#This Row],[date]],"mmm yyyy")</f>
        <v>Jan 2019</v>
      </c>
      <c r="N127" t="str">
        <f t="shared" si="3"/>
        <v>Trading Day</v>
      </c>
      <c r="O127" t="str">
        <f t="shared" si="4"/>
        <v>Positive</v>
      </c>
      <c r="P127" t="str">
        <f t="shared" si="5"/>
        <v>Positive</v>
      </c>
    </row>
    <row r="128" spans="1:16" x14ac:dyDescent="0.3">
      <c r="A128" s="1">
        <v>43481</v>
      </c>
      <c r="B128">
        <v>35.14</v>
      </c>
      <c r="C128">
        <v>153855000</v>
      </c>
      <c r="D128">
        <v>-0.73699999999999999</v>
      </c>
      <c r="E128">
        <v>39</v>
      </c>
      <c r="F128">
        <v>3.15</v>
      </c>
      <c r="G128">
        <v>0.34379999999999999</v>
      </c>
      <c r="H128">
        <v>2</v>
      </c>
      <c r="I128">
        <v>4.55</v>
      </c>
      <c r="J128">
        <v>1</v>
      </c>
      <c r="K128">
        <f>YEAR(NetflixData[[#This Row],[date]])</f>
        <v>2019</v>
      </c>
      <c r="L128" t="str">
        <f>TEXT(NetflixData[[#This Row],[date]],"mmm")</f>
        <v>Jan</v>
      </c>
      <c r="M128" t="str">
        <f>TEXT(NetflixData[[#This Row],[date]],"mmm yyyy")</f>
        <v>Jan 2019</v>
      </c>
      <c r="N128" t="str">
        <f t="shared" si="3"/>
        <v>Trading Day</v>
      </c>
      <c r="O128" t="str">
        <f t="shared" si="4"/>
        <v>Negative</v>
      </c>
      <c r="P128" t="str">
        <f t="shared" si="5"/>
        <v>Positive</v>
      </c>
    </row>
    <row r="129" spans="1:16" x14ac:dyDescent="0.3">
      <c r="A129" s="1">
        <v>43482</v>
      </c>
      <c r="B129">
        <v>35.32</v>
      </c>
      <c r="C129">
        <v>188712000</v>
      </c>
      <c r="D129">
        <v>1.056</v>
      </c>
      <c r="E129">
        <v>33</v>
      </c>
      <c r="F129">
        <v>3.27</v>
      </c>
      <c r="G129">
        <v>0.44090000000000001</v>
      </c>
      <c r="H129">
        <v>0</v>
      </c>
      <c r="J129">
        <v>1</v>
      </c>
      <c r="K129">
        <f>YEAR(NetflixData[[#This Row],[date]])</f>
        <v>2019</v>
      </c>
      <c r="L129" t="str">
        <f>TEXT(NetflixData[[#This Row],[date]],"mmm")</f>
        <v>Jan</v>
      </c>
      <c r="M129" t="str">
        <f>TEXT(NetflixData[[#This Row],[date]],"mmm yyyy")</f>
        <v>Jan 2019</v>
      </c>
      <c r="N129" t="str">
        <f t="shared" si="3"/>
        <v>Trading Day</v>
      </c>
      <c r="O129" t="str">
        <f t="shared" si="4"/>
        <v>Positive</v>
      </c>
      <c r="P129" t="str">
        <f t="shared" si="5"/>
        <v>Positive</v>
      </c>
    </row>
    <row r="130" spans="1:16" x14ac:dyDescent="0.3">
      <c r="A130" s="1">
        <v>43483</v>
      </c>
      <c r="B130">
        <v>33.909999999999997</v>
      </c>
      <c r="C130">
        <v>266210000</v>
      </c>
      <c r="D130">
        <v>-3.657</v>
      </c>
      <c r="E130">
        <v>28</v>
      </c>
      <c r="F130">
        <v>2.68</v>
      </c>
      <c r="G130">
        <v>0.1792</v>
      </c>
      <c r="H130">
        <v>13</v>
      </c>
      <c r="I130">
        <v>6.54</v>
      </c>
      <c r="J130">
        <v>1</v>
      </c>
      <c r="K130">
        <f>YEAR(NetflixData[[#This Row],[date]])</f>
        <v>2019</v>
      </c>
      <c r="L130" t="str">
        <f>TEXT(NetflixData[[#This Row],[date]],"mmm")</f>
        <v>Jan</v>
      </c>
      <c r="M130" t="str">
        <f>TEXT(NetflixData[[#This Row],[date]],"mmm yyyy")</f>
        <v>Jan 2019</v>
      </c>
      <c r="N130" t="str">
        <f t="shared" ref="N130:N193" si="6">IF(J131=1,"Trading Day","Non-Trading Day")</f>
        <v>Non-Trading Day</v>
      </c>
      <c r="O130" t="str">
        <f t="shared" ref="O130:O193" si="7">IF(D130&gt;0,"Positive",IF(D130&lt;0,"Negative","No Change"))</f>
        <v>Negative</v>
      </c>
      <c r="P130" t="str">
        <f t="shared" ref="P130:P193" si="8">IF(G130&gt;0.1,"Positive",IF(G130&lt;-0.1,"Negative","Neutral"))</f>
        <v>Positive</v>
      </c>
    </row>
    <row r="131" spans="1:16" x14ac:dyDescent="0.3">
      <c r="A131" s="1">
        <v>43484</v>
      </c>
      <c r="B131">
        <v>33.909999999999997</v>
      </c>
      <c r="C131">
        <v>0</v>
      </c>
      <c r="D131">
        <v>0</v>
      </c>
      <c r="E131">
        <v>44</v>
      </c>
      <c r="F131">
        <v>3.16</v>
      </c>
      <c r="G131">
        <v>0.22559999999999999</v>
      </c>
      <c r="H131">
        <v>1</v>
      </c>
      <c r="J131">
        <v>0</v>
      </c>
      <c r="K131">
        <f>YEAR(NetflixData[[#This Row],[date]])</f>
        <v>2019</v>
      </c>
      <c r="L131" t="str">
        <f>TEXT(NetflixData[[#This Row],[date]],"mmm")</f>
        <v>Jan</v>
      </c>
      <c r="M131" t="str">
        <f>TEXT(NetflixData[[#This Row],[date]],"mmm yyyy")</f>
        <v>Jan 2019</v>
      </c>
      <c r="N131" t="str">
        <f t="shared" si="6"/>
        <v>Non-Trading Day</v>
      </c>
      <c r="O131" t="str">
        <f t="shared" si="7"/>
        <v>No Change</v>
      </c>
      <c r="P131" t="str">
        <f t="shared" si="8"/>
        <v>Positive</v>
      </c>
    </row>
    <row r="132" spans="1:16" x14ac:dyDescent="0.3">
      <c r="A132" s="1">
        <v>43485</v>
      </c>
      <c r="B132">
        <v>33.909999999999997</v>
      </c>
      <c r="C132">
        <v>0</v>
      </c>
      <c r="D132">
        <v>0</v>
      </c>
      <c r="E132">
        <v>47</v>
      </c>
      <c r="F132">
        <v>2.96</v>
      </c>
      <c r="G132">
        <v>0.19950000000000001</v>
      </c>
      <c r="H132">
        <v>0</v>
      </c>
      <c r="J132">
        <v>0</v>
      </c>
      <c r="K132">
        <f>YEAR(NetflixData[[#This Row],[date]])</f>
        <v>2019</v>
      </c>
      <c r="L132" t="str">
        <f>TEXT(NetflixData[[#This Row],[date]],"mmm")</f>
        <v>Jan</v>
      </c>
      <c r="M132" t="str">
        <f>TEXT(NetflixData[[#This Row],[date]],"mmm yyyy")</f>
        <v>Jan 2019</v>
      </c>
      <c r="N132" t="str">
        <f t="shared" si="6"/>
        <v>Non-Trading Day</v>
      </c>
      <c r="O132" t="str">
        <f t="shared" si="7"/>
        <v>No Change</v>
      </c>
      <c r="P132" t="str">
        <f t="shared" si="8"/>
        <v>Positive</v>
      </c>
    </row>
    <row r="133" spans="1:16" x14ac:dyDescent="0.3">
      <c r="A133" s="1">
        <v>43486</v>
      </c>
      <c r="B133">
        <v>33.909999999999997</v>
      </c>
      <c r="C133">
        <v>0</v>
      </c>
      <c r="D133">
        <v>0</v>
      </c>
      <c r="E133">
        <v>43</v>
      </c>
      <c r="F133">
        <v>3.05</v>
      </c>
      <c r="G133">
        <v>0.1148</v>
      </c>
      <c r="H133">
        <v>0</v>
      </c>
      <c r="J133">
        <v>0</v>
      </c>
      <c r="K133">
        <f>YEAR(NetflixData[[#This Row],[date]])</f>
        <v>2019</v>
      </c>
      <c r="L133" t="str">
        <f>TEXT(NetflixData[[#This Row],[date]],"mmm")</f>
        <v>Jan</v>
      </c>
      <c r="M133" t="str">
        <f>TEXT(NetflixData[[#This Row],[date]],"mmm yyyy")</f>
        <v>Jan 2019</v>
      </c>
      <c r="N133" t="str">
        <f t="shared" si="6"/>
        <v>Trading Day</v>
      </c>
      <c r="O133" t="str">
        <f t="shared" si="7"/>
        <v>No Change</v>
      </c>
      <c r="P133" t="str">
        <f t="shared" si="8"/>
        <v>Positive</v>
      </c>
    </row>
    <row r="134" spans="1:16" x14ac:dyDescent="0.3">
      <c r="A134" s="1">
        <v>43487</v>
      </c>
      <c r="B134">
        <v>32.520000000000003</v>
      </c>
      <c r="C134">
        <v>179414000</v>
      </c>
      <c r="D134">
        <v>-2.9049999999999998</v>
      </c>
      <c r="E134">
        <v>38</v>
      </c>
      <c r="F134">
        <v>2.89</v>
      </c>
      <c r="G134">
        <v>0.12180000000000001</v>
      </c>
      <c r="H134">
        <v>0</v>
      </c>
      <c r="J134">
        <v>1</v>
      </c>
      <c r="K134">
        <f>YEAR(NetflixData[[#This Row],[date]])</f>
        <v>2019</v>
      </c>
      <c r="L134" t="str">
        <f>TEXT(NetflixData[[#This Row],[date]],"mmm")</f>
        <v>Jan</v>
      </c>
      <c r="M134" t="str">
        <f>TEXT(NetflixData[[#This Row],[date]],"mmm yyyy")</f>
        <v>Jan 2019</v>
      </c>
      <c r="N134" t="str">
        <f t="shared" si="6"/>
        <v>Trading Day</v>
      </c>
      <c r="O134" t="str">
        <f t="shared" si="7"/>
        <v>Negative</v>
      </c>
      <c r="P134" t="str">
        <f t="shared" si="8"/>
        <v>Positive</v>
      </c>
    </row>
    <row r="135" spans="1:16" x14ac:dyDescent="0.3">
      <c r="A135" s="1">
        <v>43488</v>
      </c>
      <c r="B135">
        <v>32.200000000000003</v>
      </c>
      <c r="C135">
        <v>134801000</v>
      </c>
      <c r="D135">
        <v>-1.907</v>
      </c>
      <c r="E135">
        <v>47</v>
      </c>
      <c r="F135">
        <v>3.11</v>
      </c>
      <c r="G135">
        <v>0.23719999999999999</v>
      </c>
      <c r="H135">
        <v>2</v>
      </c>
      <c r="I135">
        <v>7.15</v>
      </c>
      <c r="J135">
        <v>1</v>
      </c>
      <c r="K135">
        <f>YEAR(NetflixData[[#This Row],[date]])</f>
        <v>2019</v>
      </c>
      <c r="L135" t="str">
        <f>TEXT(NetflixData[[#This Row],[date]],"mmm")</f>
        <v>Jan</v>
      </c>
      <c r="M135" t="str">
        <f>TEXT(NetflixData[[#This Row],[date]],"mmm yyyy")</f>
        <v>Jan 2019</v>
      </c>
      <c r="N135" t="str">
        <f t="shared" si="6"/>
        <v>Trading Day</v>
      </c>
      <c r="O135" t="str">
        <f t="shared" si="7"/>
        <v>Negative</v>
      </c>
      <c r="P135" t="str">
        <f t="shared" si="8"/>
        <v>Positive</v>
      </c>
    </row>
    <row r="136" spans="1:16" x14ac:dyDescent="0.3">
      <c r="A136" s="1">
        <v>43489</v>
      </c>
      <c r="B136">
        <v>32.67</v>
      </c>
      <c r="C136">
        <v>111316000</v>
      </c>
      <c r="D136">
        <v>1.893</v>
      </c>
      <c r="E136">
        <v>31</v>
      </c>
      <c r="F136">
        <v>3.32</v>
      </c>
      <c r="G136">
        <v>0.24399999999999999</v>
      </c>
      <c r="H136">
        <v>3</v>
      </c>
      <c r="I136">
        <v>7</v>
      </c>
      <c r="J136">
        <v>1</v>
      </c>
      <c r="K136">
        <f>YEAR(NetflixData[[#This Row],[date]])</f>
        <v>2019</v>
      </c>
      <c r="L136" t="str">
        <f>TEXT(NetflixData[[#This Row],[date]],"mmm")</f>
        <v>Jan</v>
      </c>
      <c r="M136" t="str">
        <f>TEXT(NetflixData[[#This Row],[date]],"mmm yyyy")</f>
        <v>Jan 2019</v>
      </c>
      <c r="N136" t="str">
        <f t="shared" si="6"/>
        <v>Trading Day</v>
      </c>
      <c r="O136" t="str">
        <f t="shared" si="7"/>
        <v>Positive</v>
      </c>
      <c r="P136" t="str">
        <f t="shared" si="8"/>
        <v>Positive</v>
      </c>
    </row>
    <row r="137" spans="1:16" x14ac:dyDescent="0.3">
      <c r="A137" s="1">
        <v>43490</v>
      </c>
      <c r="B137">
        <v>33.81</v>
      </c>
      <c r="C137">
        <v>111529000</v>
      </c>
      <c r="D137">
        <v>2.8380000000000001</v>
      </c>
      <c r="E137">
        <v>45</v>
      </c>
      <c r="F137">
        <v>2.73</v>
      </c>
      <c r="G137">
        <v>0.2392</v>
      </c>
      <c r="H137">
        <v>7</v>
      </c>
      <c r="I137">
        <v>7.17</v>
      </c>
      <c r="J137">
        <v>1</v>
      </c>
      <c r="K137">
        <f>YEAR(NetflixData[[#This Row],[date]])</f>
        <v>2019</v>
      </c>
      <c r="L137" t="str">
        <f>TEXT(NetflixData[[#This Row],[date]],"mmm")</f>
        <v>Jan</v>
      </c>
      <c r="M137" t="str">
        <f>TEXT(NetflixData[[#This Row],[date]],"mmm yyyy")</f>
        <v>Jan 2019</v>
      </c>
      <c r="N137" t="str">
        <f t="shared" si="6"/>
        <v>Non-Trading Day</v>
      </c>
      <c r="O137" t="str">
        <f t="shared" si="7"/>
        <v>Positive</v>
      </c>
      <c r="P137" t="str">
        <f t="shared" si="8"/>
        <v>Positive</v>
      </c>
    </row>
    <row r="138" spans="1:16" x14ac:dyDescent="0.3">
      <c r="A138" s="1">
        <v>43491</v>
      </c>
      <c r="B138">
        <v>33.81</v>
      </c>
      <c r="C138">
        <v>0</v>
      </c>
      <c r="D138">
        <v>0</v>
      </c>
      <c r="E138">
        <v>36</v>
      </c>
      <c r="F138">
        <v>2.69</v>
      </c>
      <c r="G138">
        <v>0.1464</v>
      </c>
      <c r="H138">
        <v>2</v>
      </c>
      <c r="I138">
        <v>6.6</v>
      </c>
      <c r="J138">
        <v>0</v>
      </c>
      <c r="K138">
        <f>YEAR(NetflixData[[#This Row],[date]])</f>
        <v>2019</v>
      </c>
      <c r="L138" t="str">
        <f>TEXT(NetflixData[[#This Row],[date]],"mmm")</f>
        <v>Jan</v>
      </c>
      <c r="M138" t="str">
        <f>TEXT(NetflixData[[#This Row],[date]],"mmm yyyy")</f>
        <v>Jan 2019</v>
      </c>
      <c r="N138" t="str">
        <f t="shared" si="6"/>
        <v>Non-Trading Day</v>
      </c>
      <c r="O138" t="str">
        <f t="shared" si="7"/>
        <v>No Change</v>
      </c>
      <c r="P138" t="str">
        <f t="shared" si="8"/>
        <v>Positive</v>
      </c>
    </row>
    <row r="139" spans="1:16" x14ac:dyDescent="0.3">
      <c r="A139" s="1">
        <v>43492</v>
      </c>
      <c r="B139">
        <v>33.81</v>
      </c>
      <c r="C139">
        <v>0</v>
      </c>
      <c r="D139">
        <v>0</v>
      </c>
      <c r="E139">
        <v>44</v>
      </c>
      <c r="F139">
        <v>2.64</v>
      </c>
      <c r="G139">
        <v>0.16689999999999999</v>
      </c>
      <c r="H139">
        <v>2</v>
      </c>
      <c r="I139">
        <v>6.4</v>
      </c>
      <c r="J139">
        <v>0</v>
      </c>
      <c r="K139">
        <f>YEAR(NetflixData[[#This Row],[date]])</f>
        <v>2019</v>
      </c>
      <c r="L139" t="str">
        <f>TEXT(NetflixData[[#This Row],[date]],"mmm")</f>
        <v>Jan</v>
      </c>
      <c r="M139" t="str">
        <f>TEXT(NetflixData[[#This Row],[date]],"mmm yyyy")</f>
        <v>Jan 2019</v>
      </c>
      <c r="N139" t="str">
        <f t="shared" si="6"/>
        <v>Trading Day</v>
      </c>
      <c r="O139" t="str">
        <f t="shared" si="7"/>
        <v>No Change</v>
      </c>
      <c r="P139" t="str">
        <f t="shared" si="8"/>
        <v>Positive</v>
      </c>
    </row>
    <row r="140" spans="1:16" x14ac:dyDescent="0.3">
      <c r="A140" s="1">
        <v>43493</v>
      </c>
      <c r="B140">
        <v>33.57</v>
      </c>
      <c r="C140">
        <v>86521000</v>
      </c>
      <c r="D140">
        <v>0.28699999999999998</v>
      </c>
      <c r="E140">
        <v>38</v>
      </c>
      <c r="F140">
        <v>3.08</v>
      </c>
      <c r="G140">
        <v>0.21959999999999999</v>
      </c>
      <c r="H140">
        <v>6</v>
      </c>
      <c r="I140">
        <v>7.15</v>
      </c>
      <c r="J140">
        <v>1</v>
      </c>
      <c r="K140">
        <f>YEAR(NetflixData[[#This Row],[date]])</f>
        <v>2019</v>
      </c>
      <c r="L140" t="str">
        <f>TEXT(NetflixData[[#This Row],[date]],"mmm")</f>
        <v>Jan</v>
      </c>
      <c r="M140" t="str">
        <f>TEXT(NetflixData[[#This Row],[date]],"mmm yyyy")</f>
        <v>Jan 2019</v>
      </c>
      <c r="N140" t="str">
        <f t="shared" si="6"/>
        <v>Trading Day</v>
      </c>
      <c r="O140" t="str">
        <f t="shared" si="7"/>
        <v>Positive</v>
      </c>
      <c r="P140" t="str">
        <f t="shared" si="8"/>
        <v>Positive</v>
      </c>
    </row>
    <row r="141" spans="1:16" x14ac:dyDescent="0.3">
      <c r="A141" s="1">
        <v>43494</v>
      </c>
      <c r="B141">
        <v>32.89</v>
      </c>
      <c r="C141">
        <v>76552000</v>
      </c>
      <c r="D141">
        <v>-2.0750000000000002</v>
      </c>
      <c r="E141">
        <v>53</v>
      </c>
      <c r="F141">
        <v>3.6</v>
      </c>
      <c r="G141">
        <v>0.33800000000000002</v>
      </c>
      <c r="H141">
        <v>6</v>
      </c>
      <c r="I141">
        <v>6.62</v>
      </c>
      <c r="J141">
        <v>1</v>
      </c>
      <c r="K141">
        <f>YEAR(NetflixData[[#This Row],[date]])</f>
        <v>2019</v>
      </c>
      <c r="L141" t="str">
        <f>TEXT(NetflixData[[#This Row],[date]],"mmm")</f>
        <v>Jan</v>
      </c>
      <c r="M141" t="str">
        <f>TEXT(NetflixData[[#This Row],[date]],"mmm yyyy")</f>
        <v>Jan 2019</v>
      </c>
      <c r="N141" t="str">
        <f t="shared" si="6"/>
        <v>Trading Day</v>
      </c>
      <c r="O141" t="str">
        <f t="shared" si="7"/>
        <v>Negative</v>
      </c>
      <c r="P141" t="str">
        <f t="shared" si="8"/>
        <v>Positive</v>
      </c>
    </row>
    <row r="142" spans="1:16" x14ac:dyDescent="0.3">
      <c r="A142" s="1">
        <v>43495</v>
      </c>
      <c r="B142">
        <v>34.07</v>
      </c>
      <c r="C142">
        <v>92345000</v>
      </c>
      <c r="D142">
        <v>2.3769999999999998</v>
      </c>
      <c r="E142">
        <v>49</v>
      </c>
      <c r="F142">
        <v>2.88</v>
      </c>
      <c r="G142">
        <v>0.124</v>
      </c>
      <c r="H142">
        <v>6</v>
      </c>
      <c r="I142">
        <v>6.48</v>
      </c>
      <c r="J142">
        <v>1</v>
      </c>
      <c r="K142">
        <f>YEAR(NetflixData[[#This Row],[date]])</f>
        <v>2019</v>
      </c>
      <c r="L142" t="str">
        <f>TEXT(NetflixData[[#This Row],[date]],"mmm")</f>
        <v>Jan</v>
      </c>
      <c r="M142" t="str">
        <f>TEXT(NetflixData[[#This Row],[date]],"mmm yyyy")</f>
        <v>Jan 2019</v>
      </c>
      <c r="N142" t="str">
        <f t="shared" si="6"/>
        <v>Trading Day</v>
      </c>
      <c r="O142" t="str">
        <f t="shared" si="7"/>
        <v>Positive</v>
      </c>
      <c r="P142" t="str">
        <f t="shared" si="8"/>
        <v>Positive</v>
      </c>
    </row>
    <row r="143" spans="1:16" x14ac:dyDescent="0.3">
      <c r="A143" s="1">
        <v>43496</v>
      </c>
      <c r="B143">
        <v>33.950000000000003</v>
      </c>
      <c r="C143">
        <v>85355000</v>
      </c>
      <c r="D143">
        <v>-5.2999999999999999E-2</v>
      </c>
      <c r="E143">
        <v>29</v>
      </c>
      <c r="F143">
        <v>3.17</v>
      </c>
      <c r="G143">
        <v>0.29870000000000002</v>
      </c>
      <c r="H143">
        <v>8</v>
      </c>
      <c r="I143">
        <v>6.83</v>
      </c>
      <c r="J143">
        <v>1</v>
      </c>
      <c r="K143">
        <f>YEAR(NetflixData[[#This Row],[date]])</f>
        <v>2019</v>
      </c>
      <c r="L143" t="str">
        <f>TEXT(NetflixData[[#This Row],[date]],"mmm")</f>
        <v>Jan</v>
      </c>
      <c r="M143" t="str">
        <f>TEXT(NetflixData[[#This Row],[date]],"mmm yyyy")</f>
        <v>Jan 2019</v>
      </c>
      <c r="N143" t="str">
        <f t="shared" si="6"/>
        <v>Trading Day</v>
      </c>
      <c r="O143" t="str">
        <f t="shared" si="7"/>
        <v>Negative</v>
      </c>
      <c r="P143" t="str">
        <f t="shared" si="8"/>
        <v>Positive</v>
      </c>
    </row>
    <row r="144" spans="1:16" x14ac:dyDescent="0.3">
      <c r="A144" s="1">
        <v>43497</v>
      </c>
      <c r="B144">
        <v>33.99</v>
      </c>
      <c r="C144">
        <v>98278000</v>
      </c>
      <c r="D144">
        <v>0.79200000000000004</v>
      </c>
      <c r="E144">
        <v>44</v>
      </c>
      <c r="F144">
        <v>3</v>
      </c>
      <c r="G144">
        <v>0.27450000000000002</v>
      </c>
      <c r="H144">
        <v>41</v>
      </c>
      <c r="I144">
        <v>6.28</v>
      </c>
      <c r="J144">
        <v>1</v>
      </c>
      <c r="K144">
        <f>YEAR(NetflixData[[#This Row],[date]])</f>
        <v>2019</v>
      </c>
      <c r="L144" t="str">
        <f>TEXT(NetflixData[[#This Row],[date]],"mmm")</f>
        <v>Feb</v>
      </c>
      <c r="M144" t="str">
        <f>TEXT(NetflixData[[#This Row],[date]],"mmm yyyy")</f>
        <v>Feb 2019</v>
      </c>
      <c r="N144" t="str">
        <f t="shared" si="6"/>
        <v>Non-Trading Day</v>
      </c>
      <c r="O144" t="str">
        <f t="shared" si="7"/>
        <v>Positive</v>
      </c>
      <c r="P144" t="str">
        <f t="shared" si="8"/>
        <v>Positive</v>
      </c>
    </row>
    <row r="145" spans="1:16" x14ac:dyDescent="0.3">
      <c r="A145" s="1">
        <v>43498</v>
      </c>
      <c r="B145">
        <v>33.99</v>
      </c>
      <c r="C145">
        <v>0</v>
      </c>
      <c r="D145">
        <v>0</v>
      </c>
      <c r="E145">
        <v>42</v>
      </c>
      <c r="F145">
        <v>2.86</v>
      </c>
      <c r="G145">
        <v>0.2928</v>
      </c>
      <c r="H145">
        <v>6</v>
      </c>
      <c r="I145">
        <v>5.9</v>
      </c>
      <c r="J145">
        <v>0</v>
      </c>
      <c r="K145">
        <f>YEAR(NetflixData[[#This Row],[date]])</f>
        <v>2019</v>
      </c>
      <c r="L145" t="str">
        <f>TEXT(NetflixData[[#This Row],[date]],"mmm")</f>
        <v>Feb</v>
      </c>
      <c r="M145" t="str">
        <f>TEXT(NetflixData[[#This Row],[date]],"mmm yyyy")</f>
        <v>Feb 2019</v>
      </c>
      <c r="N145" t="str">
        <f t="shared" si="6"/>
        <v>Non-Trading Day</v>
      </c>
      <c r="O145" t="str">
        <f t="shared" si="7"/>
        <v>No Change</v>
      </c>
      <c r="P145" t="str">
        <f t="shared" si="8"/>
        <v>Positive</v>
      </c>
    </row>
    <row r="146" spans="1:16" x14ac:dyDescent="0.3">
      <c r="A146" s="1">
        <v>43499</v>
      </c>
      <c r="B146">
        <v>33.99</v>
      </c>
      <c r="C146">
        <v>0</v>
      </c>
      <c r="D146">
        <v>0</v>
      </c>
      <c r="E146">
        <v>38</v>
      </c>
      <c r="F146">
        <v>3.16</v>
      </c>
      <c r="G146">
        <v>0.30580000000000002</v>
      </c>
      <c r="H146">
        <v>1</v>
      </c>
      <c r="I146">
        <v>7.9</v>
      </c>
      <c r="J146">
        <v>0</v>
      </c>
      <c r="K146">
        <f>YEAR(NetflixData[[#This Row],[date]])</f>
        <v>2019</v>
      </c>
      <c r="L146" t="str">
        <f>TEXT(NetflixData[[#This Row],[date]],"mmm")</f>
        <v>Feb</v>
      </c>
      <c r="M146" t="str">
        <f>TEXT(NetflixData[[#This Row],[date]],"mmm yyyy")</f>
        <v>Feb 2019</v>
      </c>
      <c r="N146" t="str">
        <f t="shared" si="6"/>
        <v>Trading Day</v>
      </c>
      <c r="O146" t="str">
        <f t="shared" si="7"/>
        <v>No Change</v>
      </c>
      <c r="P146" t="str">
        <f t="shared" si="8"/>
        <v>Positive</v>
      </c>
    </row>
    <row r="147" spans="1:16" x14ac:dyDescent="0.3">
      <c r="A147" s="1">
        <v>43500</v>
      </c>
      <c r="B147">
        <v>35.130000000000003</v>
      </c>
      <c r="C147">
        <v>90514000</v>
      </c>
      <c r="D147">
        <v>2.5510000000000002</v>
      </c>
      <c r="E147">
        <v>39</v>
      </c>
      <c r="F147">
        <v>3.03</v>
      </c>
      <c r="G147">
        <v>-7.6E-3</v>
      </c>
      <c r="H147">
        <v>0</v>
      </c>
      <c r="J147">
        <v>1</v>
      </c>
      <c r="K147">
        <f>YEAR(NetflixData[[#This Row],[date]])</f>
        <v>2019</v>
      </c>
      <c r="L147" t="str">
        <f>TEXT(NetflixData[[#This Row],[date]],"mmm")</f>
        <v>Feb</v>
      </c>
      <c r="M147" t="str">
        <f>TEXT(NetflixData[[#This Row],[date]],"mmm yyyy")</f>
        <v>Feb 2019</v>
      </c>
      <c r="N147" t="str">
        <f t="shared" si="6"/>
        <v>Trading Day</v>
      </c>
      <c r="O147" t="str">
        <f t="shared" si="7"/>
        <v>Positive</v>
      </c>
      <c r="P147" t="str">
        <f t="shared" si="8"/>
        <v>Neutral</v>
      </c>
    </row>
    <row r="148" spans="1:16" x14ac:dyDescent="0.3">
      <c r="A148" s="1">
        <v>43501</v>
      </c>
      <c r="B148">
        <v>35.58</v>
      </c>
      <c r="C148">
        <v>90466000</v>
      </c>
      <c r="D148">
        <v>0.73899999999999999</v>
      </c>
      <c r="E148">
        <v>43</v>
      </c>
      <c r="F148">
        <v>3.02</v>
      </c>
      <c r="G148">
        <v>0.21870000000000001</v>
      </c>
      <c r="H148">
        <v>6</v>
      </c>
      <c r="I148">
        <v>7.97</v>
      </c>
      <c r="J148">
        <v>1</v>
      </c>
      <c r="K148">
        <f>YEAR(NetflixData[[#This Row],[date]])</f>
        <v>2019</v>
      </c>
      <c r="L148" t="str">
        <f>TEXT(NetflixData[[#This Row],[date]],"mmm")</f>
        <v>Feb</v>
      </c>
      <c r="M148" t="str">
        <f>TEXT(NetflixData[[#This Row],[date]],"mmm yyyy")</f>
        <v>Feb 2019</v>
      </c>
      <c r="N148" t="str">
        <f t="shared" si="6"/>
        <v>Trading Day</v>
      </c>
      <c r="O148" t="str">
        <f t="shared" si="7"/>
        <v>Positive</v>
      </c>
      <c r="P148" t="str">
        <f t="shared" si="8"/>
        <v>Positive</v>
      </c>
    </row>
    <row r="149" spans="1:16" x14ac:dyDescent="0.3">
      <c r="A149" s="1">
        <v>43502</v>
      </c>
      <c r="B149">
        <v>35.22</v>
      </c>
      <c r="C149">
        <v>67177000</v>
      </c>
      <c r="D149">
        <v>-1.347</v>
      </c>
      <c r="E149">
        <v>37</v>
      </c>
      <c r="F149">
        <v>2.89</v>
      </c>
      <c r="G149">
        <v>0.31069999999999998</v>
      </c>
      <c r="H149">
        <v>2</v>
      </c>
      <c r="I149">
        <v>6.4</v>
      </c>
      <c r="J149">
        <v>1</v>
      </c>
      <c r="K149">
        <f>YEAR(NetflixData[[#This Row],[date]])</f>
        <v>2019</v>
      </c>
      <c r="L149" t="str">
        <f>TEXT(NetflixData[[#This Row],[date]],"mmm")</f>
        <v>Feb</v>
      </c>
      <c r="M149" t="str">
        <f>TEXT(NetflixData[[#This Row],[date]],"mmm yyyy")</f>
        <v>Feb 2019</v>
      </c>
      <c r="N149" t="str">
        <f t="shared" si="6"/>
        <v>Trading Day</v>
      </c>
      <c r="O149" t="str">
        <f t="shared" si="7"/>
        <v>Negative</v>
      </c>
      <c r="P149" t="str">
        <f t="shared" si="8"/>
        <v>Positive</v>
      </c>
    </row>
    <row r="150" spans="1:16" x14ac:dyDescent="0.3">
      <c r="A150" s="1">
        <v>43503</v>
      </c>
      <c r="B150">
        <v>34.47</v>
      </c>
      <c r="C150">
        <v>78645000</v>
      </c>
      <c r="D150">
        <v>-0.91700000000000004</v>
      </c>
      <c r="E150">
        <v>52</v>
      </c>
      <c r="F150">
        <v>3.33</v>
      </c>
      <c r="G150">
        <v>0.33110000000000001</v>
      </c>
      <c r="H150">
        <v>2</v>
      </c>
      <c r="I150">
        <v>5.3</v>
      </c>
      <c r="J150">
        <v>1</v>
      </c>
      <c r="K150">
        <f>YEAR(NetflixData[[#This Row],[date]])</f>
        <v>2019</v>
      </c>
      <c r="L150" t="str">
        <f>TEXT(NetflixData[[#This Row],[date]],"mmm")</f>
        <v>Feb</v>
      </c>
      <c r="M150" t="str">
        <f>TEXT(NetflixData[[#This Row],[date]],"mmm yyyy")</f>
        <v>Feb 2019</v>
      </c>
      <c r="N150" t="str">
        <f t="shared" si="6"/>
        <v>Trading Day</v>
      </c>
      <c r="O150" t="str">
        <f t="shared" si="7"/>
        <v>Negative</v>
      </c>
      <c r="P150" t="str">
        <f t="shared" si="8"/>
        <v>Positive</v>
      </c>
    </row>
    <row r="151" spans="1:16" x14ac:dyDescent="0.3">
      <c r="A151" s="1">
        <v>43504</v>
      </c>
      <c r="B151">
        <v>34.76</v>
      </c>
      <c r="C151">
        <v>75614000</v>
      </c>
      <c r="D151">
        <v>2.831</v>
      </c>
      <c r="E151">
        <v>45</v>
      </c>
      <c r="F151">
        <v>3.49</v>
      </c>
      <c r="G151">
        <v>0.4103</v>
      </c>
      <c r="H151">
        <v>7</v>
      </c>
      <c r="I151">
        <v>5.9</v>
      </c>
      <c r="J151">
        <v>1</v>
      </c>
      <c r="K151">
        <f>YEAR(NetflixData[[#This Row],[date]])</f>
        <v>2019</v>
      </c>
      <c r="L151" t="str">
        <f>TEXT(NetflixData[[#This Row],[date]],"mmm")</f>
        <v>Feb</v>
      </c>
      <c r="M151" t="str">
        <f>TEXT(NetflixData[[#This Row],[date]],"mmm yyyy")</f>
        <v>Feb 2019</v>
      </c>
      <c r="N151" t="str">
        <f t="shared" si="6"/>
        <v>Non-Trading Day</v>
      </c>
      <c r="O151" t="str">
        <f t="shared" si="7"/>
        <v>Positive</v>
      </c>
      <c r="P151" t="str">
        <f t="shared" si="8"/>
        <v>Positive</v>
      </c>
    </row>
    <row r="152" spans="1:16" x14ac:dyDescent="0.3">
      <c r="A152" s="1">
        <v>43505</v>
      </c>
      <c r="B152">
        <v>34.76</v>
      </c>
      <c r="C152">
        <v>0</v>
      </c>
      <c r="D152">
        <v>0</v>
      </c>
      <c r="E152">
        <v>42</v>
      </c>
      <c r="F152">
        <v>3.24</v>
      </c>
      <c r="G152">
        <v>0.38800000000000001</v>
      </c>
      <c r="H152">
        <v>3</v>
      </c>
      <c r="I152">
        <v>6.17</v>
      </c>
      <c r="J152">
        <v>0</v>
      </c>
      <c r="K152">
        <f>YEAR(NetflixData[[#This Row],[date]])</f>
        <v>2019</v>
      </c>
      <c r="L152" t="str">
        <f>TEXT(NetflixData[[#This Row],[date]],"mmm")</f>
        <v>Feb</v>
      </c>
      <c r="M152" t="str">
        <f>TEXT(NetflixData[[#This Row],[date]],"mmm yyyy")</f>
        <v>Feb 2019</v>
      </c>
      <c r="N152" t="str">
        <f t="shared" si="6"/>
        <v>Non-Trading Day</v>
      </c>
      <c r="O152" t="str">
        <f t="shared" si="7"/>
        <v>No Change</v>
      </c>
      <c r="P152" t="str">
        <f t="shared" si="8"/>
        <v>Positive</v>
      </c>
    </row>
    <row r="153" spans="1:16" x14ac:dyDescent="0.3">
      <c r="A153" s="1">
        <v>43506</v>
      </c>
      <c r="B153">
        <v>34.76</v>
      </c>
      <c r="C153">
        <v>0</v>
      </c>
      <c r="D153">
        <v>0</v>
      </c>
      <c r="E153">
        <v>40</v>
      </c>
      <c r="F153">
        <v>3.48</v>
      </c>
      <c r="G153">
        <v>0.375</v>
      </c>
      <c r="H153">
        <v>0</v>
      </c>
      <c r="J153">
        <v>0</v>
      </c>
      <c r="K153">
        <f>YEAR(NetflixData[[#This Row],[date]])</f>
        <v>2019</v>
      </c>
      <c r="L153" t="str">
        <f>TEXT(NetflixData[[#This Row],[date]],"mmm")</f>
        <v>Feb</v>
      </c>
      <c r="M153" t="str">
        <f>TEXT(NetflixData[[#This Row],[date]],"mmm yyyy")</f>
        <v>Feb 2019</v>
      </c>
      <c r="N153" t="str">
        <f t="shared" si="6"/>
        <v>Trading Day</v>
      </c>
      <c r="O153" t="str">
        <f t="shared" si="7"/>
        <v>No Change</v>
      </c>
      <c r="P153" t="str">
        <f t="shared" si="8"/>
        <v>Positive</v>
      </c>
    </row>
    <row r="154" spans="1:16" x14ac:dyDescent="0.3">
      <c r="A154" s="1">
        <v>43507</v>
      </c>
      <c r="B154">
        <v>34.57</v>
      </c>
      <c r="C154">
        <v>54549000</v>
      </c>
      <c r="D154">
        <v>-1.22</v>
      </c>
      <c r="E154">
        <v>47</v>
      </c>
      <c r="F154">
        <v>2.6</v>
      </c>
      <c r="G154">
        <v>8.4000000000000005E-2</v>
      </c>
      <c r="H154">
        <v>1</v>
      </c>
      <c r="I154">
        <v>6.9</v>
      </c>
      <c r="J154">
        <v>1</v>
      </c>
      <c r="K154">
        <f>YEAR(NetflixData[[#This Row],[date]])</f>
        <v>2019</v>
      </c>
      <c r="L154" t="str">
        <f>TEXT(NetflixData[[#This Row],[date]],"mmm")</f>
        <v>Feb</v>
      </c>
      <c r="M154" t="str">
        <f>TEXT(NetflixData[[#This Row],[date]],"mmm yyyy")</f>
        <v>Feb 2019</v>
      </c>
      <c r="N154" t="str">
        <f t="shared" si="6"/>
        <v>Trading Day</v>
      </c>
      <c r="O154" t="str">
        <f t="shared" si="7"/>
        <v>Negative</v>
      </c>
      <c r="P154" t="str">
        <f t="shared" si="8"/>
        <v>Neutral</v>
      </c>
    </row>
    <row r="155" spans="1:16" x14ac:dyDescent="0.3">
      <c r="A155" s="1">
        <v>43508</v>
      </c>
      <c r="B155">
        <v>36</v>
      </c>
      <c r="C155">
        <v>104294000</v>
      </c>
      <c r="D155">
        <v>3.4129999999999998</v>
      </c>
      <c r="E155">
        <v>45</v>
      </c>
      <c r="F155">
        <v>2.78</v>
      </c>
      <c r="G155">
        <v>0.1459</v>
      </c>
      <c r="H155">
        <v>2</v>
      </c>
      <c r="I155">
        <v>6.9</v>
      </c>
      <c r="J155">
        <v>1</v>
      </c>
      <c r="K155">
        <f>YEAR(NetflixData[[#This Row],[date]])</f>
        <v>2019</v>
      </c>
      <c r="L155" t="str">
        <f>TEXT(NetflixData[[#This Row],[date]],"mmm")</f>
        <v>Feb</v>
      </c>
      <c r="M155" t="str">
        <f>TEXT(NetflixData[[#This Row],[date]],"mmm yyyy")</f>
        <v>Feb 2019</v>
      </c>
      <c r="N155" t="str">
        <f t="shared" si="6"/>
        <v>Trading Day</v>
      </c>
      <c r="O155" t="str">
        <f t="shared" si="7"/>
        <v>Positive</v>
      </c>
      <c r="P155" t="str">
        <f t="shared" si="8"/>
        <v>Positive</v>
      </c>
    </row>
    <row r="156" spans="1:16" x14ac:dyDescent="0.3">
      <c r="A156" s="1">
        <v>43509</v>
      </c>
      <c r="B156">
        <v>35.18</v>
      </c>
      <c r="C156">
        <v>105591000</v>
      </c>
      <c r="D156">
        <v>-1.548</v>
      </c>
      <c r="E156">
        <v>38</v>
      </c>
      <c r="F156">
        <v>2.4700000000000002</v>
      </c>
      <c r="G156">
        <v>0.14879999999999999</v>
      </c>
      <c r="H156">
        <v>1</v>
      </c>
      <c r="J156">
        <v>1</v>
      </c>
      <c r="K156">
        <f>YEAR(NetflixData[[#This Row],[date]])</f>
        <v>2019</v>
      </c>
      <c r="L156" t="str">
        <f>TEXT(NetflixData[[#This Row],[date]],"mmm")</f>
        <v>Feb</v>
      </c>
      <c r="M156" t="str">
        <f>TEXT(NetflixData[[#This Row],[date]],"mmm yyyy")</f>
        <v>Feb 2019</v>
      </c>
      <c r="N156" t="str">
        <f t="shared" si="6"/>
        <v>Trading Day</v>
      </c>
      <c r="O156" t="str">
        <f t="shared" si="7"/>
        <v>Negative</v>
      </c>
      <c r="P156" t="str">
        <f t="shared" si="8"/>
        <v>Positive</v>
      </c>
    </row>
    <row r="157" spans="1:16" x14ac:dyDescent="0.3">
      <c r="A157" s="1">
        <v>43510</v>
      </c>
      <c r="B157">
        <v>35.909999999999997</v>
      </c>
      <c r="C157">
        <v>92953000</v>
      </c>
      <c r="D157">
        <v>2.081</v>
      </c>
      <c r="E157">
        <v>31</v>
      </c>
      <c r="F157">
        <v>2.9</v>
      </c>
      <c r="G157">
        <v>0.33739999999999998</v>
      </c>
      <c r="H157">
        <v>4</v>
      </c>
      <c r="I157">
        <v>6.17</v>
      </c>
      <c r="J157">
        <v>1</v>
      </c>
      <c r="K157">
        <f>YEAR(NetflixData[[#This Row],[date]])</f>
        <v>2019</v>
      </c>
      <c r="L157" t="str">
        <f>TEXT(NetflixData[[#This Row],[date]],"mmm")</f>
        <v>Feb</v>
      </c>
      <c r="M157" t="str">
        <f>TEXT(NetflixData[[#This Row],[date]],"mmm yyyy")</f>
        <v>Feb 2019</v>
      </c>
      <c r="N157" t="str">
        <f t="shared" si="6"/>
        <v>Trading Day</v>
      </c>
      <c r="O157" t="str">
        <f t="shared" si="7"/>
        <v>Positive</v>
      </c>
      <c r="P157" t="str">
        <f t="shared" si="8"/>
        <v>Positive</v>
      </c>
    </row>
    <row r="158" spans="1:16" x14ac:dyDescent="0.3">
      <c r="A158" s="1">
        <v>43511</v>
      </c>
      <c r="B158">
        <v>35.69</v>
      </c>
      <c r="C158">
        <v>92300000</v>
      </c>
      <c r="D158">
        <v>-0.44600000000000001</v>
      </c>
      <c r="E158">
        <v>34</v>
      </c>
      <c r="F158">
        <v>2.38</v>
      </c>
      <c r="G158">
        <v>1.7999999999999999E-2</v>
      </c>
      <c r="H158">
        <v>27</v>
      </c>
      <c r="I158">
        <v>6.17</v>
      </c>
      <c r="J158">
        <v>1</v>
      </c>
      <c r="K158">
        <f>YEAR(NetflixData[[#This Row],[date]])</f>
        <v>2019</v>
      </c>
      <c r="L158" t="str">
        <f>TEXT(NetflixData[[#This Row],[date]],"mmm")</f>
        <v>Feb</v>
      </c>
      <c r="M158" t="str">
        <f>TEXT(NetflixData[[#This Row],[date]],"mmm yyyy")</f>
        <v>Feb 2019</v>
      </c>
      <c r="N158" t="str">
        <f t="shared" si="6"/>
        <v>Non-Trading Day</v>
      </c>
      <c r="O158" t="str">
        <f t="shared" si="7"/>
        <v>Negative</v>
      </c>
      <c r="P158" t="str">
        <f t="shared" si="8"/>
        <v>Neutral</v>
      </c>
    </row>
    <row r="159" spans="1:16" x14ac:dyDescent="0.3">
      <c r="A159" s="1">
        <v>43512</v>
      </c>
      <c r="B159">
        <v>35.69</v>
      </c>
      <c r="C159">
        <v>0</v>
      </c>
      <c r="D159">
        <v>0</v>
      </c>
      <c r="E159">
        <v>39</v>
      </c>
      <c r="F159">
        <v>2.54</v>
      </c>
      <c r="G159">
        <v>0.1181</v>
      </c>
      <c r="H159">
        <v>3</v>
      </c>
      <c r="I159">
        <v>5.7</v>
      </c>
      <c r="J159">
        <v>0</v>
      </c>
      <c r="K159">
        <f>YEAR(NetflixData[[#This Row],[date]])</f>
        <v>2019</v>
      </c>
      <c r="L159" t="str">
        <f>TEXT(NetflixData[[#This Row],[date]],"mmm")</f>
        <v>Feb</v>
      </c>
      <c r="M159" t="str">
        <f>TEXT(NetflixData[[#This Row],[date]],"mmm yyyy")</f>
        <v>Feb 2019</v>
      </c>
      <c r="N159" t="str">
        <f t="shared" si="6"/>
        <v>Non-Trading Day</v>
      </c>
      <c r="O159" t="str">
        <f t="shared" si="7"/>
        <v>No Change</v>
      </c>
      <c r="P159" t="str">
        <f t="shared" si="8"/>
        <v>Positive</v>
      </c>
    </row>
    <row r="160" spans="1:16" x14ac:dyDescent="0.3">
      <c r="A160" s="1">
        <v>43513</v>
      </c>
      <c r="B160">
        <v>35.69</v>
      </c>
      <c r="C160">
        <v>0</v>
      </c>
      <c r="D160">
        <v>0</v>
      </c>
      <c r="E160">
        <v>40</v>
      </c>
      <c r="F160">
        <v>3.3</v>
      </c>
      <c r="G160">
        <v>0.32750000000000001</v>
      </c>
      <c r="H160">
        <v>2</v>
      </c>
      <c r="I160">
        <v>6.05</v>
      </c>
      <c r="J160">
        <v>0</v>
      </c>
      <c r="K160">
        <f>YEAR(NetflixData[[#This Row],[date]])</f>
        <v>2019</v>
      </c>
      <c r="L160" t="str">
        <f>TEXT(NetflixData[[#This Row],[date]],"mmm")</f>
        <v>Feb</v>
      </c>
      <c r="M160" t="str">
        <f>TEXT(NetflixData[[#This Row],[date]],"mmm yyyy")</f>
        <v>Feb 2019</v>
      </c>
      <c r="N160" t="str">
        <f t="shared" si="6"/>
        <v>Non-Trading Day</v>
      </c>
      <c r="O160" t="str">
        <f t="shared" si="7"/>
        <v>No Change</v>
      </c>
      <c r="P160" t="str">
        <f t="shared" si="8"/>
        <v>Positive</v>
      </c>
    </row>
    <row r="161" spans="1:16" x14ac:dyDescent="0.3">
      <c r="A161" s="1">
        <v>43514</v>
      </c>
      <c r="B161">
        <v>35.69</v>
      </c>
      <c r="C161">
        <v>0</v>
      </c>
      <c r="D161">
        <v>0</v>
      </c>
      <c r="E161">
        <v>33</v>
      </c>
      <c r="F161">
        <v>3.06</v>
      </c>
      <c r="G161">
        <v>0.29870000000000002</v>
      </c>
      <c r="H161">
        <v>0</v>
      </c>
      <c r="J161">
        <v>0</v>
      </c>
      <c r="K161">
        <f>YEAR(NetflixData[[#This Row],[date]])</f>
        <v>2019</v>
      </c>
      <c r="L161" t="str">
        <f>TEXT(NetflixData[[#This Row],[date]],"mmm")</f>
        <v>Feb</v>
      </c>
      <c r="M161" t="str">
        <f>TEXT(NetflixData[[#This Row],[date]],"mmm yyyy")</f>
        <v>Feb 2019</v>
      </c>
      <c r="N161" t="str">
        <f t="shared" si="6"/>
        <v>Trading Day</v>
      </c>
      <c r="O161" t="str">
        <f t="shared" si="7"/>
        <v>No Change</v>
      </c>
      <c r="P161" t="str">
        <f t="shared" si="8"/>
        <v>Positive</v>
      </c>
    </row>
    <row r="162" spans="1:16" x14ac:dyDescent="0.3">
      <c r="A162" s="1">
        <v>43515</v>
      </c>
      <c r="B162">
        <v>36.19</v>
      </c>
      <c r="C162">
        <v>73966000</v>
      </c>
      <c r="D162">
        <v>1.72</v>
      </c>
      <c r="E162">
        <v>33</v>
      </c>
      <c r="F162">
        <v>3.18</v>
      </c>
      <c r="G162">
        <v>0.3175</v>
      </c>
      <c r="H162">
        <v>3</v>
      </c>
      <c r="I162">
        <v>6.65</v>
      </c>
      <c r="J162">
        <v>1</v>
      </c>
      <c r="K162">
        <f>YEAR(NetflixData[[#This Row],[date]])</f>
        <v>2019</v>
      </c>
      <c r="L162" t="str">
        <f>TEXT(NetflixData[[#This Row],[date]],"mmm")</f>
        <v>Feb</v>
      </c>
      <c r="M162" t="str">
        <f>TEXT(NetflixData[[#This Row],[date]],"mmm yyyy")</f>
        <v>Feb 2019</v>
      </c>
      <c r="N162" t="str">
        <f t="shared" si="6"/>
        <v>Trading Day</v>
      </c>
      <c r="O162" t="str">
        <f t="shared" si="7"/>
        <v>Positive</v>
      </c>
      <c r="P162" t="str">
        <f t="shared" si="8"/>
        <v>Positive</v>
      </c>
    </row>
    <row r="163" spans="1:16" x14ac:dyDescent="0.3">
      <c r="A163" s="1">
        <v>43516</v>
      </c>
      <c r="B163">
        <v>35.99</v>
      </c>
      <c r="C163">
        <v>81107000</v>
      </c>
      <c r="D163">
        <v>-1.3540000000000001</v>
      </c>
      <c r="E163">
        <v>41</v>
      </c>
      <c r="F163">
        <v>3.29</v>
      </c>
      <c r="G163">
        <v>0.37219999999999998</v>
      </c>
      <c r="H163">
        <v>2</v>
      </c>
      <c r="I163">
        <v>6.9</v>
      </c>
      <c r="J163">
        <v>1</v>
      </c>
      <c r="K163">
        <f>YEAR(NetflixData[[#This Row],[date]])</f>
        <v>2019</v>
      </c>
      <c r="L163" t="str">
        <f>TEXT(NetflixData[[#This Row],[date]],"mmm")</f>
        <v>Feb</v>
      </c>
      <c r="M163" t="str">
        <f>TEXT(NetflixData[[#This Row],[date]],"mmm yyyy")</f>
        <v>Feb 2019</v>
      </c>
      <c r="N163" t="str">
        <f t="shared" si="6"/>
        <v>Trading Day</v>
      </c>
      <c r="O163" t="str">
        <f t="shared" si="7"/>
        <v>Negative</v>
      </c>
      <c r="P163" t="str">
        <f t="shared" si="8"/>
        <v>Positive</v>
      </c>
    </row>
    <row r="164" spans="1:16" x14ac:dyDescent="0.3">
      <c r="A164" s="1">
        <v>43517</v>
      </c>
      <c r="B164">
        <v>35.700000000000003</v>
      </c>
      <c r="C164">
        <v>62279000</v>
      </c>
      <c r="D164">
        <v>-0.85</v>
      </c>
      <c r="E164">
        <v>38</v>
      </c>
      <c r="F164">
        <v>2.61</v>
      </c>
      <c r="G164">
        <v>0.20080000000000001</v>
      </c>
      <c r="H164">
        <v>2</v>
      </c>
      <c r="I164">
        <v>5</v>
      </c>
      <c r="J164">
        <v>1</v>
      </c>
      <c r="K164">
        <f>YEAR(NetflixData[[#This Row],[date]])</f>
        <v>2019</v>
      </c>
      <c r="L164" t="str">
        <f>TEXT(NetflixData[[#This Row],[date]],"mmm")</f>
        <v>Feb</v>
      </c>
      <c r="M164" t="str">
        <f>TEXT(NetflixData[[#This Row],[date]],"mmm yyyy")</f>
        <v>Feb 2019</v>
      </c>
      <c r="N164" t="str">
        <f t="shared" si="6"/>
        <v>Trading Day</v>
      </c>
      <c r="O164" t="str">
        <f t="shared" si="7"/>
        <v>Negative</v>
      </c>
      <c r="P164" t="str">
        <f t="shared" si="8"/>
        <v>Positive</v>
      </c>
    </row>
    <row r="165" spans="1:16" x14ac:dyDescent="0.3">
      <c r="A165" s="1">
        <v>43518</v>
      </c>
      <c r="B165">
        <v>36.299999999999997</v>
      </c>
      <c r="C165">
        <v>70882000</v>
      </c>
      <c r="D165">
        <v>0.74399999999999999</v>
      </c>
      <c r="E165">
        <v>44</v>
      </c>
      <c r="F165">
        <v>2.4300000000000002</v>
      </c>
      <c r="G165">
        <v>0.1114</v>
      </c>
      <c r="H165">
        <v>11</v>
      </c>
      <c r="I165">
        <v>6.28</v>
      </c>
      <c r="J165">
        <v>1</v>
      </c>
      <c r="K165">
        <f>YEAR(NetflixData[[#This Row],[date]])</f>
        <v>2019</v>
      </c>
      <c r="L165" t="str">
        <f>TEXT(NetflixData[[#This Row],[date]],"mmm")</f>
        <v>Feb</v>
      </c>
      <c r="M165" t="str">
        <f>TEXT(NetflixData[[#This Row],[date]],"mmm yyyy")</f>
        <v>Feb 2019</v>
      </c>
      <c r="N165" t="str">
        <f t="shared" si="6"/>
        <v>Non-Trading Day</v>
      </c>
      <c r="O165" t="str">
        <f t="shared" si="7"/>
        <v>Positive</v>
      </c>
      <c r="P165" t="str">
        <f t="shared" si="8"/>
        <v>Positive</v>
      </c>
    </row>
    <row r="166" spans="1:16" x14ac:dyDescent="0.3">
      <c r="A166" s="1">
        <v>43519</v>
      </c>
      <c r="B166">
        <v>36.299999999999997</v>
      </c>
      <c r="C166">
        <v>0</v>
      </c>
      <c r="D166">
        <v>0</v>
      </c>
      <c r="E166">
        <v>43</v>
      </c>
      <c r="F166">
        <v>2.88</v>
      </c>
      <c r="G166">
        <v>0.21490000000000001</v>
      </c>
      <c r="H166">
        <v>1</v>
      </c>
      <c r="I166">
        <v>6.8</v>
      </c>
      <c r="J166">
        <v>0</v>
      </c>
      <c r="K166">
        <f>YEAR(NetflixData[[#This Row],[date]])</f>
        <v>2019</v>
      </c>
      <c r="L166" t="str">
        <f>TEXT(NetflixData[[#This Row],[date]],"mmm")</f>
        <v>Feb</v>
      </c>
      <c r="M166" t="str">
        <f>TEXT(NetflixData[[#This Row],[date]],"mmm yyyy")</f>
        <v>Feb 2019</v>
      </c>
      <c r="N166" t="str">
        <f t="shared" si="6"/>
        <v>Non-Trading Day</v>
      </c>
      <c r="O166" t="str">
        <f t="shared" si="7"/>
        <v>No Change</v>
      </c>
      <c r="P166" t="str">
        <f t="shared" si="8"/>
        <v>Positive</v>
      </c>
    </row>
    <row r="167" spans="1:16" x14ac:dyDescent="0.3">
      <c r="A167" s="1">
        <v>43520</v>
      </c>
      <c r="B167">
        <v>36.299999999999997</v>
      </c>
      <c r="C167">
        <v>0</v>
      </c>
      <c r="D167">
        <v>0</v>
      </c>
      <c r="E167">
        <v>41</v>
      </c>
      <c r="F167">
        <v>2.88</v>
      </c>
      <c r="G167">
        <v>0.27129999999999999</v>
      </c>
      <c r="H167">
        <v>4</v>
      </c>
      <c r="I167">
        <v>9.1</v>
      </c>
      <c r="J167">
        <v>0</v>
      </c>
      <c r="K167">
        <f>YEAR(NetflixData[[#This Row],[date]])</f>
        <v>2019</v>
      </c>
      <c r="L167" t="str">
        <f>TEXT(NetflixData[[#This Row],[date]],"mmm")</f>
        <v>Feb</v>
      </c>
      <c r="M167" t="str">
        <f>TEXT(NetflixData[[#This Row],[date]],"mmm yyyy")</f>
        <v>Feb 2019</v>
      </c>
      <c r="N167" t="str">
        <f t="shared" si="6"/>
        <v>Trading Day</v>
      </c>
      <c r="O167" t="str">
        <f t="shared" si="7"/>
        <v>No Change</v>
      </c>
      <c r="P167" t="str">
        <f t="shared" si="8"/>
        <v>Positive</v>
      </c>
    </row>
    <row r="168" spans="1:16" x14ac:dyDescent="0.3">
      <c r="A168" s="1">
        <v>43521</v>
      </c>
      <c r="B168">
        <v>36.39</v>
      </c>
      <c r="C168">
        <v>75693000</v>
      </c>
      <c r="D168">
        <v>-0.84499999999999997</v>
      </c>
      <c r="E168">
        <v>31</v>
      </c>
      <c r="F168">
        <v>2.1</v>
      </c>
      <c r="G168">
        <v>6.0600000000000001E-2</v>
      </c>
      <c r="H168">
        <v>3</v>
      </c>
      <c r="I168">
        <v>6.77</v>
      </c>
      <c r="J168">
        <v>1</v>
      </c>
      <c r="K168">
        <f>YEAR(NetflixData[[#This Row],[date]])</f>
        <v>2019</v>
      </c>
      <c r="L168" t="str">
        <f>TEXT(NetflixData[[#This Row],[date]],"mmm")</f>
        <v>Feb</v>
      </c>
      <c r="M168" t="str">
        <f>TEXT(NetflixData[[#This Row],[date]],"mmm yyyy")</f>
        <v>Feb 2019</v>
      </c>
      <c r="N168" t="str">
        <f t="shared" si="6"/>
        <v>Trading Day</v>
      </c>
      <c r="O168" t="str">
        <f t="shared" si="7"/>
        <v>Negative</v>
      </c>
      <c r="P168" t="str">
        <f t="shared" si="8"/>
        <v>Neutral</v>
      </c>
    </row>
    <row r="169" spans="1:16" x14ac:dyDescent="0.3">
      <c r="A169" s="1">
        <v>43522</v>
      </c>
      <c r="B169">
        <v>36.5</v>
      </c>
      <c r="C169">
        <v>49446000</v>
      </c>
      <c r="D169">
        <v>0.54800000000000004</v>
      </c>
      <c r="E169">
        <v>38</v>
      </c>
      <c r="F169">
        <v>3.03</v>
      </c>
      <c r="G169">
        <v>0.1938</v>
      </c>
      <c r="H169">
        <v>2</v>
      </c>
      <c r="I169">
        <v>6.4</v>
      </c>
      <c r="J169">
        <v>1</v>
      </c>
      <c r="K169">
        <f>YEAR(NetflixData[[#This Row],[date]])</f>
        <v>2019</v>
      </c>
      <c r="L169" t="str">
        <f>TEXT(NetflixData[[#This Row],[date]],"mmm")</f>
        <v>Feb</v>
      </c>
      <c r="M169" t="str">
        <f>TEXT(NetflixData[[#This Row],[date]],"mmm yyyy")</f>
        <v>Feb 2019</v>
      </c>
      <c r="N169" t="str">
        <f t="shared" si="6"/>
        <v>Trading Day</v>
      </c>
      <c r="O169" t="str">
        <f t="shared" si="7"/>
        <v>Positive</v>
      </c>
      <c r="P169" t="str">
        <f t="shared" si="8"/>
        <v>Positive</v>
      </c>
    </row>
    <row r="170" spans="1:16" x14ac:dyDescent="0.3">
      <c r="A170" s="1">
        <v>43523</v>
      </c>
      <c r="B170">
        <v>36.29</v>
      </c>
      <c r="C170">
        <v>56299000</v>
      </c>
      <c r="D170">
        <v>-0.17299999999999999</v>
      </c>
      <c r="E170">
        <v>44</v>
      </c>
      <c r="F170">
        <v>3.09</v>
      </c>
      <c r="G170">
        <v>0.4002</v>
      </c>
      <c r="H170">
        <v>16</v>
      </c>
      <c r="I170">
        <v>6.44</v>
      </c>
      <c r="J170">
        <v>1</v>
      </c>
      <c r="K170">
        <f>YEAR(NetflixData[[#This Row],[date]])</f>
        <v>2019</v>
      </c>
      <c r="L170" t="str">
        <f>TEXT(NetflixData[[#This Row],[date]],"mmm")</f>
        <v>Feb</v>
      </c>
      <c r="M170" t="str">
        <f>TEXT(NetflixData[[#This Row],[date]],"mmm yyyy")</f>
        <v>Feb 2019</v>
      </c>
      <c r="N170" t="str">
        <f t="shared" si="6"/>
        <v>Trading Day</v>
      </c>
      <c r="O170" t="str">
        <f t="shared" si="7"/>
        <v>Negative</v>
      </c>
      <c r="P170" t="str">
        <f t="shared" si="8"/>
        <v>Positive</v>
      </c>
    </row>
    <row r="171" spans="1:16" x14ac:dyDescent="0.3">
      <c r="A171" s="1">
        <v>43524</v>
      </c>
      <c r="B171">
        <v>35.81</v>
      </c>
      <c r="C171">
        <v>61868000</v>
      </c>
      <c r="D171">
        <v>-1.206</v>
      </c>
      <c r="E171">
        <v>38</v>
      </c>
      <c r="F171">
        <v>2.5499999999999998</v>
      </c>
      <c r="G171">
        <v>0.1633</v>
      </c>
      <c r="H171">
        <v>4</v>
      </c>
      <c r="I171">
        <v>7.1</v>
      </c>
      <c r="J171">
        <v>1</v>
      </c>
      <c r="K171">
        <f>YEAR(NetflixData[[#This Row],[date]])</f>
        <v>2019</v>
      </c>
      <c r="L171" t="str">
        <f>TEXT(NetflixData[[#This Row],[date]],"mmm")</f>
        <v>Feb</v>
      </c>
      <c r="M171" t="str">
        <f>TEXT(NetflixData[[#This Row],[date]],"mmm yyyy")</f>
        <v>Feb 2019</v>
      </c>
      <c r="N171" t="str">
        <f t="shared" si="6"/>
        <v>Trading Day</v>
      </c>
      <c r="O171" t="str">
        <f t="shared" si="7"/>
        <v>Negative</v>
      </c>
      <c r="P171" t="str">
        <f t="shared" si="8"/>
        <v>Positive</v>
      </c>
    </row>
    <row r="172" spans="1:16" x14ac:dyDescent="0.3">
      <c r="A172" s="1">
        <v>43525</v>
      </c>
      <c r="B172">
        <v>35.729999999999997</v>
      </c>
      <c r="C172">
        <v>55265000</v>
      </c>
      <c r="D172">
        <v>-1.3640000000000001</v>
      </c>
      <c r="E172">
        <v>44</v>
      </c>
      <c r="F172">
        <v>2.86</v>
      </c>
      <c r="G172">
        <v>0.27979999999999999</v>
      </c>
      <c r="H172">
        <v>32</v>
      </c>
      <c r="I172">
        <v>6.43</v>
      </c>
      <c r="J172">
        <v>1</v>
      </c>
      <c r="K172">
        <f>YEAR(NetflixData[[#This Row],[date]])</f>
        <v>2019</v>
      </c>
      <c r="L172" t="str">
        <f>TEXT(NetflixData[[#This Row],[date]],"mmm")</f>
        <v>Mar</v>
      </c>
      <c r="M172" t="str">
        <f>TEXT(NetflixData[[#This Row],[date]],"mmm yyyy")</f>
        <v>Mar 2019</v>
      </c>
      <c r="N172" t="str">
        <f t="shared" si="6"/>
        <v>Non-Trading Day</v>
      </c>
      <c r="O172" t="str">
        <f t="shared" si="7"/>
        <v>Negative</v>
      </c>
      <c r="P172" t="str">
        <f t="shared" si="8"/>
        <v>Positive</v>
      </c>
    </row>
    <row r="173" spans="1:16" x14ac:dyDescent="0.3">
      <c r="A173" s="1">
        <v>43526</v>
      </c>
      <c r="B173">
        <v>35.729999999999997</v>
      </c>
      <c r="C173">
        <v>0</v>
      </c>
      <c r="D173">
        <v>0</v>
      </c>
      <c r="E173">
        <v>44</v>
      </c>
      <c r="F173">
        <v>3.34</v>
      </c>
      <c r="G173">
        <v>0.34810000000000002</v>
      </c>
      <c r="H173">
        <v>10</v>
      </c>
      <c r="I173">
        <v>6</v>
      </c>
      <c r="J173">
        <v>0</v>
      </c>
      <c r="K173">
        <f>YEAR(NetflixData[[#This Row],[date]])</f>
        <v>2019</v>
      </c>
      <c r="L173" t="str">
        <f>TEXT(NetflixData[[#This Row],[date]],"mmm")</f>
        <v>Mar</v>
      </c>
      <c r="M173" t="str">
        <f>TEXT(NetflixData[[#This Row],[date]],"mmm yyyy")</f>
        <v>Mar 2019</v>
      </c>
      <c r="N173" t="str">
        <f t="shared" si="6"/>
        <v>Non-Trading Day</v>
      </c>
      <c r="O173" t="str">
        <f t="shared" si="7"/>
        <v>No Change</v>
      </c>
      <c r="P173" t="str">
        <f t="shared" si="8"/>
        <v>Positive</v>
      </c>
    </row>
    <row r="174" spans="1:16" x14ac:dyDescent="0.3">
      <c r="A174" s="1">
        <v>43527</v>
      </c>
      <c r="B174">
        <v>35.729999999999997</v>
      </c>
      <c r="C174">
        <v>0</v>
      </c>
      <c r="D174">
        <v>0</v>
      </c>
      <c r="E174">
        <v>42</v>
      </c>
      <c r="F174">
        <v>2.79</v>
      </c>
      <c r="G174">
        <v>0.2545</v>
      </c>
      <c r="H174">
        <v>2</v>
      </c>
      <c r="I174">
        <v>4.6500000000000004</v>
      </c>
      <c r="J174">
        <v>0</v>
      </c>
      <c r="K174">
        <f>YEAR(NetflixData[[#This Row],[date]])</f>
        <v>2019</v>
      </c>
      <c r="L174" t="str">
        <f>TEXT(NetflixData[[#This Row],[date]],"mmm")</f>
        <v>Mar</v>
      </c>
      <c r="M174" t="str">
        <f>TEXT(NetflixData[[#This Row],[date]],"mmm yyyy")</f>
        <v>Mar 2019</v>
      </c>
      <c r="N174" t="str">
        <f t="shared" si="6"/>
        <v>Trading Day</v>
      </c>
      <c r="O174" t="str">
        <f t="shared" si="7"/>
        <v>No Change</v>
      </c>
      <c r="P174" t="str">
        <f t="shared" si="8"/>
        <v>Positive</v>
      </c>
    </row>
    <row r="175" spans="1:16" x14ac:dyDescent="0.3">
      <c r="A175" s="1">
        <v>43528</v>
      </c>
      <c r="B175">
        <v>35.1</v>
      </c>
      <c r="C175">
        <v>74870000</v>
      </c>
      <c r="D175">
        <v>-2.4129999999999998</v>
      </c>
      <c r="E175">
        <v>45</v>
      </c>
      <c r="F175">
        <v>3.11</v>
      </c>
      <c r="G175">
        <v>0.32869999999999999</v>
      </c>
      <c r="H175">
        <v>6</v>
      </c>
      <c r="I175">
        <v>7.06</v>
      </c>
      <c r="J175">
        <v>1</v>
      </c>
      <c r="K175">
        <f>YEAR(NetflixData[[#This Row],[date]])</f>
        <v>2019</v>
      </c>
      <c r="L175" t="str">
        <f>TEXT(NetflixData[[#This Row],[date]],"mmm")</f>
        <v>Mar</v>
      </c>
      <c r="M175" t="str">
        <f>TEXT(NetflixData[[#This Row],[date]],"mmm yyyy")</f>
        <v>Mar 2019</v>
      </c>
      <c r="N175" t="str">
        <f t="shared" si="6"/>
        <v>Trading Day</v>
      </c>
      <c r="O175" t="str">
        <f t="shared" si="7"/>
        <v>Negative</v>
      </c>
      <c r="P175" t="str">
        <f t="shared" si="8"/>
        <v>Positive</v>
      </c>
    </row>
    <row r="176" spans="1:16" x14ac:dyDescent="0.3">
      <c r="A176" s="1">
        <v>43529</v>
      </c>
      <c r="B176">
        <v>35.43</v>
      </c>
      <c r="C176">
        <v>59378000</v>
      </c>
      <c r="D176">
        <v>0.80800000000000005</v>
      </c>
      <c r="E176">
        <v>54</v>
      </c>
      <c r="F176">
        <v>3.37</v>
      </c>
      <c r="G176">
        <v>0.35120000000000001</v>
      </c>
      <c r="H176">
        <v>5</v>
      </c>
      <c r="I176">
        <v>6.46</v>
      </c>
      <c r="J176">
        <v>1</v>
      </c>
      <c r="K176">
        <f>YEAR(NetflixData[[#This Row],[date]])</f>
        <v>2019</v>
      </c>
      <c r="L176" t="str">
        <f>TEXT(NetflixData[[#This Row],[date]],"mmm")</f>
        <v>Mar</v>
      </c>
      <c r="M176" t="str">
        <f>TEXT(NetflixData[[#This Row],[date]],"mmm yyyy")</f>
        <v>Mar 2019</v>
      </c>
      <c r="N176" t="str">
        <f t="shared" si="6"/>
        <v>Trading Day</v>
      </c>
      <c r="O176" t="str">
        <f t="shared" si="7"/>
        <v>Positive</v>
      </c>
      <c r="P176" t="str">
        <f t="shared" si="8"/>
        <v>Positive</v>
      </c>
    </row>
    <row r="177" spans="1:16" x14ac:dyDescent="0.3">
      <c r="A177" s="1">
        <v>43530</v>
      </c>
      <c r="B177">
        <v>35.96</v>
      </c>
      <c r="C177">
        <v>62119000</v>
      </c>
      <c r="D177">
        <v>1.7</v>
      </c>
      <c r="E177">
        <v>39</v>
      </c>
      <c r="F177">
        <v>2.82</v>
      </c>
      <c r="G177">
        <v>8.72E-2</v>
      </c>
      <c r="H177">
        <v>4</v>
      </c>
      <c r="I177">
        <v>7.4</v>
      </c>
      <c r="J177">
        <v>1</v>
      </c>
      <c r="K177">
        <f>YEAR(NetflixData[[#This Row],[date]])</f>
        <v>2019</v>
      </c>
      <c r="L177" t="str">
        <f>TEXT(NetflixData[[#This Row],[date]],"mmm")</f>
        <v>Mar</v>
      </c>
      <c r="M177" t="str">
        <f>TEXT(NetflixData[[#This Row],[date]],"mmm yyyy")</f>
        <v>Mar 2019</v>
      </c>
      <c r="N177" t="str">
        <f t="shared" si="6"/>
        <v>Trading Day</v>
      </c>
      <c r="O177" t="str">
        <f t="shared" si="7"/>
        <v>Positive</v>
      </c>
      <c r="P177" t="str">
        <f t="shared" si="8"/>
        <v>Neutral</v>
      </c>
    </row>
    <row r="178" spans="1:16" x14ac:dyDescent="0.3">
      <c r="A178" s="1">
        <v>43531</v>
      </c>
      <c r="B178">
        <v>35.26</v>
      </c>
      <c r="C178">
        <v>61513000</v>
      </c>
      <c r="D178">
        <v>-2.0990000000000002</v>
      </c>
      <c r="E178">
        <v>38</v>
      </c>
      <c r="F178">
        <v>3.16</v>
      </c>
      <c r="G178">
        <v>0.30470000000000003</v>
      </c>
      <c r="H178">
        <v>6</v>
      </c>
      <c r="I178">
        <v>6.65</v>
      </c>
      <c r="J178">
        <v>1</v>
      </c>
      <c r="K178">
        <f>YEAR(NetflixData[[#This Row],[date]])</f>
        <v>2019</v>
      </c>
      <c r="L178" t="str">
        <f>TEXT(NetflixData[[#This Row],[date]],"mmm")</f>
        <v>Mar</v>
      </c>
      <c r="M178" t="str">
        <f>TEXT(NetflixData[[#This Row],[date]],"mmm yyyy")</f>
        <v>Mar 2019</v>
      </c>
      <c r="N178" t="str">
        <f t="shared" si="6"/>
        <v>Trading Day</v>
      </c>
      <c r="O178" t="str">
        <f t="shared" si="7"/>
        <v>Negative</v>
      </c>
      <c r="P178" t="str">
        <f t="shared" si="8"/>
        <v>Positive</v>
      </c>
    </row>
    <row r="179" spans="1:16" x14ac:dyDescent="0.3">
      <c r="A179" s="1">
        <v>43532</v>
      </c>
      <c r="B179">
        <v>34.96</v>
      </c>
      <c r="C179">
        <v>68988000</v>
      </c>
      <c r="D179">
        <v>1.1140000000000001</v>
      </c>
      <c r="E179">
        <v>52</v>
      </c>
      <c r="F179">
        <v>3.08</v>
      </c>
      <c r="G179">
        <v>0.2147</v>
      </c>
      <c r="H179">
        <v>13</v>
      </c>
      <c r="I179">
        <v>6.56</v>
      </c>
      <c r="J179">
        <v>1</v>
      </c>
      <c r="K179">
        <f>YEAR(NetflixData[[#This Row],[date]])</f>
        <v>2019</v>
      </c>
      <c r="L179" t="str">
        <f>TEXT(NetflixData[[#This Row],[date]],"mmm")</f>
        <v>Mar</v>
      </c>
      <c r="M179" t="str">
        <f>TEXT(NetflixData[[#This Row],[date]],"mmm yyyy")</f>
        <v>Mar 2019</v>
      </c>
      <c r="N179" t="str">
        <f t="shared" si="6"/>
        <v>Non-Trading Day</v>
      </c>
      <c r="O179" t="str">
        <f t="shared" si="7"/>
        <v>Positive</v>
      </c>
      <c r="P179" t="str">
        <f t="shared" si="8"/>
        <v>Positive</v>
      </c>
    </row>
    <row r="180" spans="1:16" x14ac:dyDescent="0.3">
      <c r="A180" s="1">
        <v>43533</v>
      </c>
      <c r="B180">
        <v>34.96</v>
      </c>
      <c r="C180">
        <v>0</v>
      </c>
      <c r="D180">
        <v>0</v>
      </c>
      <c r="E180">
        <v>44</v>
      </c>
      <c r="F180">
        <v>3.27</v>
      </c>
      <c r="G180">
        <v>0.38219999999999998</v>
      </c>
      <c r="H180">
        <v>2</v>
      </c>
      <c r="I180">
        <v>5.2</v>
      </c>
      <c r="J180">
        <v>0</v>
      </c>
      <c r="K180">
        <f>YEAR(NetflixData[[#This Row],[date]])</f>
        <v>2019</v>
      </c>
      <c r="L180" t="str">
        <f>TEXT(NetflixData[[#This Row],[date]],"mmm")</f>
        <v>Mar</v>
      </c>
      <c r="M180" t="str">
        <f>TEXT(NetflixData[[#This Row],[date]],"mmm yyyy")</f>
        <v>Mar 2019</v>
      </c>
      <c r="N180" t="str">
        <f t="shared" si="6"/>
        <v>Non-Trading Day</v>
      </c>
      <c r="O180" t="str">
        <f t="shared" si="7"/>
        <v>No Change</v>
      </c>
      <c r="P180" t="str">
        <f t="shared" si="8"/>
        <v>Positive</v>
      </c>
    </row>
    <row r="181" spans="1:16" x14ac:dyDescent="0.3">
      <c r="A181" s="1">
        <v>43534</v>
      </c>
      <c r="B181">
        <v>34.96</v>
      </c>
      <c r="C181">
        <v>0</v>
      </c>
      <c r="D181">
        <v>0</v>
      </c>
      <c r="E181">
        <v>43</v>
      </c>
      <c r="F181">
        <v>2.77</v>
      </c>
      <c r="G181">
        <v>0.15459999999999999</v>
      </c>
      <c r="H181">
        <v>1</v>
      </c>
      <c r="J181">
        <v>0</v>
      </c>
      <c r="K181">
        <f>YEAR(NetflixData[[#This Row],[date]])</f>
        <v>2019</v>
      </c>
      <c r="L181" t="str">
        <f>TEXT(NetflixData[[#This Row],[date]],"mmm")</f>
        <v>Mar</v>
      </c>
      <c r="M181" t="str">
        <f>TEXT(NetflixData[[#This Row],[date]],"mmm yyyy")</f>
        <v>Mar 2019</v>
      </c>
      <c r="N181" t="str">
        <f t="shared" si="6"/>
        <v>Trading Day</v>
      </c>
      <c r="O181" t="str">
        <f t="shared" si="7"/>
        <v>No Change</v>
      </c>
      <c r="P181" t="str">
        <f t="shared" si="8"/>
        <v>Positive</v>
      </c>
    </row>
    <row r="182" spans="1:16" x14ac:dyDescent="0.3">
      <c r="A182" s="1">
        <v>43535</v>
      </c>
      <c r="B182">
        <v>35.89</v>
      </c>
      <c r="C182">
        <v>53873000</v>
      </c>
      <c r="D182">
        <v>1.9490000000000001</v>
      </c>
      <c r="E182">
        <v>25</v>
      </c>
      <c r="F182">
        <v>3.32</v>
      </c>
      <c r="G182">
        <v>0.45579999999999998</v>
      </c>
      <c r="H182">
        <v>2</v>
      </c>
      <c r="I182">
        <v>7.4</v>
      </c>
      <c r="J182">
        <v>1</v>
      </c>
      <c r="K182">
        <f>YEAR(NetflixData[[#This Row],[date]])</f>
        <v>2019</v>
      </c>
      <c r="L182" t="str">
        <f>TEXT(NetflixData[[#This Row],[date]],"mmm")</f>
        <v>Mar</v>
      </c>
      <c r="M182" t="str">
        <f>TEXT(NetflixData[[#This Row],[date]],"mmm yyyy")</f>
        <v>Mar 2019</v>
      </c>
      <c r="N182" t="str">
        <f t="shared" si="6"/>
        <v>Trading Day</v>
      </c>
      <c r="O182" t="str">
        <f t="shared" si="7"/>
        <v>Positive</v>
      </c>
      <c r="P182" t="str">
        <f t="shared" si="8"/>
        <v>Positive</v>
      </c>
    </row>
    <row r="183" spans="1:16" x14ac:dyDescent="0.3">
      <c r="A183" s="1">
        <v>43536</v>
      </c>
      <c r="B183">
        <v>35.630000000000003</v>
      </c>
      <c r="C183">
        <v>51646000</v>
      </c>
      <c r="D183">
        <v>-0.86299999999999999</v>
      </c>
      <c r="E183">
        <v>45</v>
      </c>
      <c r="F183">
        <v>2.98</v>
      </c>
      <c r="G183">
        <v>0.3503</v>
      </c>
      <c r="H183">
        <v>4</v>
      </c>
      <c r="I183">
        <v>7.13</v>
      </c>
      <c r="J183">
        <v>1</v>
      </c>
      <c r="K183">
        <f>YEAR(NetflixData[[#This Row],[date]])</f>
        <v>2019</v>
      </c>
      <c r="L183" t="str">
        <f>TEXT(NetflixData[[#This Row],[date]],"mmm")</f>
        <v>Mar</v>
      </c>
      <c r="M183" t="str">
        <f>TEXT(NetflixData[[#This Row],[date]],"mmm yyyy")</f>
        <v>Mar 2019</v>
      </c>
      <c r="N183" t="str">
        <f t="shared" si="6"/>
        <v>Trading Day</v>
      </c>
      <c r="O183" t="str">
        <f t="shared" si="7"/>
        <v>Negative</v>
      </c>
      <c r="P183" t="str">
        <f t="shared" si="8"/>
        <v>Positive</v>
      </c>
    </row>
    <row r="184" spans="1:16" x14ac:dyDescent="0.3">
      <c r="A184" s="1">
        <v>43537</v>
      </c>
      <c r="B184">
        <v>36.119999999999997</v>
      </c>
      <c r="C184">
        <v>64441000</v>
      </c>
      <c r="D184">
        <v>1.518</v>
      </c>
      <c r="E184">
        <v>41</v>
      </c>
      <c r="F184">
        <v>3.37</v>
      </c>
      <c r="G184">
        <v>0.38119999999999998</v>
      </c>
      <c r="H184">
        <v>3</v>
      </c>
      <c r="I184">
        <v>6.9</v>
      </c>
      <c r="J184">
        <v>1</v>
      </c>
      <c r="K184">
        <f>YEAR(NetflixData[[#This Row],[date]])</f>
        <v>2019</v>
      </c>
      <c r="L184" t="str">
        <f>TEXT(NetflixData[[#This Row],[date]],"mmm")</f>
        <v>Mar</v>
      </c>
      <c r="M184" t="str">
        <f>TEXT(NetflixData[[#This Row],[date]],"mmm yyyy")</f>
        <v>Mar 2019</v>
      </c>
      <c r="N184" t="str">
        <f t="shared" si="6"/>
        <v>Trading Day</v>
      </c>
      <c r="O184" t="str">
        <f t="shared" si="7"/>
        <v>Positive</v>
      </c>
      <c r="P184" t="str">
        <f t="shared" si="8"/>
        <v>Positive</v>
      </c>
    </row>
    <row r="185" spans="1:16" x14ac:dyDescent="0.3">
      <c r="A185" s="1">
        <v>43538</v>
      </c>
      <c r="B185">
        <v>35.880000000000003</v>
      </c>
      <c r="C185">
        <v>52714000</v>
      </c>
      <c r="D185">
        <v>-0.46600000000000003</v>
      </c>
      <c r="E185">
        <v>38</v>
      </c>
      <c r="F185">
        <v>2.95</v>
      </c>
      <c r="G185">
        <v>0.14460000000000001</v>
      </c>
      <c r="H185">
        <v>6</v>
      </c>
      <c r="I185">
        <v>6.5</v>
      </c>
      <c r="J185">
        <v>1</v>
      </c>
      <c r="K185">
        <f>YEAR(NetflixData[[#This Row],[date]])</f>
        <v>2019</v>
      </c>
      <c r="L185" t="str">
        <f>TEXT(NetflixData[[#This Row],[date]],"mmm")</f>
        <v>Mar</v>
      </c>
      <c r="M185" t="str">
        <f>TEXT(NetflixData[[#This Row],[date]],"mmm yyyy")</f>
        <v>Mar 2019</v>
      </c>
      <c r="N185" t="str">
        <f t="shared" si="6"/>
        <v>Trading Day</v>
      </c>
      <c r="O185" t="str">
        <f t="shared" si="7"/>
        <v>Negative</v>
      </c>
      <c r="P185" t="str">
        <f t="shared" si="8"/>
        <v>Positive</v>
      </c>
    </row>
    <row r="186" spans="1:16" x14ac:dyDescent="0.3">
      <c r="A186" s="1">
        <v>43539</v>
      </c>
      <c r="B186">
        <v>36.15</v>
      </c>
      <c r="C186">
        <v>84445000</v>
      </c>
      <c r="D186">
        <v>0.122</v>
      </c>
      <c r="E186">
        <v>39</v>
      </c>
      <c r="F186">
        <v>2.74</v>
      </c>
      <c r="G186">
        <v>7.0400000000000004E-2</v>
      </c>
      <c r="H186">
        <v>23</v>
      </c>
      <c r="I186">
        <v>6.21</v>
      </c>
      <c r="J186">
        <v>1</v>
      </c>
      <c r="K186">
        <f>YEAR(NetflixData[[#This Row],[date]])</f>
        <v>2019</v>
      </c>
      <c r="L186" t="str">
        <f>TEXT(NetflixData[[#This Row],[date]],"mmm")</f>
        <v>Mar</v>
      </c>
      <c r="M186" t="str">
        <f>TEXT(NetflixData[[#This Row],[date]],"mmm yyyy")</f>
        <v>Mar 2019</v>
      </c>
      <c r="N186" t="str">
        <f t="shared" si="6"/>
        <v>Non-Trading Day</v>
      </c>
      <c r="O186" t="str">
        <f t="shared" si="7"/>
        <v>Positive</v>
      </c>
      <c r="P186" t="str">
        <f t="shared" si="8"/>
        <v>Neutral</v>
      </c>
    </row>
    <row r="187" spans="1:16" x14ac:dyDescent="0.3">
      <c r="A187" s="1">
        <v>43540</v>
      </c>
      <c r="B187">
        <v>36.15</v>
      </c>
      <c r="C187">
        <v>0</v>
      </c>
      <c r="D187">
        <v>0</v>
      </c>
      <c r="E187">
        <v>38</v>
      </c>
      <c r="F187">
        <v>3.26</v>
      </c>
      <c r="G187">
        <v>0.32329999999999998</v>
      </c>
      <c r="H187">
        <v>2</v>
      </c>
      <c r="I187">
        <v>8.3000000000000007</v>
      </c>
      <c r="J187">
        <v>0</v>
      </c>
      <c r="K187">
        <f>YEAR(NetflixData[[#This Row],[date]])</f>
        <v>2019</v>
      </c>
      <c r="L187" t="str">
        <f>TEXT(NetflixData[[#This Row],[date]],"mmm")</f>
        <v>Mar</v>
      </c>
      <c r="M187" t="str">
        <f>TEXT(NetflixData[[#This Row],[date]],"mmm yyyy")</f>
        <v>Mar 2019</v>
      </c>
      <c r="N187" t="str">
        <f t="shared" si="6"/>
        <v>Non-Trading Day</v>
      </c>
      <c r="O187" t="str">
        <f t="shared" si="7"/>
        <v>No Change</v>
      </c>
      <c r="P187" t="str">
        <f t="shared" si="8"/>
        <v>Positive</v>
      </c>
    </row>
    <row r="188" spans="1:16" x14ac:dyDescent="0.3">
      <c r="A188" s="1">
        <v>43541</v>
      </c>
      <c r="B188">
        <v>36.15</v>
      </c>
      <c r="C188">
        <v>0</v>
      </c>
      <c r="D188">
        <v>0</v>
      </c>
      <c r="E188">
        <v>39</v>
      </c>
      <c r="F188">
        <v>3.13</v>
      </c>
      <c r="G188">
        <v>0.20680000000000001</v>
      </c>
      <c r="H188">
        <v>2</v>
      </c>
      <c r="I188">
        <v>6.25</v>
      </c>
      <c r="J188">
        <v>0</v>
      </c>
      <c r="K188">
        <f>YEAR(NetflixData[[#This Row],[date]])</f>
        <v>2019</v>
      </c>
      <c r="L188" t="str">
        <f>TEXT(NetflixData[[#This Row],[date]],"mmm")</f>
        <v>Mar</v>
      </c>
      <c r="M188" t="str">
        <f>TEXT(NetflixData[[#This Row],[date]],"mmm yyyy")</f>
        <v>Mar 2019</v>
      </c>
      <c r="N188" t="str">
        <f t="shared" si="6"/>
        <v>Trading Day</v>
      </c>
      <c r="O188" t="str">
        <f t="shared" si="7"/>
        <v>No Change</v>
      </c>
      <c r="P188" t="str">
        <f t="shared" si="8"/>
        <v>Positive</v>
      </c>
    </row>
    <row r="189" spans="1:16" x14ac:dyDescent="0.3">
      <c r="A189" s="1">
        <v>43542</v>
      </c>
      <c r="B189">
        <v>36.340000000000003</v>
      </c>
      <c r="C189">
        <v>71947000</v>
      </c>
      <c r="D189">
        <v>0.26800000000000002</v>
      </c>
      <c r="E189">
        <v>41</v>
      </c>
      <c r="F189">
        <v>2.59</v>
      </c>
      <c r="G189">
        <v>0.1704</v>
      </c>
      <c r="H189">
        <v>1</v>
      </c>
      <c r="I189">
        <v>6.2</v>
      </c>
      <c r="J189">
        <v>1</v>
      </c>
      <c r="K189">
        <f>YEAR(NetflixData[[#This Row],[date]])</f>
        <v>2019</v>
      </c>
      <c r="L189" t="str">
        <f>TEXT(NetflixData[[#This Row],[date]],"mmm")</f>
        <v>Mar</v>
      </c>
      <c r="M189" t="str">
        <f>TEXT(NetflixData[[#This Row],[date]],"mmm yyyy")</f>
        <v>Mar 2019</v>
      </c>
      <c r="N189" t="str">
        <f t="shared" si="6"/>
        <v>Trading Day</v>
      </c>
      <c r="O189" t="str">
        <f t="shared" si="7"/>
        <v>Positive</v>
      </c>
      <c r="P189" t="str">
        <f t="shared" si="8"/>
        <v>Positive</v>
      </c>
    </row>
    <row r="190" spans="1:16" x14ac:dyDescent="0.3">
      <c r="A190" s="1">
        <v>43543</v>
      </c>
      <c r="B190">
        <v>35.880000000000003</v>
      </c>
      <c r="C190">
        <v>75414000</v>
      </c>
      <c r="D190">
        <v>-2.08</v>
      </c>
      <c r="E190">
        <v>39</v>
      </c>
      <c r="F190">
        <v>3.28</v>
      </c>
      <c r="G190">
        <v>0.32200000000000001</v>
      </c>
      <c r="H190">
        <v>3</v>
      </c>
      <c r="I190">
        <v>5.25</v>
      </c>
      <c r="J190">
        <v>1</v>
      </c>
      <c r="K190">
        <f>YEAR(NetflixData[[#This Row],[date]])</f>
        <v>2019</v>
      </c>
      <c r="L190" t="str">
        <f>TEXT(NetflixData[[#This Row],[date]],"mmm")</f>
        <v>Mar</v>
      </c>
      <c r="M190" t="str">
        <f>TEXT(NetflixData[[#This Row],[date]],"mmm yyyy")</f>
        <v>Mar 2019</v>
      </c>
      <c r="N190" t="str">
        <f t="shared" si="6"/>
        <v>Trading Day</v>
      </c>
      <c r="O190" t="str">
        <f t="shared" si="7"/>
        <v>Negative</v>
      </c>
      <c r="P190" t="str">
        <f t="shared" si="8"/>
        <v>Positive</v>
      </c>
    </row>
    <row r="191" spans="1:16" x14ac:dyDescent="0.3">
      <c r="A191" s="1">
        <v>43544</v>
      </c>
      <c r="B191">
        <v>37.520000000000003</v>
      </c>
      <c r="C191">
        <v>109172000</v>
      </c>
      <c r="D191">
        <v>4.5439999999999996</v>
      </c>
      <c r="E191">
        <v>50</v>
      </c>
      <c r="F191">
        <v>2.82</v>
      </c>
      <c r="G191">
        <v>0.2495</v>
      </c>
      <c r="H191">
        <v>5</v>
      </c>
      <c r="I191">
        <v>6.58</v>
      </c>
      <c r="J191">
        <v>1</v>
      </c>
      <c r="K191">
        <f>YEAR(NetflixData[[#This Row],[date]])</f>
        <v>2019</v>
      </c>
      <c r="L191" t="str">
        <f>TEXT(NetflixData[[#This Row],[date]],"mmm")</f>
        <v>Mar</v>
      </c>
      <c r="M191" t="str">
        <f>TEXT(NetflixData[[#This Row],[date]],"mmm yyyy")</f>
        <v>Mar 2019</v>
      </c>
      <c r="N191" t="str">
        <f t="shared" si="6"/>
        <v>Trading Day</v>
      </c>
      <c r="O191" t="str">
        <f t="shared" si="7"/>
        <v>Positive</v>
      </c>
      <c r="P191" t="str">
        <f t="shared" si="8"/>
        <v>Positive</v>
      </c>
    </row>
    <row r="192" spans="1:16" x14ac:dyDescent="0.3">
      <c r="A192" s="1">
        <v>43545</v>
      </c>
      <c r="B192">
        <v>37.79</v>
      </c>
      <c r="C192">
        <v>85440000</v>
      </c>
      <c r="D192">
        <v>1.0349999999999999</v>
      </c>
      <c r="E192">
        <v>44</v>
      </c>
      <c r="F192">
        <v>3.09</v>
      </c>
      <c r="G192">
        <v>0.26429999999999998</v>
      </c>
      <c r="H192">
        <v>9</v>
      </c>
      <c r="I192">
        <v>5.24</v>
      </c>
      <c r="J192">
        <v>1</v>
      </c>
      <c r="K192">
        <f>YEAR(NetflixData[[#This Row],[date]])</f>
        <v>2019</v>
      </c>
      <c r="L192" t="str">
        <f>TEXT(NetflixData[[#This Row],[date]],"mmm")</f>
        <v>Mar</v>
      </c>
      <c r="M192" t="str">
        <f>TEXT(NetflixData[[#This Row],[date]],"mmm yyyy")</f>
        <v>Mar 2019</v>
      </c>
      <c r="N192" t="str">
        <f t="shared" si="6"/>
        <v>Trading Day</v>
      </c>
      <c r="O192" t="str">
        <f t="shared" si="7"/>
        <v>Positive</v>
      </c>
      <c r="P192" t="str">
        <f t="shared" si="8"/>
        <v>Positive</v>
      </c>
    </row>
    <row r="193" spans="1:16" x14ac:dyDescent="0.3">
      <c r="A193" s="1">
        <v>43546</v>
      </c>
      <c r="B193">
        <v>36.1</v>
      </c>
      <c r="C193">
        <v>86613000</v>
      </c>
      <c r="D193">
        <v>-3.9740000000000002</v>
      </c>
      <c r="E193">
        <v>58</v>
      </c>
      <c r="F193">
        <v>2.78</v>
      </c>
      <c r="G193">
        <v>0.20399999999999999</v>
      </c>
      <c r="H193">
        <v>9</v>
      </c>
      <c r="I193">
        <v>7.33</v>
      </c>
      <c r="J193">
        <v>1</v>
      </c>
      <c r="K193">
        <f>YEAR(NetflixData[[#This Row],[date]])</f>
        <v>2019</v>
      </c>
      <c r="L193" t="str">
        <f>TEXT(NetflixData[[#This Row],[date]],"mmm")</f>
        <v>Mar</v>
      </c>
      <c r="M193" t="str">
        <f>TEXT(NetflixData[[#This Row],[date]],"mmm yyyy")</f>
        <v>Mar 2019</v>
      </c>
      <c r="N193" t="str">
        <f t="shared" si="6"/>
        <v>Non-Trading Day</v>
      </c>
      <c r="O193" t="str">
        <f t="shared" si="7"/>
        <v>Negative</v>
      </c>
      <c r="P193" t="str">
        <f t="shared" si="8"/>
        <v>Positive</v>
      </c>
    </row>
    <row r="194" spans="1:16" x14ac:dyDescent="0.3">
      <c r="A194" s="1">
        <v>43547</v>
      </c>
      <c r="B194">
        <v>36.1</v>
      </c>
      <c r="C194">
        <v>0</v>
      </c>
      <c r="D194">
        <v>0</v>
      </c>
      <c r="E194">
        <v>48</v>
      </c>
      <c r="F194">
        <v>2.9</v>
      </c>
      <c r="G194">
        <v>0.22750000000000001</v>
      </c>
      <c r="H194">
        <v>3</v>
      </c>
      <c r="I194">
        <v>5.4</v>
      </c>
      <c r="J194">
        <v>0</v>
      </c>
      <c r="K194">
        <f>YEAR(NetflixData[[#This Row],[date]])</f>
        <v>2019</v>
      </c>
      <c r="L194" t="str">
        <f>TEXT(NetflixData[[#This Row],[date]],"mmm")</f>
        <v>Mar</v>
      </c>
      <c r="M194" t="str">
        <f>TEXT(NetflixData[[#This Row],[date]],"mmm yyyy")</f>
        <v>Mar 2019</v>
      </c>
      <c r="N194" t="str">
        <f t="shared" ref="N194:N257" si="9">IF(J195=1,"Trading Day","Non-Trading Day")</f>
        <v>Non-Trading Day</v>
      </c>
      <c r="O194" t="str">
        <f t="shared" ref="O194:O257" si="10">IF(D194&gt;0,"Positive",IF(D194&lt;0,"Negative","No Change"))</f>
        <v>No Change</v>
      </c>
      <c r="P194" t="str">
        <f t="shared" ref="P194:P257" si="11">IF(G194&gt;0.1,"Positive",IF(G194&lt;-0.1,"Negative","Neutral"))</f>
        <v>Positive</v>
      </c>
    </row>
    <row r="195" spans="1:16" x14ac:dyDescent="0.3">
      <c r="A195" s="1">
        <v>43548</v>
      </c>
      <c r="B195">
        <v>36.1</v>
      </c>
      <c r="C195">
        <v>0</v>
      </c>
      <c r="D195">
        <v>0</v>
      </c>
      <c r="E195">
        <v>36</v>
      </c>
      <c r="F195">
        <v>3.17</v>
      </c>
      <c r="G195">
        <v>0.3211</v>
      </c>
      <c r="H195">
        <v>1</v>
      </c>
      <c r="I195">
        <v>5.4</v>
      </c>
      <c r="J195">
        <v>0</v>
      </c>
      <c r="K195">
        <f>YEAR(NetflixData[[#This Row],[date]])</f>
        <v>2019</v>
      </c>
      <c r="L195" t="str">
        <f>TEXT(NetflixData[[#This Row],[date]],"mmm")</f>
        <v>Mar</v>
      </c>
      <c r="M195" t="str">
        <f>TEXT(NetflixData[[#This Row],[date]],"mmm yyyy")</f>
        <v>Mar 2019</v>
      </c>
      <c r="N195" t="str">
        <f t="shared" si="9"/>
        <v>Trading Day</v>
      </c>
      <c r="O195" t="str">
        <f t="shared" si="10"/>
        <v>No Change</v>
      </c>
      <c r="P195" t="str">
        <f t="shared" si="11"/>
        <v>Positive</v>
      </c>
    </row>
    <row r="196" spans="1:16" x14ac:dyDescent="0.3">
      <c r="A196" s="1">
        <v>43549</v>
      </c>
      <c r="B196">
        <v>36.619999999999997</v>
      </c>
      <c r="C196">
        <v>84738000</v>
      </c>
      <c r="D196">
        <v>2.0139999999999998</v>
      </c>
      <c r="E196">
        <v>41</v>
      </c>
      <c r="F196">
        <v>3.27</v>
      </c>
      <c r="G196">
        <v>0.34610000000000002</v>
      </c>
      <c r="H196">
        <v>2</v>
      </c>
      <c r="I196">
        <v>4.4000000000000004</v>
      </c>
      <c r="J196">
        <v>1</v>
      </c>
      <c r="K196">
        <f>YEAR(NetflixData[[#This Row],[date]])</f>
        <v>2019</v>
      </c>
      <c r="L196" t="str">
        <f>TEXT(NetflixData[[#This Row],[date]],"mmm")</f>
        <v>Mar</v>
      </c>
      <c r="M196" t="str">
        <f>TEXT(NetflixData[[#This Row],[date]],"mmm yyyy")</f>
        <v>Mar 2019</v>
      </c>
      <c r="N196" t="str">
        <f t="shared" si="9"/>
        <v>Trading Day</v>
      </c>
      <c r="O196" t="str">
        <f t="shared" si="10"/>
        <v>Positive</v>
      </c>
      <c r="P196" t="str">
        <f t="shared" si="11"/>
        <v>Positive</v>
      </c>
    </row>
    <row r="197" spans="1:16" x14ac:dyDescent="0.3">
      <c r="A197" s="1">
        <v>43550</v>
      </c>
      <c r="B197">
        <v>36</v>
      </c>
      <c r="C197">
        <v>76665000</v>
      </c>
      <c r="D197">
        <v>-2.1469999999999998</v>
      </c>
      <c r="E197">
        <v>36</v>
      </c>
      <c r="F197">
        <v>2.92</v>
      </c>
      <c r="G197">
        <v>0.2666</v>
      </c>
      <c r="H197">
        <v>1</v>
      </c>
      <c r="J197">
        <v>1</v>
      </c>
      <c r="K197">
        <f>YEAR(NetflixData[[#This Row],[date]])</f>
        <v>2019</v>
      </c>
      <c r="L197" t="str">
        <f>TEXT(NetflixData[[#This Row],[date]],"mmm")</f>
        <v>Mar</v>
      </c>
      <c r="M197" t="str">
        <f>TEXT(NetflixData[[#This Row],[date]],"mmm yyyy")</f>
        <v>Mar 2019</v>
      </c>
      <c r="N197" t="str">
        <f t="shared" si="9"/>
        <v>Trading Day</v>
      </c>
      <c r="O197" t="str">
        <f t="shared" si="10"/>
        <v>Negative</v>
      </c>
      <c r="P197" t="str">
        <f t="shared" si="11"/>
        <v>Positive</v>
      </c>
    </row>
    <row r="198" spans="1:16" x14ac:dyDescent="0.3">
      <c r="A198" s="1">
        <v>43551</v>
      </c>
      <c r="B198">
        <v>35.340000000000003</v>
      </c>
      <c r="C198">
        <v>78524000</v>
      </c>
      <c r="D198">
        <v>-2.1139999999999999</v>
      </c>
      <c r="E198">
        <v>26</v>
      </c>
      <c r="F198">
        <v>3.04</v>
      </c>
      <c r="G198">
        <v>0.2555</v>
      </c>
      <c r="H198">
        <v>2</v>
      </c>
      <c r="I198">
        <v>6.9</v>
      </c>
      <c r="J198">
        <v>1</v>
      </c>
      <c r="K198">
        <f>YEAR(NetflixData[[#This Row],[date]])</f>
        <v>2019</v>
      </c>
      <c r="L198" t="str">
        <f>TEXT(NetflixData[[#This Row],[date]],"mmm")</f>
        <v>Mar</v>
      </c>
      <c r="M198" t="str">
        <f>TEXT(NetflixData[[#This Row],[date]],"mmm yyyy")</f>
        <v>Mar 2019</v>
      </c>
      <c r="N198" t="str">
        <f t="shared" si="9"/>
        <v>Trading Day</v>
      </c>
      <c r="O198" t="str">
        <f t="shared" si="10"/>
        <v>Negative</v>
      </c>
      <c r="P198" t="str">
        <f t="shared" si="11"/>
        <v>Positive</v>
      </c>
    </row>
    <row r="199" spans="1:16" x14ac:dyDescent="0.3">
      <c r="A199" s="1">
        <v>43552</v>
      </c>
      <c r="B199">
        <v>35.46</v>
      </c>
      <c r="C199">
        <v>43610000</v>
      </c>
      <c r="D199">
        <v>3.4000000000000002E-2</v>
      </c>
      <c r="E199">
        <v>28</v>
      </c>
      <c r="F199">
        <v>3.18</v>
      </c>
      <c r="G199">
        <v>0.3916</v>
      </c>
      <c r="H199">
        <v>1</v>
      </c>
      <c r="I199">
        <v>7</v>
      </c>
      <c r="J199">
        <v>1</v>
      </c>
      <c r="K199">
        <f>YEAR(NetflixData[[#This Row],[date]])</f>
        <v>2019</v>
      </c>
      <c r="L199" t="str">
        <f>TEXT(NetflixData[[#This Row],[date]],"mmm")</f>
        <v>Mar</v>
      </c>
      <c r="M199" t="str">
        <f>TEXT(NetflixData[[#This Row],[date]],"mmm yyyy")</f>
        <v>Mar 2019</v>
      </c>
      <c r="N199" t="str">
        <f t="shared" si="9"/>
        <v>Trading Day</v>
      </c>
      <c r="O199" t="str">
        <f t="shared" si="10"/>
        <v>Positive</v>
      </c>
      <c r="P199" t="str">
        <f t="shared" si="11"/>
        <v>Positive</v>
      </c>
    </row>
    <row r="200" spans="1:16" x14ac:dyDescent="0.3">
      <c r="A200" s="1">
        <v>43553</v>
      </c>
      <c r="B200">
        <v>35.659999999999997</v>
      </c>
      <c r="C200">
        <v>47056000</v>
      </c>
      <c r="D200">
        <v>-0.16800000000000001</v>
      </c>
      <c r="E200">
        <v>49</v>
      </c>
      <c r="F200">
        <v>3</v>
      </c>
      <c r="G200">
        <v>0.20319999999999999</v>
      </c>
      <c r="H200">
        <v>13</v>
      </c>
      <c r="I200">
        <v>6.3</v>
      </c>
      <c r="J200">
        <v>1</v>
      </c>
      <c r="K200">
        <f>YEAR(NetflixData[[#This Row],[date]])</f>
        <v>2019</v>
      </c>
      <c r="L200" t="str">
        <f>TEXT(NetflixData[[#This Row],[date]],"mmm")</f>
        <v>Mar</v>
      </c>
      <c r="M200" t="str">
        <f>TEXT(NetflixData[[#This Row],[date]],"mmm yyyy")</f>
        <v>Mar 2019</v>
      </c>
      <c r="N200" t="str">
        <f t="shared" si="9"/>
        <v>Non-Trading Day</v>
      </c>
      <c r="O200" t="str">
        <f t="shared" si="10"/>
        <v>Negative</v>
      </c>
      <c r="P200" t="str">
        <f t="shared" si="11"/>
        <v>Positive</v>
      </c>
    </row>
    <row r="201" spans="1:16" x14ac:dyDescent="0.3">
      <c r="A201" s="1">
        <v>43554</v>
      </c>
      <c r="B201">
        <v>35.659999999999997</v>
      </c>
      <c r="C201">
        <v>0</v>
      </c>
      <c r="D201">
        <v>0</v>
      </c>
      <c r="E201">
        <v>46</v>
      </c>
      <c r="F201">
        <v>3.35</v>
      </c>
      <c r="G201">
        <v>0.4516</v>
      </c>
      <c r="H201">
        <v>2</v>
      </c>
      <c r="I201">
        <v>7.4</v>
      </c>
      <c r="J201">
        <v>0</v>
      </c>
      <c r="K201">
        <f>YEAR(NetflixData[[#This Row],[date]])</f>
        <v>2019</v>
      </c>
      <c r="L201" t="str">
        <f>TEXT(NetflixData[[#This Row],[date]],"mmm")</f>
        <v>Mar</v>
      </c>
      <c r="M201" t="str">
        <f>TEXT(NetflixData[[#This Row],[date]],"mmm yyyy")</f>
        <v>Mar 2019</v>
      </c>
      <c r="N201" t="str">
        <f t="shared" si="9"/>
        <v>Non-Trading Day</v>
      </c>
      <c r="O201" t="str">
        <f t="shared" si="10"/>
        <v>No Change</v>
      </c>
      <c r="P201" t="str">
        <f t="shared" si="11"/>
        <v>Positive</v>
      </c>
    </row>
    <row r="202" spans="1:16" x14ac:dyDescent="0.3">
      <c r="A202" s="1">
        <v>43555</v>
      </c>
      <c r="B202">
        <v>35.659999999999997</v>
      </c>
      <c r="C202">
        <v>0</v>
      </c>
      <c r="D202">
        <v>0</v>
      </c>
      <c r="E202">
        <v>46</v>
      </c>
      <c r="F202">
        <v>3.65</v>
      </c>
      <c r="G202">
        <v>0.41399999999999998</v>
      </c>
      <c r="H202">
        <v>3</v>
      </c>
      <c r="I202">
        <v>5.83</v>
      </c>
      <c r="J202">
        <v>0</v>
      </c>
      <c r="K202">
        <f>YEAR(NetflixData[[#This Row],[date]])</f>
        <v>2019</v>
      </c>
      <c r="L202" t="str">
        <f>TEXT(NetflixData[[#This Row],[date]],"mmm")</f>
        <v>Mar</v>
      </c>
      <c r="M202" t="str">
        <f>TEXT(NetflixData[[#This Row],[date]],"mmm yyyy")</f>
        <v>Mar 2019</v>
      </c>
      <c r="N202" t="str">
        <f t="shared" si="9"/>
        <v>Trading Day</v>
      </c>
      <c r="O202" t="str">
        <f t="shared" si="10"/>
        <v>No Change</v>
      </c>
      <c r="P202" t="str">
        <f t="shared" si="11"/>
        <v>Positive</v>
      </c>
    </row>
    <row r="203" spans="1:16" x14ac:dyDescent="0.3">
      <c r="A203" s="1">
        <v>43556</v>
      </c>
      <c r="B203">
        <v>36.700000000000003</v>
      </c>
      <c r="C203">
        <v>70361000</v>
      </c>
      <c r="D203">
        <v>2.2170000000000001</v>
      </c>
      <c r="E203">
        <v>42</v>
      </c>
      <c r="F203">
        <v>2.81</v>
      </c>
      <c r="G203">
        <v>0.22650000000000001</v>
      </c>
      <c r="H203">
        <v>30</v>
      </c>
      <c r="I203">
        <v>6.36</v>
      </c>
      <c r="J203">
        <v>1</v>
      </c>
      <c r="K203">
        <f>YEAR(NetflixData[[#This Row],[date]])</f>
        <v>2019</v>
      </c>
      <c r="L203" t="str">
        <f>TEXT(NetflixData[[#This Row],[date]],"mmm")</f>
        <v>Apr</v>
      </c>
      <c r="M203" t="str">
        <f>TEXT(NetflixData[[#This Row],[date]],"mmm yyyy")</f>
        <v>Apr 2019</v>
      </c>
      <c r="N203" t="str">
        <f t="shared" si="9"/>
        <v>Trading Day</v>
      </c>
      <c r="O203" t="str">
        <f t="shared" si="10"/>
        <v>Positive</v>
      </c>
      <c r="P203" t="str">
        <f t="shared" si="11"/>
        <v>Positive</v>
      </c>
    </row>
    <row r="204" spans="1:16" x14ac:dyDescent="0.3">
      <c r="A204" s="1">
        <v>43557</v>
      </c>
      <c r="B204">
        <v>36.770000000000003</v>
      </c>
      <c r="C204">
        <v>51587000</v>
      </c>
      <c r="D204">
        <v>0.40100000000000002</v>
      </c>
      <c r="E204">
        <v>45</v>
      </c>
      <c r="F204">
        <v>2.73</v>
      </c>
      <c r="G204">
        <v>0.15379999999999999</v>
      </c>
      <c r="H204">
        <v>4</v>
      </c>
      <c r="I204">
        <v>5.93</v>
      </c>
      <c r="J204">
        <v>1</v>
      </c>
      <c r="K204">
        <f>YEAR(NetflixData[[#This Row],[date]])</f>
        <v>2019</v>
      </c>
      <c r="L204" t="str">
        <f>TEXT(NetflixData[[#This Row],[date]],"mmm")</f>
        <v>Apr</v>
      </c>
      <c r="M204" t="str">
        <f>TEXT(NetflixData[[#This Row],[date]],"mmm yyyy")</f>
        <v>Apr 2019</v>
      </c>
      <c r="N204" t="str">
        <f t="shared" si="9"/>
        <v>Trading Day</v>
      </c>
      <c r="O204" t="str">
        <f t="shared" si="10"/>
        <v>Positive</v>
      </c>
      <c r="P204" t="str">
        <f t="shared" si="11"/>
        <v>Positive</v>
      </c>
    </row>
    <row r="205" spans="1:16" x14ac:dyDescent="0.3">
      <c r="A205" s="1">
        <v>43558</v>
      </c>
      <c r="B205">
        <v>36.97</v>
      </c>
      <c r="C205">
        <v>53689000</v>
      </c>
      <c r="D205">
        <v>0.13300000000000001</v>
      </c>
      <c r="E205">
        <v>48</v>
      </c>
      <c r="F205">
        <v>2.98</v>
      </c>
      <c r="G205">
        <v>0.33539999999999998</v>
      </c>
      <c r="H205">
        <v>4</v>
      </c>
      <c r="I205">
        <v>6.27</v>
      </c>
      <c r="J205">
        <v>1</v>
      </c>
      <c r="K205">
        <f>YEAR(NetflixData[[#This Row],[date]])</f>
        <v>2019</v>
      </c>
      <c r="L205" t="str">
        <f>TEXT(NetflixData[[#This Row],[date]],"mmm")</f>
        <v>Apr</v>
      </c>
      <c r="M205" t="str">
        <f>TEXT(NetflixData[[#This Row],[date]],"mmm yyyy")</f>
        <v>Apr 2019</v>
      </c>
      <c r="N205" t="str">
        <f t="shared" si="9"/>
        <v>Trading Day</v>
      </c>
      <c r="O205" t="str">
        <f t="shared" si="10"/>
        <v>Positive</v>
      </c>
      <c r="P205" t="str">
        <f t="shared" si="11"/>
        <v>Positive</v>
      </c>
    </row>
    <row r="206" spans="1:16" x14ac:dyDescent="0.3">
      <c r="A206" s="1">
        <v>43559</v>
      </c>
      <c r="B206">
        <v>36.79</v>
      </c>
      <c r="C206">
        <v>46273000</v>
      </c>
      <c r="D206">
        <v>-0.59199999999999997</v>
      </c>
      <c r="E206">
        <v>45</v>
      </c>
      <c r="F206">
        <v>3.18</v>
      </c>
      <c r="G206">
        <v>0.1807</v>
      </c>
      <c r="H206">
        <v>1</v>
      </c>
      <c r="I206">
        <v>6.6</v>
      </c>
      <c r="J206">
        <v>1</v>
      </c>
      <c r="K206">
        <f>YEAR(NetflixData[[#This Row],[date]])</f>
        <v>2019</v>
      </c>
      <c r="L206" t="str">
        <f>TEXT(NetflixData[[#This Row],[date]],"mmm")</f>
        <v>Apr</v>
      </c>
      <c r="M206" t="str">
        <f>TEXT(NetflixData[[#This Row],[date]],"mmm yyyy")</f>
        <v>Apr 2019</v>
      </c>
      <c r="N206" t="str">
        <f t="shared" si="9"/>
        <v>Trading Day</v>
      </c>
      <c r="O206" t="str">
        <f t="shared" si="10"/>
        <v>Negative</v>
      </c>
      <c r="P206" t="str">
        <f t="shared" si="11"/>
        <v>Positive</v>
      </c>
    </row>
    <row r="207" spans="1:16" x14ac:dyDescent="0.3">
      <c r="A207" s="1">
        <v>43560</v>
      </c>
      <c r="B207">
        <v>36.549999999999997</v>
      </c>
      <c r="C207">
        <v>39055000</v>
      </c>
      <c r="D207">
        <v>-0.95099999999999996</v>
      </c>
      <c r="E207">
        <v>53</v>
      </c>
      <c r="F207">
        <v>3.26</v>
      </c>
      <c r="G207">
        <v>0.2838</v>
      </c>
      <c r="H207">
        <v>15</v>
      </c>
      <c r="I207">
        <v>6.56</v>
      </c>
      <c r="J207">
        <v>1</v>
      </c>
      <c r="K207">
        <f>YEAR(NetflixData[[#This Row],[date]])</f>
        <v>2019</v>
      </c>
      <c r="L207" t="str">
        <f>TEXT(NetflixData[[#This Row],[date]],"mmm")</f>
        <v>Apr</v>
      </c>
      <c r="M207" t="str">
        <f>TEXT(NetflixData[[#This Row],[date]],"mmm yyyy")</f>
        <v>Apr 2019</v>
      </c>
      <c r="N207" t="str">
        <f t="shared" si="9"/>
        <v>Non-Trading Day</v>
      </c>
      <c r="O207" t="str">
        <f t="shared" si="10"/>
        <v>Negative</v>
      </c>
      <c r="P207" t="str">
        <f t="shared" si="11"/>
        <v>Positive</v>
      </c>
    </row>
    <row r="208" spans="1:16" x14ac:dyDescent="0.3">
      <c r="A208" s="1">
        <v>43561</v>
      </c>
      <c r="B208">
        <v>36.549999999999997</v>
      </c>
      <c r="C208">
        <v>0</v>
      </c>
      <c r="D208">
        <v>0</v>
      </c>
      <c r="E208">
        <v>43</v>
      </c>
      <c r="F208">
        <v>3.16</v>
      </c>
      <c r="G208">
        <v>0.26340000000000002</v>
      </c>
      <c r="H208">
        <v>2</v>
      </c>
      <c r="I208">
        <v>4.8</v>
      </c>
      <c r="J208">
        <v>0</v>
      </c>
      <c r="K208">
        <f>YEAR(NetflixData[[#This Row],[date]])</f>
        <v>2019</v>
      </c>
      <c r="L208" t="str">
        <f>TEXT(NetflixData[[#This Row],[date]],"mmm")</f>
        <v>Apr</v>
      </c>
      <c r="M208" t="str">
        <f>TEXT(NetflixData[[#This Row],[date]],"mmm yyyy")</f>
        <v>Apr 2019</v>
      </c>
      <c r="N208" t="str">
        <f t="shared" si="9"/>
        <v>Non-Trading Day</v>
      </c>
      <c r="O208" t="str">
        <f t="shared" si="10"/>
        <v>No Change</v>
      </c>
      <c r="P208" t="str">
        <f t="shared" si="11"/>
        <v>Positive</v>
      </c>
    </row>
    <row r="209" spans="1:16" x14ac:dyDescent="0.3">
      <c r="A209" s="1">
        <v>43562</v>
      </c>
      <c r="B209">
        <v>36.549999999999997</v>
      </c>
      <c r="C209">
        <v>0</v>
      </c>
      <c r="D209">
        <v>0</v>
      </c>
      <c r="E209">
        <v>44</v>
      </c>
      <c r="F209">
        <v>3.45</v>
      </c>
      <c r="G209">
        <v>0.35770000000000002</v>
      </c>
      <c r="H209">
        <v>2</v>
      </c>
      <c r="I209">
        <v>8.4</v>
      </c>
      <c r="J209">
        <v>0</v>
      </c>
      <c r="K209">
        <f>YEAR(NetflixData[[#This Row],[date]])</f>
        <v>2019</v>
      </c>
      <c r="L209" t="str">
        <f>TEXT(NetflixData[[#This Row],[date]],"mmm")</f>
        <v>Apr</v>
      </c>
      <c r="M209" t="str">
        <f>TEXT(NetflixData[[#This Row],[date]],"mmm yyyy")</f>
        <v>Apr 2019</v>
      </c>
      <c r="N209" t="str">
        <f t="shared" si="9"/>
        <v>Trading Day</v>
      </c>
      <c r="O209" t="str">
        <f t="shared" si="10"/>
        <v>No Change</v>
      </c>
      <c r="P209" t="str">
        <f t="shared" si="11"/>
        <v>Positive</v>
      </c>
    </row>
    <row r="210" spans="1:16" x14ac:dyDescent="0.3">
      <c r="A210" s="1">
        <v>43563</v>
      </c>
      <c r="B210">
        <v>36.14</v>
      </c>
      <c r="C210">
        <v>46538000</v>
      </c>
      <c r="D210">
        <v>-1.0129999999999999</v>
      </c>
      <c r="E210">
        <v>34</v>
      </c>
      <c r="F210">
        <v>3.29</v>
      </c>
      <c r="G210">
        <v>0.20430000000000001</v>
      </c>
      <c r="H210">
        <v>2</v>
      </c>
      <c r="I210">
        <v>7</v>
      </c>
      <c r="J210">
        <v>1</v>
      </c>
      <c r="K210">
        <f>YEAR(NetflixData[[#This Row],[date]])</f>
        <v>2019</v>
      </c>
      <c r="L210" t="str">
        <f>TEXT(NetflixData[[#This Row],[date]],"mmm")</f>
        <v>Apr</v>
      </c>
      <c r="M210" t="str">
        <f>TEXT(NetflixData[[#This Row],[date]],"mmm yyyy")</f>
        <v>Apr 2019</v>
      </c>
      <c r="N210" t="str">
        <f t="shared" si="9"/>
        <v>Trading Day</v>
      </c>
      <c r="O210" t="str">
        <f t="shared" si="10"/>
        <v>Negative</v>
      </c>
      <c r="P210" t="str">
        <f t="shared" si="11"/>
        <v>Positive</v>
      </c>
    </row>
    <row r="211" spans="1:16" x14ac:dyDescent="0.3">
      <c r="A211" s="1">
        <v>43564</v>
      </c>
      <c r="B211">
        <v>36.47</v>
      </c>
      <c r="C211">
        <v>54392000</v>
      </c>
      <c r="D211">
        <v>1.157</v>
      </c>
      <c r="E211">
        <v>34</v>
      </c>
      <c r="F211">
        <v>3.74</v>
      </c>
      <c r="G211">
        <v>0.37140000000000001</v>
      </c>
      <c r="H211">
        <v>2</v>
      </c>
      <c r="I211">
        <v>4.2</v>
      </c>
      <c r="J211">
        <v>1</v>
      </c>
      <c r="K211">
        <f>YEAR(NetflixData[[#This Row],[date]])</f>
        <v>2019</v>
      </c>
      <c r="L211" t="str">
        <f>TEXT(NetflixData[[#This Row],[date]],"mmm")</f>
        <v>Apr</v>
      </c>
      <c r="M211" t="str">
        <f>TEXT(NetflixData[[#This Row],[date]],"mmm yyyy")</f>
        <v>Apr 2019</v>
      </c>
      <c r="N211" t="str">
        <f t="shared" si="9"/>
        <v>Trading Day</v>
      </c>
      <c r="O211" t="str">
        <f t="shared" si="10"/>
        <v>Positive</v>
      </c>
      <c r="P211" t="str">
        <f t="shared" si="11"/>
        <v>Positive</v>
      </c>
    </row>
    <row r="212" spans="1:16" x14ac:dyDescent="0.3">
      <c r="A212" s="1">
        <v>43565</v>
      </c>
      <c r="B212">
        <v>36.39</v>
      </c>
      <c r="C212">
        <v>45456000</v>
      </c>
      <c r="D212">
        <v>-0.51100000000000001</v>
      </c>
      <c r="E212">
        <v>47</v>
      </c>
      <c r="F212">
        <v>3.15</v>
      </c>
      <c r="G212">
        <v>0.246</v>
      </c>
      <c r="H212">
        <v>4</v>
      </c>
      <c r="I212">
        <v>5.63</v>
      </c>
      <c r="J212">
        <v>1</v>
      </c>
      <c r="K212">
        <f>YEAR(NetflixData[[#This Row],[date]])</f>
        <v>2019</v>
      </c>
      <c r="L212" t="str">
        <f>TEXT(NetflixData[[#This Row],[date]],"mmm")</f>
        <v>Apr</v>
      </c>
      <c r="M212" t="str">
        <f>TEXT(NetflixData[[#This Row],[date]],"mmm yyyy")</f>
        <v>Apr 2019</v>
      </c>
      <c r="N212" t="str">
        <f t="shared" si="9"/>
        <v>Trading Day</v>
      </c>
      <c r="O212" t="str">
        <f t="shared" si="10"/>
        <v>Negative</v>
      </c>
      <c r="P212" t="str">
        <f t="shared" si="11"/>
        <v>Positive</v>
      </c>
    </row>
    <row r="213" spans="1:16" x14ac:dyDescent="0.3">
      <c r="A213" s="1">
        <v>43566</v>
      </c>
      <c r="B213">
        <v>36.76</v>
      </c>
      <c r="C213">
        <v>65269000</v>
      </c>
      <c r="D213">
        <v>0.72599999999999998</v>
      </c>
      <c r="E213">
        <v>43</v>
      </c>
      <c r="F213">
        <v>2.81</v>
      </c>
      <c r="G213">
        <v>0.1832</v>
      </c>
      <c r="H213">
        <v>3</v>
      </c>
      <c r="I213">
        <v>6.55</v>
      </c>
      <c r="J213">
        <v>1</v>
      </c>
      <c r="K213">
        <f>YEAR(NetflixData[[#This Row],[date]])</f>
        <v>2019</v>
      </c>
      <c r="L213" t="str">
        <f>TEXT(NetflixData[[#This Row],[date]],"mmm")</f>
        <v>Apr</v>
      </c>
      <c r="M213" t="str">
        <f>TEXT(NetflixData[[#This Row],[date]],"mmm yyyy")</f>
        <v>Apr 2019</v>
      </c>
      <c r="N213" t="str">
        <f t="shared" si="9"/>
        <v>Trading Day</v>
      </c>
      <c r="O213" t="str">
        <f t="shared" si="10"/>
        <v>Positive</v>
      </c>
      <c r="P213" t="str">
        <f t="shared" si="11"/>
        <v>Positive</v>
      </c>
    </row>
    <row r="214" spans="1:16" x14ac:dyDescent="0.3">
      <c r="A214" s="1">
        <v>43567</v>
      </c>
      <c r="B214">
        <v>35.11</v>
      </c>
      <c r="C214">
        <v>156462000</v>
      </c>
      <c r="D214">
        <v>-2.6480000000000001</v>
      </c>
      <c r="E214">
        <v>37</v>
      </c>
      <c r="F214">
        <v>3.08</v>
      </c>
      <c r="G214">
        <v>0.20499999999999999</v>
      </c>
      <c r="H214">
        <v>10</v>
      </c>
      <c r="I214">
        <v>6.43</v>
      </c>
      <c r="J214">
        <v>1</v>
      </c>
      <c r="K214">
        <f>YEAR(NetflixData[[#This Row],[date]])</f>
        <v>2019</v>
      </c>
      <c r="L214" t="str">
        <f>TEXT(NetflixData[[#This Row],[date]],"mmm")</f>
        <v>Apr</v>
      </c>
      <c r="M214" t="str">
        <f>TEXT(NetflixData[[#This Row],[date]],"mmm yyyy")</f>
        <v>Apr 2019</v>
      </c>
      <c r="N214" t="str">
        <f t="shared" si="9"/>
        <v>Non-Trading Day</v>
      </c>
      <c r="O214" t="str">
        <f t="shared" si="10"/>
        <v>Negative</v>
      </c>
      <c r="P214" t="str">
        <f t="shared" si="11"/>
        <v>Positive</v>
      </c>
    </row>
    <row r="215" spans="1:16" x14ac:dyDescent="0.3">
      <c r="A215" s="1">
        <v>43568</v>
      </c>
      <c r="B215">
        <v>35.11</v>
      </c>
      <c r="C215">
        <v>0</v>
      </c>
      <c r="D215">
        <v>0</v>
      </c>
      <c r="E215">
        <v>41</v>
      </c>
      <c r="F215">
        <v>3.24</v>
      </c>
      <c r="G215">
        <v>0.34689999999999999</v>
      </c>
      <c r="H215">
        <v>3</v>
      </c>
      <c r="I215">
        <v>5.75</v>
      </c>
      <c r="J215">
        <v>0</v>
      </c>
      <c r="K215">
        <f>YEAR(NetflixData[[#This Row],[date]])</f>
        <v>2019</v>
      </c>
      <c r="L215" t="str">
        <f>TEXT(NetflixData[[#This Row],[date]],"mmm")</f>
        <v>Apr</v>
      </c>
      <c r="M215" t="str">
        <f>TEXT(NetflixData[[#This Row],[date]],"mmm yyyy")</f>
        <v>Apr 2019</v>
      </c>
      <c r="N215" t="str">
        <f t="shared" si="9"/>
        <v>Non-Trading Day</v>
      </c>
      <c r="O215" t="str">
        <f t="shared" si="10"/>
        <v>No Change</v>
      </c>
      <c r="P215" t="str">
        <f t="shared" si="11"/>
        <v>Positive</v>
      </c>
    </row>
    <row r="216" spans="1:16" x14ac:dyDescent="0.3">
      <c r="A216" s="1">
        <v>43569</v>
      </c>
      <c r="B216">
        <v>35.11</v>
      </c>
      <c r="C216">
        <v>0</v>
      </c>
      <c r="D216">
        <v>0</v>
      </c>
      <c r="E216">
        <v>41</v>
      </c>
      <c r="F216">
        <v>3.1</v>
      </c>
      <c r="G216">
        <v>0.34989999999999999</v>
      </c>
      <c r="H216">
        <v>2</v>
      </c>
      <c r="I216">
        <v>3.1</v>
      </c>
      <c r="J216">
        <v>0</v>
      </c>
      <c r="K216">
        <f>YEAR(NetflixData[[#This Row],[date]])</f>
        <v>2019</v>
      </c>
      <c r="L216" t="str">
        <f>TEXT(NetflixData[[#This Row],[date]],"mmm")</f>
        <v>Apr</v>
      </c>
      <c r="M216" t="str">
        <f>TEXT(NetflixData[[#This Row],[date]],"mmm yyyy")</f>
        <v>Apr 2019</v>
      </c>
      <c r="N216" t="str">
        <f t="shared" si="9"/>
        <v>Trading Day</v>
      </c>
      <c r="O216" t="str">
        <f t="shared" si="10"/>
        <v>No Change</v>
      </c>
      <c r="P216" t="str">
        <f t="shared" si="11"/>
        <v>Positive</v>
      </c>
    </row>
    <row r="217" spans="1:16" x14ac:dyDescent="0.3">
      <c r="A217" s="1">
        <v>43570</v>
      </c>
      <c r="B217">
        <v>34.89</v>
      </c>
      <c r="C217">
        <v>88423000</v>
      </c>
      <c r="D217">
        <v>-0.52500000000000002</v>
      </c>
      <c r="E217">
        <v>29</v>
      </c>
      <c r="F217">
        <v>3.07</v>
      </c>
      <c r="G217">
        <v>0.46879999999999999</v>
      </c>
      <c r="H217">
        <v>10</v>
      </c>
      <c r="I217">
        <v>6.22</v>
      </c>
      <c r="J217">
        <v>1</v>
      </c>
      <c r="K217">
        <f>YEAR(NetflixData[[#This Row],[date]])</f>
        <v>2019</v>
      </c>
      <c r="L217" t="str">
        <f>TEXT(NetflixData[[#This Row],[date]],"mmm")</f>
        <v>Apr</v>
      </c>
      <c r="M217" t="str">
        <f>TEXT(NetflixData[[#This Row],[date]],"mmm yyyy")</f>
        <v>Apr 2019</v>
      </c>
      <c r="N217" t="str">
        <f t="shared" si="9"/>
        <v>Trading Day</v>
      </c>
      <c r="O217" t="str">
        <f t="shared" si="10"/>
        <v>Negative</v>
      </c>
      <c r="P217" t="str">
        <f t="shared" si="11"/>
        <v>Positive</v>
      </c>
    </row>
    <row r="218" spans="1:16" x14ac:dyDescent="0.3">
      <c r="A218" s="1">
        <v>43571</v>
      </c>
      <c r="B218">
        <v>35.950000000000003</v>
      </c>
      <c r="C218">
        <v>187402000</v>
      </c>
      <c r="D218">
        <v>1.256</v>
      </c>
      <c r="E218">
        <v>55</v>
      </c>
      <c r="F218">
        <v>3.67</v>
      </c>
      <c r="G218">
        <v>0.39529999999999998</v>
      </c>
      <c r="H218">
        <v>5</v>
      </c>
      <c r="I218">
        <v>6.25</v>
      </c>
      <c r="J218">
        <v>1</v>
      </c>
      <c r="K218">
        <f>YEAR(NetflixData[[#This Row],[date]])</f>
        <v>2019</v>
      </c>
      <c r="L218" t="str">
        <f>TEXT(NetflixData[[#This Row],[date]],"mmm")</f>
        <v>Apr</v>
      </c>
      <c r="M218" t="str">
        <f>TEXT(NetflixData[[#This Row],[date]],"mmm yyyy")</f>
        <v>Apr 2019</v>
      </c>
      <c r="N218" t="str">
        <f t="shared" si="9"/>
        <v>Trading Day</v>
      </c>
      <c r="O218" t="str">
        <f t="shared" si="10"/>
        <v>Positive</v>
      </c>
      <c r="P218" t="str">
        <f t="shared" si="11"/>
        <v>Positive</v>
      </c>
    </row>
    <row r="219" spans="1:16" x14ac:dyDescent="0.3">
      <c r="A219" s="1">
        <v>43572</v>
      </c>
      <c r="B219">
        <v>35.47</v>
      </c>
      <c r="C219">
        <v>180541000</v>
      </c>
      <c r="D219">
        <v>-2.8239999999999998</v>
      </c>
      <c r="E219">
        <v>42</v>
      </c>
      <c r="F219">
        <v>3.1</v>
      </c>
      <c r="G219">
        <v>0.30220000000000002</v>
      </c>
      <c r="H219">
        <v>5</v>
      </c>
      <c r="I219">
        <v>5.95</v>
      </c>
      <c r="J219">
        <v>1</v>
      </c>
      <c r="K219">
        <f>YEAR(NetflixData[[#This Row],[date]])</f>
        <v>2019</v>
      </c>
      <c r="L219" t="str">
        <f>TEXT(NetflixData[[#This Row],[date]],"mmm")</f>
        <v>Apr</v>
      </c>
      <c r="M219" t="str">
        <f>TEXT(NetflixData[[#This Row],[date]],"mmm yyyy")</f>
        <v>Apr 2019</v>
      </c>
      <c r="N219" t="str">
        <f t="shared" si="9"/>
        <v>Trading Day</v>
      </c>
      <c r="O219" t="str">
        <f t="shared" si="10"/>
        <v>Negative</v>
      </c>
      <c r="P219" t="str">
        <f t="shared" si="11"/>
        <v>Positive</v>
      </c>
    </row>
    <row r="220" spans="1:16" x14ac:dyDescent="0.3">
      <c r="A220" s="1">
        <v>43573</v>
      </c>
      <c r="B220">
        <v>36.03</v>
      </c>
      <c r="C220">
        <v>83532000</v>
      </c>
      <c r="D220">
        <v>1.5069999999999999</v>
      </c>
      <c r="E220">
        <v>41</v>
      </c>
      <c r="F220">
        <v>2.95</v>
      </c>
      <c r="G220">
        <v>0.20499999999999999</v>
      </c>
      <c r="H220">
        <v>6</v>
      </c>
      <c r="I220">
        <v>3.84</v>
      </c>
      <c r="J220">
        <v>1</v>
      </c>
      <c r="K220">
        <f>YEAR(NetflixData[[#This Row],[date]])</f>
        <v>2019</v>
      </c>
      <c r="L220" t="str">
        <f>TEXT(NetflixData[[#This Row],[date]],"mmm")</f>
        <v>Apr</v>
      </c>
      <c r="M220" t="str">
        <f>TEXT(NetflixData[[#This Row],[date]],"mmm yyyy")</f>
        <v>Apr 2019</v>
      </c>
      <c r="N220" t="str">
        <f t="shared" si="9"/>
        <v>Non-Trading Day</v>
      </c>
      <c r="O220" t="str">
        <f t="shared" si="10"/>
        <v>Positive</v>
      </c>
      <c r="P220" t="str">
        <f t="shared" si="11"/>
        <v>Positive</v>
      </c>
    </row>
    <row r="221" spans="1:16" x14ac:dyDescent="0.3">
      <c r="A221" s="1">
        <v>43574</v>
      </c>
      <c r="B221">
        <v>36.03</v>
      </c>
      <c r="C221">
        <v>0</v>
      </c>
      <c r="D221">
        <v>0</v>
      </c>
      <c r="E221">
        <v>49</v>
      </c>
      <c r="F221">
        <v>2.71</v>
      </c>
      <c r="G221">
        <v>0.1658</v>
      </c>
      <c r="H221">
        <v>16</v>
      </c>
      <c r="I221">
        <v>6.44</v>
      </c>
      <c r="J221">
        <v>0</v>
      </c>
      <c r="K221">
        <f>YEAR(NetflixData[[#This Row],[date]])</f>
        <v>2019</v>
      </c>
      <c r="L221" t="str">
        <f>TEXT(NetflixData[[#This Row],[date]],"mmm")</f>
        <v>Apr</v>
      </c>
      <c r="M221" t="str">
        <f>TEXT(NetflixData[[#This Row],[date]],"mmm yyyy")</f>
        <v>Apr 2019</v>
      </c>
      <c r="N221" t="str">
        <f t="shared" si="9"/>
        <v>Non-Trading Day</v>
      </c>
      <c r="O221" t="str">
        <f t="shared" si="10"/>
        <v>No Change</v>
      </c>
      <c r="P221" t="str">
        <f t="shared" si="11"/>
        <v>Positive</v>
      </c>
    </row>
    <row r="222" spans="1:16" x14ac:dyDescent="0.3">
      <c r="A222" s="1">
        <v>43575</v>
      </c>
      <c r="B222">
        <v>36.03</v>
      </c>
      <c r="C222">
        <v>0</v>
      </c>
      <c r="D222">
        <v>0</v>
      </c>
      <c r="E222">
        <v>36</v>
      </c>
      <c r="F222">
        <v>3.33</v>
      </c>
      <c r="G222">
        <v>0.22239999999999999</v>
      </c>
      <c r="H222">
        <v>3</v>
      </c>
      <c r="I222">
        <v>6.53</v>
      </c>
      <c r="J222">
        <v>0</v>
      </c>
      <c r="K222">
        <f>YEAR(NetflixData[[#This Row],[date]])</f>
        <v>2019</v>
      </c>
      <c r="L222" t="str">
        <f>TEXT(NetflixData[[#This Row],[date]],"mmm")</f>
        <v>Apr</v>
      </c>
      <c r="M222" t="str">
        <f>TEXT(NetflixData[[#This Row],[date]],"mmm yyyy")</f>
        <v>Apr 2019</v>
      </c>
      <c r="N222" t="str">
        <f t="shared" si="9"/>
        <v>Non-Trading Day</v>
      </c>
      <c r="O222" t="str">
        <f t="shared" si="10"/>
        <v>No Change</v>
      </c>
      <c r="P222" t="str">
        <f t="shared" si="11"/>
        <v>Positive</v>
      </c>
    </row>
    <row r="223" spans="1:16" x14ac:dyDescent="0.3">
      <c r="A223" s="1">
        <v>43576</v>
      </c>
      <c r="B223">
        <v>36.03</v>
      </c>
      <c r="C223">
        <v>0</v>
      </c>
      <c r="D223">
        <v>0</v>
      </c>
      <c r="E223">
        <v>29</v>
      </c>
      <c r="F223">
        <v>3.59</v>
      </c>
      <c r="G223">
        <v>0.27560000000000001</v>
      </c>
      <c r="H223">
        <v>1</v>
      </c>
      <c r="I223">
        <v>7.3</v>
      </c>
      <c r="J223">
        <v>0</v>
      </c>
      <c r="K223">
        <f>YEAR(NetflixData[[#This Row],[date]])</f>
        <v>2019</v>
      </c>
      <c r="L223" t="str">
        <f>TEXT(NetflixData[[#This Row],[date]],"mmm")</f>
        <v>Apr</v>
      </c>
      <c r="M223" t="str">
        <f>TEXT(NetflixData[[#This Row],[date]],"mmm yyyy")</f>
        <v>Apr 2019</v>
      </c>
      <c r="N223" t="str">
        <f t="shared" si="9"/>
        <v>Trading Day</v>
      </c>
      <c r="O223" t="str">
        <f t="shared" si="10"/>
        <v>No Change</v>
      </c>
      <c r="P223" t="str">
        <f t="shared" si="11"/>
        <v>Positive</v>
      </c>
    </row>
    <row r="224" spans="1:16" x14ac:dyDescent="0.3">
      <c r="A224" s="1">
        <v>43577</v>
      </c>
      <c r="B224">
        <v>37.729999999999997</v>
      </c>
      <c r="C224">
        <v>119805000</v>
      </c>
      <c r="D224">
        <v>4.9039999999999999</v>
      </c>
      <c r="E224">
        <v>41</v>
      </c>
      <c r="F224">
        <v>3.46</v>
      </c>
      <c r="G224">
        <v>0.3372</v>
      </c>
      <c r="H224">
        <v>1</v>
      </c>
      <c r="J224">
        <v>1</v>
      </c>
      <c r="K224">
        <f>YEAR(NetflixData[[#This Row],[date]])</f>
        <v>2019</v>
      </c>
      <c r="L224" t="str">
        <f>TEXT(NetflixData[[#This Row],[date]],"mmm")</f>
        <v>Apr</v>
      </c>
      <c r="M224" t="str">
        <f>TEXT(NetflixData[[#This Row],[date]],"mmm yyyy")</f>
        <v>Apr 2019</v>
      </c>
      <c r="N224" t="str">
        <f t="shared" si="9"/>
        <v>Trading Day</v>
      </c>
      <c r="O224" t="str">
        <f t="shared" si="10"/>
        <v>Positive</v>
      </c>
      <c r="P224" t="str">
        <f t="shared" si="11"/>
        <v>Positive</v>
      </c>
    </row>
    <row r="225" spans="1:16" x14ac:dyDescent="0.3">
      <c r="A225" s="1">
        <v>43578</v>
      </c>
      <c r="B225">
        <v>38.19</v>
      </c>
      <c r="C225">
        <v>100898000</v>
      </c>
      <c r="D225">
        <v>1.7150000000000001</v>
      </c>
      <c r="E225">
        <v>46</v>
      </c>
      <c r="F225">
        <v>3.2</v>
      </c>
      <c r="G225">
        <v>0.31869999999999998</v>
      </c>
      <c r="H225">
        <v>2</v>
      </c>
      <c r="I225">
        <v>8.1</v>
      </c>
      <c r="J225">
        <v>1</v>
      </c>
      <c r="K225">
        <f>YEAR(NetflixData[[#This Row],[date]])</f>
        <v>2019</v>
      </c>
      <c r="L225" t="str">
        <f>TEXT(NetflixData[[#This Row],[date]],"mmm")</f>
        <v>Apr</v>
      </c>
      <c r="M225" t="str">
        <f>TEXT(NetflixData[[#This Row],[date]],"mmm yyyy")</f>
        <v>Apr 2019</v>
      </c>
      <c r="N225" t="str">
        <f t="shared" si="9"/>
        <v>Trading Day</v>
      </c>
      <c r="O225" t="str">
        <f t="shared" si="10"/>
        <v>Positive</v>
      </c>
      <c r="P225" t="str">
        <f t="shared" si="11"/>
        <v>Positive</v>
      </c>
    </row>
    <row r="226" spans="1:16" x14ac:dyDescent="0.3">
      <c r="A226" s="1">
        <v>43579</v>
      </c>
      <c r="B226">
        <v>37.42</v>
      </c>
      <c r="C226">
        <v>65419000</v>
      </c>
      <c r="D226">
        <v>-1.7949999999999999</v>
      </c>
      <c r="E226">
        <v>36</v>
      </c>
      <c r="F226">
        <v>3.44</v>
      </c>
      <c r="G226">
        <v>0.33019999999999999</v>
      </c>
      <c r="H226">
        <v>2</v>
      </c>
      <c r="I226">
        <v>5.15</v>
      </c>
      <c r="J226">
        <v>1</v>
      </c>
      <c r="K226">
        <f>YEAR(NetflixData[[#This Row],[date]])</f>
        <v>2019</v>
      </c>
      <c r="L226" t="str">
        <f>TEXT(NetflixData[[#This Row],[date]],"mmm")</f>
        <v>Apr</v>
      </c>
      <c r="M226" t="str">
        <f>TEXT(NetflixData[[#This Row],[date]],"mmm yyyy")</f>
        <v>Apr 2019</v>
      </c>
      <c r="N226" t="str">
        <f t="shared" si="9"/>
        <v>Trading Day</v>
      </c>
      <c r="O226" t="str">
        <f t="shared" si="10"/>
        <v>Negative</v>
      </c>
      <c r="P226" t="str">
        <f t="shared" si="11"/>
        <v>Positive</v>
      </c>
    </row>
    <row r="227" spans="1:16" x14ac:dyDescent="0.3">
      <c r="A227" s="1">
        <v>43580</v>
      </c>
      <c r="B227">
        <v>36.83</v>
      </c>
      <c r="C227">
        <v>62555000</v>
      </c>
      <c r="D227">
        <v>-1.645</v>
      </c>
      <c r="E227">
        <v>24</v>
      </c>
      <c r="F227">
        <v>4.17</v>
      </c>
      <c r="G227">
        <v>0.4083</v>
      </c>
      <c r="H227">
        <v>7</v>
      </c>
      <c r="I227">
        <v>5.87</v>
      </c>
      <c r="J227">
        <v>1</v>
      </c>
      <c r="K227">
        <f>YEAR(NetflixData[[#This Row],[date]])</f>
        <v>2019</v>
      </c>
      <c r="L227" t="str">
        <f>TEXT(NetflixData[[#This Row],[date]],"mmm")</f>
        <v>Apr</v>
      </c>
      <c r="M227" t="str">
        <f>TEXT(NetflixData[[#This Row],[date]],"mmm yyyy")</f>
        <v>Apr 2019</v>
      </c>
      <c r="N227" t="str">
        <f t="shared" si="9"/>
        <v>Trading Day</v>
      </c>
      <c r="O227" t="str">
        <f t="shared" si="10"/>
        <v>Negative</v>
      </c>
      <c r="P227" t="str">
        <f t="shared" si="11"/>
        <v>Positive</v>
      </c>
    </row>
    <row r="228" spans="1:16" x14ac:dyDescent="0.3">
      <c r="A228" s="1">
        <v>43581</v>
      </c>
      <c r="B228">
        <v>37.49</v>
      </c>
      <c r="C228">
        <v>56219000</v>
      </c>
      <c r="D228">
        <v>1.7649999999999999</v>
      </c>
      <c r="E228">
        <v>24</v>
      </c>
      <c r="F228">
        <v>2.79</v>
      </c>
      <c r="G228">
        <v>0.2492</v>
      </c>
      <c r="H228">
        <v>12</v>
      </c>
      <c r="I228">
        <v>6.4</v>
      </c>
      <c r="J228">
        <v>1</v>
      </c>
      <c r="K228">
        <f>YEAR(NetflixData[[#This Row],[date]])</f>
        <v>2019</v>
      </c>
      <c r="L228" t="str">
        <f>TEXT(NetflixData[[#This Row],[date]],"mmm")</f>
        <v>Apr</v>
      </c>
      <c r="M228" t="str">
        <f>TEXT(NetflixData[[#This Row],[date]],"mmm yyyy")</f>
        <v>Apr 2019</v>
      </c>
      <c r="N228" t="str">
        <f t="shared" si="9"/>
        <v>Non-Trading Day</v>
      </c>
      <c r="O228" t="str">
        <f t="shared" si="10"/>
        <v>Positive</v>
      </c>
      <c r="P228" t="str">
        <f t="shared" si="11"/>
        <v>Positive</v>
      </c>
    </row>
    <row r="229" spans="1:16" x14ac:dyDescent="0.3">
      <c r="A229" s="1">
        <v>43582</v>
      </c>
      <c r="B229">
        <v>37.49</v>
      </c>
      <c r="C229">
        <v>0</v>
      </c>
      <c r="D229">
        <v>0</v>
      </c>
      <c r="E229">
        <v>53</v>
      </c>
      <c r="F229">
        <v>3.47</v>
      </c>
      <c r="G229">
        <v>0.4723</v>
      </c>
      <c r="H229">
        <v>1</v>
      </c>
      <c r="I229">
        <v>7</v>
      </c>
      <c r="J229">
        <v>0</v>
      </c>
      <c r="K229">
        <f>YEAR(NetflixData[[#This Row],[date]])</f>
        <v>2019</v>
      </c>
      <c r="L229" t="str">
        <f>TEXT(NetflixData[[#This Row],[date]],"mmm")</f>
        <v>Apr</v>
      </c>
      <c r="M229" t="str">
        <f>TEXT(NetflixData[[#This Row],[date]],"mmm yyyy")</f>
        <v>Apr 2019</v>
      </c>
      <c r="N229" t="str">
        <f t="shared" si="9"/>
        <v>Non-Trading Day</v>
      </c>
      <c r="O229" t="str">
        <f t="shared" si="10"/>
        <v>No Change</v>
      </c>
      <c r="P229" t="str">
        <f t="shared" si="11"/>
        <v>Positive</v>
      </c>
    </row>
    <row r="230" spans="1:16" x14ac:dyDescent="0.3">
      <c r="A230" s="1">
        <v>43583</v>
      </c>
      <c r="B230">
        <v>37.49</v>
      </c>
      <c r="C230">
        <v>0</v>
      </c>
      <c r="D230">
        <v>0</v>
      </c>
      <c r="E230">
        <v>42</v>
      </c>
      <c r="F230">
        <v>2.95</v>
      </c>
      <c r="G230">
        <v>0.2417</v>
      </c>
      <c r="H230">
        <v>1</v>
      </c>
      <c r="J230">
        <v>0</v>
      </c>
      <c r="K230">
        <f>YEAR(NetflixData[[#This Row],[date]])</f>
        <v>2019</v>
      </c>
      <c r="L230" t="str">
        <f>TEXT(NetflixData[[#This Row],[date]],"mmm")</f>
        <v>Apr</v>
      </c>
      <c r="M230" t="str">
        <f>TEXT(NetflixData[[#This Row],[date]],"mmm yyyy")</f>
        <v>Apr 2019</v>
      </c>
      <c r="N230" t="str">
        <f t="shared" si="9"/>
        <v>Trading Day</v>
      </c>
      <c r="O230" t="str">
        <f t="shared" si="10"/>
        <v>No Change</v>
      </c>
      <c r="P230" t="str">
        <f t="shared" si="11"/>
        <v>Positive</v>
      </c>
    </row>
    <row r="231" spans="1:16" x14ac:dyDescent="0.3">
      <c r="A231" s="1">
        <v>43584</v>
      </c>
      <c r="B231">
        <v>37.18</v>
      </c>
      <c r="C231">
        <v>38217000</v>
      </c>
      <c r="D231">
        <v>-0.495</v>
      </c>
      <c r="E231">
        <v>26</v>
      </c>
      <c r="F231">
        <v>3.58</v>
      </c>
      <c r="G231">
        <v>0.48220000000000002</v>
      </c>
      <c r="H231">
        <v>4</v>
      </c>
      <c r="I231">
        <v>7.15</v>
      </c>
      <c r="J231">
        <v>1</v>
      </c>
      <c r="K231">
        <f>YEAR(NetflixData[[#This Row],[date]])</f>
        <v>2019</v>
      </c>
      <c r="L231" t="str">
        <f>TEXT(NetflixData[[#This Row],[date]],"mmm")</f>
        <v>Apr</v>
      </c>
      <c r="M231" t="str">
        <f>TEXT(NetflixData[[#This Row],[date]],"mmm yyyy")</f>
        <v>Apr 2019</v>
      </c>
      <c r="N231" t="str">
        <f t="shared" si="9"/>
        <v>Trading Day</v>
      </c>
      <c r="O231" t="str">
        <f t="shared" si="10"/>
        <v>Negative</v>
      </c>
      <c r="P231" t="str">
        <f t="shared" si="11"/>
        <v>Positive</v>
      </c>
    </row>
    <row r="232" spans="1:16" x14ac:dyDescent="0.3">
      <c r="A232" s="1">
        <v>43585</v>
      </c>
      <c r="B232">
        <v>37.049999999999997</v>
      </c>
      <c r="C232">
        <v>38701000</v>
      </c>
      <c r="D232">
        <v>0.26500000000000001</v>
      </c>
      <c r="E232">
        <v>42</v>
      </c>
      <c r="F232">
        <v>2.62</v>
      </c>
      <c r="G232">
        <v>0.184</v>
      </c>
      <c r="H232">
        <v>10</v>
      </c>
      <c r="I232">
        <v>6.39</v>
      </c>
      <c r="J232">
        <v>1</v>
      </c>
      <c r="K232">
        <f>YEAR(NetflixData[[#This Row],[date]])</f>
        <v>2019</v>
      </c>
      <c r="L232" t="str">
        <f>TEXT(NetflixData[[#This Row],[date]],"mmm")</f>
        <v>Apr</v>
      </c>
      <c r="M232" t="str">
        <f>TEXT(NetflixData[[#This Row],[date]],"mmm yyyy")</f>
        <v>Apr 2019</v>
      </c>
      <c r="N232" t="str">
        <f t="shared" si="9"/>
        <v>Trading Day</v>
      </c>
      <c r="O232" t="str">
        <f t="shared" si="10"/>
        <v>Positive</v>
      </c>
      <c r="P232" t="str">
        <f t="shared" si="11"/>
        <v>Positive</v>
      </c>
    </row>
    <row r="233" spans="1:16" x14ac:dyDescent="0.3">
      <c r="A233" s="1">
        <v>43586</v>
      </c>
      <c r="B233">
        <v>37.880000000000003</v>
      </c>
      <c r="C233">
        <v>92573000</v>
      </c>
      <c r="D233">
        <v>1.286</v>
      </c>
      <c r="E233">
        <v>61</v>
      </c>
      <c r="F233">
        <v>3.07</v>
      </c>
      <c r="G233">
        <v>0.18179999999999999</v>
      </c>
      <c r="H233">
        <v>17</v>
      </c>
      <c r="I233">
        <v>6.03</v>
      </c>
      <c r="J233">
        <v>1</v>
      </c>
      <c r="K233">
        <f>YEAR(NetflixData[[#This Row],[date]])</f>
        <v>2019</v>
      </c>
      <c r="L233" t="str">
        <f>TEXT(NetflixData[[#This Row],[date]],"mmm")</f>
        <v>May</v>
      </c>
      <c r="M233" t="str">
        <f>TEXT(NetflixData[[#This Row],[date]],"mmm yyyy")</f>
        <v>May 2019</v>
      </c>
      <c r="N233" t="str">
        <f t="shared" si="9"/>
        <v>Trading Day</v>
      </c>
      <c r="O233" t="str">
        <f t="shared" si="10"/>
        <v>Positive</v>
      </c>
      <c r="P233" t="str">
        <f t="shared" si="11"/>
        <v>Positive</v>
      </c>
    </row>
    <row r="234" spans="1:16" x14ac:dyDescent="0.3">
      <c r="A234" s="1">
        <v>43587</v>
      </c>
      <c r="B234">
        <v>37.909999999999997</v>
      </c>
      <c r="C234">
        <v>53982000</v>
      </c>
      <c r="D234">
        <v>0.28000000000000003</v>
      </c>
      <c r="E234">
        <v>47</v>
      </c>
      <c r="F234">
        <v>3.02</v>
      </c>
      <c r="G234">
        <v>0.23039999999999999</v>
      </c>
      <c r="H234">
        <v>8</v>
      </c>
      <c r="I234">
        <v>6.16</v>
      </c>
      <c r="J234">
        <v>1</v>
      </c>
      <c r="K234">
        <f>YEAR(NetflixData[[#This Row],[date]])</f>
        <v>2019</v>
      </c>
      <c r="L234" t="str">
        <f>TEXT(NetflixData[[#This Row],[date]],"mmm")</f>
        <v>May</v>
      </c>
      <c r="M234" t="str">
        <f>TEXT(NetflixData[[#This Row],[date]],"mmm yyyy")</f>
        <v>May 2019</v>
      </c>
      <c r="N234" t="str">
        <f t="shared" si="9"/>
        <v>Trading Day</v>
      </c>
      <c r="O234" t="str">
        <f t="shared" si="10"/>
        <v>Positive</v>
      </c>
      <c r="P234" t="str">
        <f t="shared" si="11"/>
        <v>Positive</v>
      </c>
    </row>
    <row r="235" spans="1:16" x14ac:dyDescent="0.3">
      <c r="A235" s="1">
        <v>43588</v>
      </c>
      <c r="B235">
        <v>38.5</v>
      </c>
      <c r="C235">
        <v>51303000</v>
      </c>
      <c r="D235">
        <v>0.91700000000000004</v>
      </c>
      <c r="E235">
        <v>43</v>
      </c>
      <c r="F235">
        <v>2.88</v>
      </c>
      <c r="G235">
        <v>0.16900000000000001</v>
      </c>
      <c r="H235">
        <v>10</v>
      </c>
      <c r="I235">
        <v>6.32</v>
      </c>
      <c r="J235">
        <v>1</v>
      </c>
      <c r="K235">
        <f>YEAR(NetflixData[[#This Row],[date]])</f>
        <v>2019</v>
      </c>
      <c r="L235" t="str">
        <f>TEXT(NetflixData[[#This Row],[date]],"mmm")</f>
        <v>May</v>
      </c>
      <c r="M235" t="str">
        <f>TEXT(NetflixData[[#This Row],[date]],"mmm yyyy")</f>
        <v>May 2019</v>
      </c>
      <c r="N235" t="str">
        <f t="shared" si="9"/>
        <v>Non-Trading Day</v>
      </c>
      <c r="O235" t="str">
        <f t="shared" si="10"/>
        <v>Positive</v>
      </c>
      <c r="P235" t="str">
        <f t="shared" si="11"/>
        <v>Positive</v>
      </c>
    </row>
    <row r="236" spans="1:16" x14ac:dyDescent="0.3">
      <c r="A236" s="1">
        <v>43589</v>
      </c>
      <c r="B236">
        <v>38.5</v>
      </c>
      <c r="C236">
        <v>0</v>
      </c>
      <c r="D236">
        <v>0</v>
      </c>
      <c r="E236">
        <v>42</v>
      </c>
      <c r="F236">
        <v>2.86</v>
      </c>
      <c r="G236">
        <v>0.2228</v>
      </c>
      <c r="H236">
        <v>0</v>
      </c>
      <c r="J236">
        <v>0</v>
      </c>
      <c r="K236">
        <f>YEAR(NetflixData[[#This Row],[date]])</f>
        <v>2019</v>
      </c>
      <c r="L236" t="str">
        <f>TEXT(NetflixData[[#This Row],[date]],"mmm")</f>
        <v>May</v>
      </c>
      <c r="M236" t="str">
        <f>TEXT(NetflixData[[#This Row],[date]],"mmm yyyy")</f>
        <v>May 2019</v>
      </c>
      <c r="N236" t="str">
        <f t="shared" si="9"/>
        <v>Non-Trading Day</v>
      </c>
      <c r="O236" t="str">
        <f t="shared" si="10"/>
        <v>No Change</v>
      </c>
      <c r="P236" t="str">
        <f t="shared" si="11"/>
        <v>Positive</v>
      </c>
    </row>
    <row r="237" spans="1:16" x14ac:dyDescent="0.3">
      <c r="A237" s="1">
        <v>43590</v>
      </c>
      <c r="B237">
        <v>38.5</v>
      </c>
      <c r="C237">
        <v>0</v>
      </c>
      <c r="D237">
        <v>0</v>
      </c>
      <c r="E237">
        <v>42</v>
      </c>
      <c r="F237">
        <v>3.48</v>
      </c>
      <c r="G237">
        <v>0.27</v>
      </c>
      <c r="H237">
        <v>1</v>
      </c>
      <c r="I237">
        <v>3</v>
      </c>
      <c r="J237">
        <v>0</v>
      </c>
      <c r="K237">
        <f>YEAR(NetflixData[[#This Row],[date]])</f>
        <v>2019</v>
      </c>
      <c r="L237" t="str">
        <f>TEXT(NetflixData[[#This Row],[date]],"mmm")</f>
        <v>May</v>
      </c>
      <c r="M237" t="str">
        <f>TEXT(NetflixData[[#This Row],[date]],"mmm yyyy")</f>
        <v>May 2019</v>
      </c>
      <c r="N237" t="str">
        <f t="shared" si="9"/>
        <v>Trading Day</v>
      </c>
      <c r="O237" t="str">
        <f t="shared" si="10"/>
        <v>No Change</v>
      </c>
      <c r="P237" t="str">
        <f t="shared" si="11"/>
        <v>Positive</v>
      </c>
    </row>
    <row r="238" spans="1:16" x14ac:dyDescent="0.3">
      <c r="A238" s="1">
        <v>43591</v>
      </c>
      <c r="B238">
        <v>37.869999999999997</v>
      </c>
      <c r="C238">
        <v>57931000</v>
      </c>
      <c r="D238">
        <v>0.25900000000000001</v>
      </c>
      <c r="E238">
        <v>26</v>
      </c>
      <c r="F238">
        <v>2.19</v>
      </c>
      <c r="G238">
        <v>3.85E-2</v>
      </c>
      <c r="H238">
        <v>4</v>
      </c>
      <c r="I238">
        <v>6.8</v>
      </c>
      <c r="J238">
        <v>1</v>
      </c>
      <c r="K238">
        <f>YEAR(NetflixData[[#This Row],[date]])</f>
        <v>2019</v>
      </c>
      <c r="L238" t="str">
        <f>TEXT(NetflixData[[#This Row],[date]],"mmm")</f>
        <v>May</v>
      </c>
      <c r="M238" t="str">
        <f>TEXT(NetflixData[[#This Row],[date]],"mmm yyyy")</f>
        <v>May 2019</v>
      </c>
      <c r="N238" t="str">
        <f t="shared" si="9"/>
        <v>Trading Day</v>
      </c>
      <c r="O238" t="str">
        <f t="shared" si="10"/>
        <v>Positive</v>
      </c>
      <c r="P238" t="str">
        <f t="shared" si="11"/>
        <v>Neutral</v>
      </c>
    </row>
    <row r="239" spans="1:16" x14ac:dyDescent="0.3">
      <c r="A239" s="1">
        <v>43592</v>
      </c>
      <c r="B239">
        <v>37.049999999999997</v>
      </c>
      <c r="C239">
        <v>69749000</v>
      </c>
      <c r="D239">
        <v>-1.7350000000000001</v>
      </c>
      <c r="E239">
        <v>31</v>
      </c>
      <c r="F239">
        <v>2.68</v>
      </c>
      <c r="G239">
        <v>0.1182</v>
      </c>
      <c r="H239">
        <v>6</v>
      </c>
      <c r="I239">
        <v>6.34</v>
      </c>
      <c r="J239">
        <v>1</v>
      </c>
      <c r="K239">
        <f>YEAR(NetflixData[[#This Row],[date]])</f>
        <v>2019</v>
      </c>
      <c r="L239" t="str">
        <f>TEXT(NetflixData[[#This Row],[date]],"mmm")</f>
        <v>May</v>
      </c>
      <c r="M239" t="str">
        <f>TEXT(NetflixData[[#This Row],[date]],"mmm yyyy")</f>
        <v>May 2019</v>
      </c>
      <c r="N239" t="str">
        <f t="shared" si="9"/>
        <v>Trading Day</v>
      </c>
      <c r="O239" t="str">
        <f t="shared" si="10"/>
        <v>Negative</v>
      </c>
      <c r="P239" t="str">
        <f t="shared" si="11"/>
        <v>Positive</v>
      </c>
    </row>
    <row r="240" spans="1:16" x14ac:dyDescent="0.3">
      <c r="A240" s="1">
        <v>43593</v>
      </c>
      <c r="B240">
        <v>36.44</v>
      </c>
      <c r="C240">
        <v>65720000</v>
      </c>
      <c r="D240">
        <v>-0.96499999999999997</v>
      </c>
      <c r="E240">
        <v>36</v>
      </c>
      <c r="F240">
        <v>2.97</v>
      </c>
      <c r="G240">
        <v>0.15529999999999999</v>
      </c>
      <c r="H240">
        <v>9</v>
      </c>
      <c r="I240">
        <v>7.9</v>
      </c>
      <c r="J240">
        <v>1</v>
      </c>
      <c r="K240">
        <f>YEAR(NetflixData[[#This Row],[date]])</f>
        <v>2019</v>
      </c>
      <c r="L240" t="str">
        <f>TEXT(NetflixData[[#This Row],[date]],"mmm")</f>
        <v>May</v>
      </c>
      <c r="M240" t="str">
        <f>TEXT(NetflixData[[#This Row],[date]],"mmm yyyy")</f>
        <v>May 2019</v>
      </c>
      <c r="N240" t="str">
        <f t="shared" si="9"/>
        <v>Trading Day</v>
      </c>
      <c r="O240" t="str">
        <f t="shared" si="10"/>
        <v>Negative</v>
      </c>
      <c r="P240" t="str">
        <f t="shared" si="11"/>
        <v>Positive</v>
      </c>
    </row>
    <row r="241" spans="1:16" x14ac:dyDescent="0.3">
      <c r="A241" s="1">
        <v>43594</v>
      </c>
      <c r="B241">
        <v>36.28</v>
      </c>
      <c r="C241">
        <v>58826000</v>
      </c>
      <c r="D241">
        <v>0.51300000000000001</v>
      </c>
      <c r="E241">
        <v>31</v>
      </c>
      <c r="F241">
        <v>2.3199999999999998</v>
      </c>
      <c r="G241">
        <v>0.10730000000000001</v>
      </c>
      <c r="H241">
        <v>8</v>
      </c>
      <c r="I241">
        <v>6.05</v>
      </c>
      <c r="J241">
        <v>1</v>
      </c>
      <c r="K241">
        <f>YEAR(NetflixData[[#This Row],[date]])</f>
        <v>2019</v>
      </c>
      <c r="L241" t="str">
        <f>TEXT(NetflixData[[#This Row],[date]],"mmm")</f>
        <v>May</v>
      </c>
      <c r="M241" t="str">
        <f>TEXT(NetflixData[[#This Row],[date]],"mmm yyyy")</f>
        <v>May 2019</v>
      </c>
      <c r="N241" t="str">
        <f t="shared" si="9"/>
        <v>Trading Day</v>
      </c>
      <c r="O241" t="str">
        <f t="shared" si="10"/>
        <v>Positive</v>
      </c>
      <c r="P241" t="str">
        <f t="shared" si="11"/>
        <v>Positive</v>
      </c>
    </row>
    <row r="242" spans="1:16" x14ac:dyDescent="0.3">
      <c r="A242" s="1">
        <v>43595</v>
      </c>
      <c r="B242">
        <v>36.1</v>
      </c>
      <c r="C242">
        <v>56571000</v>
      </c>
      <c r="D242">
        <v>-0.16</v>
      </c>
      <c r="E242">
        <v>34</v>
      </c>
      <c r="F242">
        <v>2.79</v>
      </c>
      <c r="G242">
        <v>6.2E-2</v>
      </c>
      <c r="H242">
        <v>11</v>
      </c>
      <c r="I242">
        <v>7.1</v>
      </c>
      <c r="J242">
        <v>1</v>
      </c>
      <c r="K242">
        <f>YEAR(NetflixData[[#This Row],[date]])</f>
        <v>2019</v>
      </c>
      <c r="L242" t="str">
        <f>TEXT(NetflixData[[#This Row],[date]],"mmm")</f>
        <v>May</v>
      </c>
      <c r="M242" t="str">
        <f>TEXT(NetflixData[[#This Row],[date]],"mmm yyyy")</f>
        <v>May 2019</v>
      </c>
      <c r="N242" t="str">
        <f t="shared" si="9"/>
        <v>Non-Trading Day</v>
      </c>
      <c r="O242" t="str">
        <f t="shared" si="10"/>
        <v>Negative</v>
      </c>
      <c r="P242" t="str">
        <f t="shared" si="11"/>
        <v>Neutral</v>
      </c>
    </row>
    <row r="243" spans="1:16" x14ac:dyDescent="0.3">
      <c r="A243" s="1">
        <v>43596</v>
      </c>
      <c r="B243">
        <v>36.1</v>
      </c>
      <c r="C243">
        <v>0</v>
      </c>
      <c r="D243">
        <v>0</v>
      </c>
      <c r="E243">
        <v>37</v>
      </c>
      <c r="F243">
        <v>2.5099999999999998</v>
      </c>
      <c r="G243">
        <v>0.253</v>
      </c>
      <c r="H243">
        <v>4</v>
      </c>
      <c r="I243">
        <v>5.9</v>
      </c>
      <c r="J243">
        <v>0</v>
      </c>
      <c r="K243">
        <f>YEAR(NetflixData[[#This Row],[date]])</f>
        <v>2019</v>
      </c>
      <c r="L243" t="str">
        <f>TEXT(NetflixData[[#This Row],[date]],"mmm")</f>
        <v>May</v>
      </c>
      <c r="M243" t="str">
        <f>TEXT(NetflixData[[#This Row],[date]],"mmm yyyy")</f>
        <v>May 2019</v>
      </c>
      <c r="N243" t="str">
        <f t="shared" si="9"/>
        <v>Non-Trading Day</v>
      </c>
      <c r="O243" t="str">
        <f t="shared" si="10"/>
        <v>No Change</v>
      </c>
      <c r="P243" t="str">
        <f t="shared" si="11"/>
        <v>Positive</v>
      </c>
    </row>
    <row r="244" spans="1:16" x14ac:dyDescent="0.3">
      <c r="A244" s="1">
        <v>43597</v>
      </c>
      <c r="B244">
        <v>36.1</v>
      </c>
      <c r="C244">
        <v>0</v>
      </c>
      <c r="D244">
        <v>0</v>
      </c>
      <c r="E244">
        <v>44</v>
      </c>
      <c r="F244">
        <v>2.8</v>
      </c>
      <c r="G244">
        <v>0.14460000000000001</v>
      </c>
      <c r="H244">
        <v>2</v>
      </c>
      <c r="I244">
        <v>7</v>
      </c>
      <c r="J244">
        <v>0</v>
      </c>
      <c r="K244">
        <f>YEAR(NetflixData[[#This Row],[date]])</f>
        <v>2019</v>
      </c>
      <c r="L244" t="str">
        <f>TEXT(NetflixData[[#This Row],[date]],"mmm")</f>
        <v>May</v>
      </c>
      <c r="M244" t="str">
        <f>TEXT(NetflixData[[#This Row],[date]],"mmm yyyy")</f>
        <v>May 2019</v>
      </c>
      <c r="N244" t="str">
        <f t="shared" si="9"/>
        <v>Trading Day</v>
      </c>
      <c r="O244" t="str">
        <f t="shared" si="10"/>
        <v>No Change</v>
      </c>
      <c r="P244" t="str">
        <f t="shared" si="11"/>
        <v>Positive</v>
      </c>
    </row>
    <row r="245" spans="1:16" x14ac:dyDescent="0.3">
      <c r="A245" s="1">
        <v>43598</v>
      </c>
      <c r="B245">
        <v>34.53</v>
      </c>
      <c r="C245">
        <v>80267000</v>
      </c>
      <c r="D245">
        <v>-1.996</v>
      </c>
      <c r="E245">
        <v>37</v>
      </c>
      <c r="F245">
        <v>3.14</v>
      </c>
      <c r="G245">
        <v>0.28699999999999998</v>
      </c>
      <c r="H245">
        <v>1</v>
      </c>
      <c r="I245">
        <v>5.2</v>
      </c>
      <c r="J245">
        <v>1</v>
      </c>
      <c r="K245">
        <f>YEAR(NetflixData[[#This Row],[date]])</f>
        <v>2019</v>
      </c>
      <c r="L245" t="str">
        <f>TEXT(NetflixData[[#This Row],[date]],"mmm")</f>
        <v>May</v>
      </c>
      <c r="M245" t="str">
        <f>TEXT(NetflixData[[#This Row],[date]],"mmm yyyy")</f>
        <v>May 2019</v>
      </c>
      <c r="N245" t="str">
        <f t="shared" si="9"/>
        <v>Trading Day</v>
      </c>
      <c r="O245" t="str">
        <f t="shared" si="10"/>
        <v>Negative</v>
      </c>
      <c r="P245" t="str">
        <f t="shared" si="11"/>
        <v>Positive</v>
      </c>
    </row>
    <row r="246" spans="1:16" x14ac:dyDescent="0.3">
      <c r="A246" s="1">
        <v>43599</v>
      </c>
      <c r="B246">
        <v>34.56</v>
      </c>
      <c r="C246">
        <v>53530000</v>
      </c>
      <c r="D246">
        <v>-0.88900000000000001</v>
      </c>
      <c r="E246">
        <v>36</v>
      </c>
      <c r="F246">
        <v>3.06</v>
      </c>
      <c r="G246">
        <v>0.1666</v>
      </c>
      <c r="H246">
        <v>4</v>
      </c>
      <c r="I246">
        <v>6.6</v>
      </c>
      <c r="J246">
        <v>1</v>
      </c>
      <c r="K246">
        <f>YEAR(NetflixData[[#This Row],[date]])</f>
        <v>2019</v>
      </c>
      <c r="L246" t="str">
        <f>TEXT(NetflixData[[#This Row],[date]],"mmm")</f>
        <v>May</v>
      </c>
      <c r="M246" t="str">
        <f>TEXT(NetflixData[[#This Row],[date]],"mmm yyyy")</f>
        <v>May 2019</v>
      </c>
      <c r="N246" t="str">
        <f t="shared" si="9"/>
        <v>Trading Day</v>
      </c>
      <c r="O246" t="str">
        <f t="shared" si="10"/>
        <v>Negative</v>
      </c>
      <c r="P246" t="str">
        <f t="shared" si="11"/>
        <v>Positive</v>
      </c>
    </row>
    <row r="247" spans="1:16" x14ac:dyDescent="0.3">
      <c r="A247" s="1">
        <v>43600</v>
      </c>
      <c r="B247">
        <v>35.5</v>
      </c>
      <c r="C247">
        <v>63401000</v>
      </c>
      <c r="D247">
        <v>3.3929999999999998</v>
      </c>
      <c r="E247">
        <v>49</v>
      </c>
      <c r="F247">
        <v>2.98</v>
      </c>
      <c r="G247">
        <v>0.22120000000000001</v>
      </c>
      <c r="H247">
        <v>13</v>
      </c>
      <c r="I247">
        <v>6.05</v>
      </c>
      <c r="J247">
        <v>1</v>
      </c>
      <c r="K247">
        <f>YEAR(NetflixData[[#This Row],[date]])</f>
        <v>2019</v>
      </c>
      <c r="L247" t="str">
        <f>TEXT(NetflixData[[#This Row],[date]],"mmm")</f>
        <v>May</v>
      </c>
      <c r="M247" t="str">
        <f>TEXT(NetflixData[[#This Row],[date]],"mmm yyyy")</f>
        <v>May 2019</v>
      </c>
      <c r="N247" t="str">
        <f t="shared" si="9"/>
        <v>Trading Day</v>
      </c>
      <c r="O247" t="str">
        <f t="shared" si="10"/>
        <v>Positive</v>
      </c>
      <c r="P247" t="str">
        <f t="shared" si="11"/>
        <v>Positive</v>
      </c>
    </row>
    <row r="248" spans="1:16" x14ac:dyDescent="0.3">
      <c r="A248" s="1">
        <v>43601</v>
      </c>
      <c r="B248">
        <v>35.93</v>
      </c>
      <c r="C248">
        <v>64415000</v>
      </c>
      <c r="D248">
        <v>0.82499999999999996</v>
      </c>
      <c r="E248">
        <v>48</v>
      </c>
      <c r="F248">
        <v>3.08</v>
      </c>
      <c r="G248">
        <v>0.25290000000000001</v>
      </c>
      <c r="H248">
        <v>8</v>
      </c>
      <c r="I248">
        <v>5.8</v>
      </c>
      <c r="J248">
        <v>1</v>
      </c>
      <c r="K248">
        <f>YEAR(NetflixData[[#This Row],[date]])</f>
        <v>2019</v>
      </c>
      <c r="L248" t="str">
        <f>TEXT(NetflixData[[#This Row],[date]],"mmm")</f>
        <v>May</v>
      </c>
      <c r="M248" t="str">
        <f>TEXT(NetflixData[[#This Row],[date]],"mmm yyyy")</f>
        <v>May 2019</v>
      </c>
      <c r="N248" t="str">
        <f t="shared" si="9"/>
        <v>Trading Day</v>
      </c>
      <c r="O248" t="str">
        <f t="shared" si="10"/>
        <v>Positive</v>
      </c>
      <c r="P248" t="str">
        <f t="shared" si="11"/>
        <v>Positive</v>
      </c>
    </row>
    <row r="249" spans="1:16" x14ac:dyDescent="0.3">
      <c r="A249" s="1">
        <v>43602</v>
      </c>
      <c r="B249">
        <v>35.44</v>
      </c>
      <c r="C249">
        <v>47254000</v>
      </c>
      <c r="D249">
        <v>-0.54400000000000004</v>
      </c>
      <c r="E249">
        <v>46</v>
      </c>
      <c r="F249">
        <v>2.8</v>
      </c>
      <c r="G249">
        <v>0.19689999999999999</v>
      </c>
      <c r="H249">
        <v>11</v>
      </c>
      <c r="I249">
        <v>7.07</v>
      </c>
      <c r="J249">
        <v>1</v>
      </c>
      <c r="K249">
        <f>YEAR(NetflixData[[#This Row],[date]])</f>
        <v>2019</v>
      </c>
      <c r="L249" t="str">
        <f>TEXT(NetflixData[[#This Row],[date]],"mmm")</f>
        <v>May</v>
      </c>
      <c r="M249" t="str">
        <f>TEXT(NetflixData[[#This Row],[date]],"mmm yyyy")</f>
        <v>May 2019</v>
      </c>
      <c r="N249" t="str">
        <f t="shared" si="9"/>
        <v>Non-Trading Day</v>
      </c>
      <c r="O249" t="str">
        <f t="shared" si="10"/>
        <v>Negative</v>
      </c>
      <c r="P249" t="str">
        <f t="shared" si="11"/>
        <v>Positive</v>
      </c>
    </row>
    <row r="250" spans="1:16" x14ac:dyDescent="0.3">
      <c r="A250" s="1">
        <v>43603</v>
      </c>
      <c r="B250">
        <v>35.44</v>
      </c>
      <c r="C250">
        <v>0</v>
      </c>
      <c r="D250">
        <v>0</v>
      </c>
      <c r="E250">
        <v>69</v>
      </c>
      <c r="F250">
        <v>3.17</v>
      </c>
      <c r="G250">
        <v>0.29499999999999998</v>
      </c>
      <c r="H250">
        <v>2</v>
      </c>
      <c r="I250">
        <v>5.4</v>
      </c>
      <c r="J250">
        <v>0</v>
      </c>
      <c r="K250">
        <f>YEAR(NetflixData[[#This Row],[date]])</f>
        <v>2019</v>
      </c>
      <c r="L250" t="str">
        <f>TEXT(NetflixData[[#This Row],[date]],"mmm")</f>
        <v>May</v>
      </c>
      <c r="M250" t="str">
        <f>TEXT(NetflixData[[#This Row],[date]],"mmm yyyy")</f>
        <v>May 2019</v>
      </c>
      <c r="N250" t="str">
        <f t="shared" si="9"/>
        <v>Non-Trading Day</v>
      </c>
      <c r="O250" t="str">
        <f t="shared" si="10"/>
        <v>No Change</v>
      </c>
      <c r="P250" t="str">
        <f t="shared" si="11"/>
        <v>Positive</v>
      </c>
    </row>
    <row r="251" spans="1:16" x14ac:dyDescent="0.3">
      <c r="A251" s="1">
        <v>43604</v>
      </c>
      <c r="B251">
        <v>35.44</v>
      </c>
      <c r="C251">
        <v>0</v>
      </c>
      <c r="D251">
        <v>0</v>
      </c>
      <c r="E251">
        <v>52</v>
      </c>
      <c r="F251">
        <v>2.9</v>
      </c>
      <c r="G251">
        <v>0.25990000000000002</v>
      </c>
      <c r="H251">
        <v>1</v>
      </c>
      <c r="I251">
        <v>6</v>
      </c>
      <c r="J251">
        <v>0</v>
      </c>
      <c r="K251">
        <f>YEAR(NetflixData[[#This Row],[date]])</f>
        <v>2019</v>
      </c>
      <c r="L251" t="str">
        <f>TEXT(NetflixData[[#This Row],[date]],"mmm")</f>
        <v>May</v>
      </c>
      <c r="M251" t="str">
        <f>TEXT(NetflixData[[#This Row],[date]],"mmm yyyy")</f>
        <v>May 2019</v>
      </c>
      <c r="N251" t="str">
        <f t="shared" si="9"/>
        <v>Trading Day</v>
      </c>
      <c r="O251" t="str">
        <f t="shared" si="10"/>
        <v>No Change</v>
      </c>
      <c r="P251" t="str">
        <f t="shared" si="11"/>
        <v>Positive</v>
      </c>
    </row>
    <row r="252" spans="1:16" x14ac:dyDescent="0.3">
      <c r="A252" s="1">
        <v>43605</v>
      </c>
      <c r="B252">
        <v>34.81</v>
      </c>
      <c r="C252">
        <v>46215000</v>
      </c>
      <c r="D252">
        <v>-0.88800000000000001</v>
      </c>
      <c r="E252">
        <v>46</v>
      </c>
      <c r="F252">
        <v>3</v>
      </c>
      <c r="G252">
        <v>0.27139999999999997</v>
      </c>
      <c r="H252">
        <v>2</v>
      </c>
      <c r="I252">
        <v>6.1</v>
      </c>
      <c r="J252">
        <v>1</v>
      </c>
      <c r="K252">
        <f>YEAR(NetflixData[[#This Row],[date]])</f>
        <v>2019</v>
      </c>
      <c r="L252" t="str">
        <f>TEXT(NetflixData[[#This Row],[date]],"mmm")</f>
        <v>May</v>
      </c>
      <c r="M252" t="str">
        <f>TEXT(NetflixData[[#This Row],[date]],"mmm yyyy")</f>
        <v>May 2019</v>
      </c>
      <c r="N252" t="str">
        <f t="shared" si="9"/>
        <v>Trading Day</v>
      </c>
      <c r="O252" t="str">
        <f t="shared" si="10"/>
        <v>Negative</v>
      </c>
      <c r="P252" t="str">
        <f t="shared" si="11"/>
        <v>Positive</v>
      </c>
    </row>
    <row r="253" spans="1:16" x14ac:dyDescent="0.3">
      <c r="A253" s="1">
        <v>43606</v>
      </c>
      <c r="B253">
        <v>35.43</v>
      </c>
      <c r="C253">
        <v>40264000</v>
      </c>
      <c r="D253">
        <v>0.94599999999999995</v>
      </c>
      <c r="E253">
        <v>52</v>
      </c>
      <c r="F253">
        <v>3.25</v>
      </c>
      <c r="G253">
        <v>0.19950000000000001</v>
      </c>
      <c r="H253">
        <v>3</v>
      </c>
      <c r="I253">
        <v>5.8</v>
      </c>
      <c r="J253">
        <v>1</v>
      </c>
      <c r="K253">
        <f>YEAR(NetflixData[[#This Row],[date]])</f>
        <v>2019</v>
      </c>
      <c r="L253" t="str">
        <f>TEXT(NetflixData[[#This Row],[date]],"mmm")</f>
        <v>May</v>
      </c>
      <c r="M253" t="str">
        <f>TEXT(NetflixData[[#This Row],[date]],"mmm yyyy")</f>
        <v>May 2019</v>
      </c>
      <c r="N253" t="str">
        <f t="shared" si="9"/>
        <v>Trading Day</v>
      </c>
      <c r="O253" t="str">
        <f t="shared" si="10"/>
        <v>Positive</v>
      </c>
      <c r="P253" t="str">
        <f t="shared" si="11"/>
        <v>Positive</v>
      </c>
    </row>
    <row r="254" spans="1:16" x14ac:dyDescent="0.3">
      <c r="A254" s="1">
        <v>43607</v>
      </c>
      <c r="B254">
        <v>35.97</v>
      </c>
      <c r="C254">
        <v>62294000</v>
      </c>
      <c r="D254">
        <v>0.48</v>
      </c>
      <c r="E254">
        <v>50</v>
      </c>
      <c r="F254">
        <v>2.78</v>
      </c>
      <c r="G254">
        <v>0.2374</v>
      </c>
      <c r="H254">
        <v>2</v>
      </c>
      <c r="I254">
        <v>7.3</v>
      </c>
      <c r="J254">
        <v>1</v>
      </c>
      <c r="K254">
        <f>YEAR(NetflixData[[#This Row],[date]])</f>
        <v>2019</v>
      </c>
      <c r="L254" t="str">
        <f>TEXT(NetflixData[[#This Row],[date]],"mmm")</f>
        <v>May</v>
      </c>
      <c r="M254" t="str">
        <f>TEXT(NetflixData[[#This Row],[date]],"mmm yyyy")</f>
        <v>May 2019</v>
      </c>
      <c r="N254" t="str">
        <f t="shared" si="9"/>
        <v>Trading Day</v>
      </c>
      <c r="O254" t="str">
        <f t="shared" si="10"/>
        <v>Positive</v>
      </c>
      <c r="P254" t="str">
        <f t="shared" si="11"/>
        <v>Positive</v>
      </c>
    </row>
    <row r="255" spans="1:16" x14ac:dyDescent="0.3">
      <c r="A255" s="1">
        <v>43608</v>
      </c>
      <c r="B255">
        <v>35.22</v>
      </c>
      <c r="C255">
        <v>56304000</v>
      </c>
      <c r="D255">
        <v>-0.92500000000000004</v>
      </c>
      <c r="E255">
        <v>31</v>
      </c>
      <c r="F255">
        <v>2.61</v>
      </c>
      <c r="G255">
        <v>9.1200000000000003E-2</v>
      </c>
      <c r="H255">
        <v>1</v>
      </c>
      <c r="J255">
        <v>1</v>
      </c>
      <c r="K255">
        <f>YEAR(NetflixData[[#This Row],[date]])</f>
        <v>2019</v>
      </c>
      <c r="L255" t="str">
        <f>TEXT(NetflixData[[#This Row],[date]],"mmm")</f>
        <v>May</v>
      </c>
      <c r="M255" t="str">
        <f>TEXT(NetflixData[[#This Row],[date]],"mmm yyyy")</f>
        <v>May 2019</v>
      </c>
      <c r="N255" t="str">
        <f t="shared" si="9"/>
        <v>Trading Day</v>
      </c>
      <c r="O255" t="str">
        <f t="shared" si="10"/>
        <v>Negative</v>
      </c>
      <c r="P255" t="str">
        <f t="shared" si="11"/>
        <v>Neutral</v>
      </c>
    </row>
    <row r="256" spans="1:16" x14ac:dyDescent="0.3">
      <c r="A256" s="1">
        <v>43609</v>
      </c>
      <c r="B256">
        <v>35.44</v>
      </c>
      <c r="C256">
        <v>38310000</v>
      </c>
      <c r="D256">
        <v>-0.28699999999999998</v>
      </c>
      <c r="E256">
        <v>38</v>
      </c>
      <c r="F256">
        <v>2.76</v>
      </c>
      <c r="G256">
        <v>0.2263</v>
      </c>
      <c r="H256">
        <v>7</v>
      </c>
      <c r="I256">
        <v>6.37</v>
      </c>
      <c r="J256">
        <v>1</v>
      </c>
      <c r="K256">
        <f>YEAR(NetflixData[[#This Row],[date]])</f>
        <v>2019</v>
      </c>
      <c r="L256" t="str">
        <f>TEXT(NetflixData[[#This Row],[date]],"mmm")</f>
        <v>May</v>
      </c>
      <c r="M256" t="str">
        <f>TEXT(NetflixData[[#This Row],[date]],"mmm yyyy")</f>
        <v>May 2019</v>
      </c>
      <c r="N256" t="str">
        <f t="shared" si="9"/>
        <v>Non-Trading Day</v>
      </c>
      <c r="O256" t="str">
        <f t="shared" si="10"/>
        <v>Negative</v>
      </c>
      <c r="P256" t="str">
        <f t="shared" si="11"/>
        <v>Positive</v>
      </c>
    </row>
    <row r="257" spans="1:16" x14ac:dyDescent="0.3">
      <c r="A257" s="1">
        <v>43610</v>
      </c>
      <c r="B257">
        <v>35.44</v>
      </c>
      <c r="C257">
        <v>0</v>
      </c>
      <c r="D257">
        <v>0</v>
      </c>
      <c r="E257">
        <v>49</v>
      </c>
      <c r="F257">
        <v>2.92</v>
      </c>
      <c r="G257">
        <v>0.42730000000000001</v>
      </c>
      <c r="H257">
        <v>2</v>
      </c>
      <c r="I257">
        <v>6.6</v>
      </c>
      <c r="J257">
        <v>0</v>
      </c>
      <c r="K257">
        <f>YEAR(NetflixData[[#This Row],[date]])</f>
        <v>2019</v>
      </c>
      <c r="L257" t="str">
        <f>TEXT(NetflixData[[#This Row],[date]],"mmm")</f>
        <v>May</v>
      </c>
      <c r="M257" t="str">
        <f>TEXT(NetflixData[[#This Row],[date]],"mmm yyyy")</f>
        <v>May 2019</v>
      </c>
      <c r="N257" t="str">
        <f t="shared" si="9"/>
        <v>Non-Trading Day</v>
      </c>
      <c r="O257" t="str">
        <f t="shared" si="10"/>
        <v>No Change</v>
      </c>
      <c r="P257" t="str">
        <f t="shared" si="11"/>
        <v>Positive</v>
      </c>
    </row>
    <row r="258" spans="1:16" x14ac:dyDescent="0.3">
      <c r="A258" s="1">
        <v>43611</v>
      </c>
      <c r="B258">
        <v>35.44</v>
      </c>
      <c r="C258">
        <v>0</v>
      </c>
      <c r="D258">
        <v>0</v>
      </c>
      <c r="E258">
        <v>48</v>
      </c>
      <c r="F258">
        <v>3.33</v>
      </c>
      <c r="G258">
        <v>0.37180000000000002</v>
      </c>
      <c r="H258">
        <v>2</v>
      </c>
      <c r="I258">
        <v>6.6</v>
      </c>
      <c r="J258">
        <v>0</v>
      </c>
      <c r="K258">
        <f>YEAR(NetflixData[[#This Row],[date]])</f>
        <v>2019</v>
      </c>
      <c r="L258" t="str">
        <f>TEXT(NetflixData[[#This Row],[date]],"mmm")</f>
        <v>May</v>
      </c>
      <c r="M258" t="str">
        <f>TEXT(NetflixData[[#This Row],[date]],"mmm yyyy")</f>
        <v>May 2019</v>
      </c>
      <c r="N258" t="str">
        <f t="shared" ref="N258:N321" si="12">IF(J259=1,"Trading Day","Non-Trading Day")</f>
        <v>Non-Trading Day</v>
      </c>
      <c r="O258" t="str">
        <f t="shared" ref="O258:O321" si="13">IF(D258&gt;0,"Positive",IF(D258&lt;0,"Negative","No Change"))</f>
        <v>No Change</v>
      </c>
      <c r="P258" t="str">
        <f t="shared" ref="P258:P321" si="14">IF(G258&gt;0.1,"Positive",IF(G258&lt;-0.1,"Negative","Neutral"))</f>
        <v>Positive</v>
      </c>
    </row>
    <row r="259" spans="1:16" x14ac:dyDescent="0.3">
      <c r="A259" s="1">
        <v>43612</v>
      </c>
      <c r="B259">
        <v>35.44</v>
      </c>
      <c r="C259">
        <v>0</v>
      </c>
      <c r="D259">
        <v>0</v>
      </c>
      <c r="E259">
        <v>42</v>
      </c>
      <c r="F259">
        <v>3.02</v>
      </c>
      <c r="G259">
        <v>0.27450000000000002</v>
      </c>
      <c r="H259">
        <v>2</v>
      </c>
      <c r="I259">
        <v>5.6</v>
      </c>
      <c r="J259">
        <v>0</v>
      </c>
      <c r="K259">
        <f>YEAR(NetflixData[[#This Row],[date]])</f>
        <v>2019</v>
      </c>
      <c r="L259" t="str">
        <f>TEXT(NetflixData[[#This Row],[date]],"mmm")</f>
        <v>May</v>
      </c>
      <c r="M259" t="str">
        <f>TEXT(NetflixData[[#This Row],[date]],"mmm yyyy")</f>
        <v>May 2019</v>
      </c>
      <c r="N259" t="str">
        <f t="shared" si="12"/>
        <v>Trading Day</v>
      </c>
      <c r="O259" t="str">
        <f t="shared" si="13"/>
        <v>No Change</v>
      </c>
      <c r="P259" t="str">
        <f t="shared" si="14"/>
        <v>Positive</v>
      </c>
    </row>
    <row r="260" spans="1:16" x14ac:dyDescent="0.3">
      <c r="A260" s="1">
        <v>43613</v>
      </c>
      <c r="B260">
        <v>35.51</v>
      </c>
      <c r="C260">
        <v>47171000</v>
      </c>
      <c r="D260">
        <v>0.189</v>
      </c>
      <c r="E260">
        <v>42</v>
      </c>
      <c r="F260">
        <v>2.71</v>
      </c>
      <c r="G260">
        <v>8.7800000000000003E-2</v>
      </c>
      <c r="H260">
        <v>2</v>
      </c>
      <c r="I260">
        <v>5.5</v>
      </c>
      <c r="J260">
        <v>1</v>
      </c>
      <c r="K260">
        <f>YEAR(NetflixData[[#This Row],[date]])</f>
        <v>2019</v>
      </c>
      <c r="L260" t="str">
        <f>TEXT(NetflixData[[#This Row],[date]],"mmm")</f>
        <v>May</v>
      </c>
      <c r="M260" t="str">
        <f>TEXT(NetflixData[[#This Row],[date]],"mmm yyyy")</f>
        <v>May 2019</v>
      </c>
      <c r="N260" t="str">
        <f t="shared" si="12"/>
        <v>Trading Day</v>
      </c>
      <c r="O260" t="str">
        <f t="shared" si="13"/>
        <v>Positive</v>
      </c>
      <c r="P260" t="str">
        <f t="shared" si="14"/>
        <v>Neutral</v>
      </c>
    </row>
    <row r="261" spans="1:16" x14ac:dyDescent="0.3">
      <c r="A261" s="1">
        <v>43614</v>
      </c>
      <c r="B261">
        <v>34.92</v>
      </c>
      <c r="C261">
        <v>56589000</v>
      </c>
      <c r="D261">
        <v>-1.2470000000000001</v>
      </c>
      <c r="E261">
        <v>40</v>
      </c>
      <c r="F261">
        <v>3</v>
      </c>
      <c r="G261">
        <v>0.27079999999999999</v>
      </c>
      <c r="H261">
        <v>0</v>
      </c>
      <c r="J261">
        <v>1</v>
      </c>
      <c r="K261">
        <f>YEAR(NetflixData[[#This Row],[date]])</f>
        <v>2019</v>
      </c>
      <c r="L261" t="str">
        <f>TEXT(NetflixData[[#This Row],[date]],"mmm")</f>
        <v>May</v>
      </c>
      <c r="M261" t="str">
        <f>TEXT(NetflixData[[#This Row],[date]],"mmm yyyy")</f>
        <v>May 2019</v>
      </c>
      <c r="N261" t="str">
        <f t="shared" si="12"/>
        <v>Trading Day</v>
      </c>
      <c r="O261" t="str">
        <f t="shared" si="13"/>
        <v>Negative</v>
      </c>
      <c r="P261" t="str">
        <f t="shared" si="14"/>
        <v>Positive</v>
      </c>
    </row>
    <row r="262" spans="1:16" x14ac:dyDescent="0.3">
      <c r="A262" s="1">
        <v>43615</v>
      </c>
      <c r="B262">
        <v>35.19</v>
      </c>
      <c r="C262">
        <v>40080000</v>
      </c>
      <c r="D262">
        <v>0.371</v>
      </c>
      <c r="E262">
        <v>52</v>
      </c>
      <c r="F262">
        <v>3.17</v>
      </c>
      <c r="G262">
        <v>0.30470000000000003</v>
      </c>
      <c r="H262">
        <v>3</v>
      </c>
      <c r="I262">
        <v>6.73</v>
      </c>
      <c r="J262">
        <v>1</v>
      </c>
      <c r="K262">
        <f>YEAR(NetflixData[[#This Row],[date]])</f>
        <v>2019</v>
      </c>
      <c r="L262" t="str">
        <f>TEXT(NetflixData[[#This Row],[date]],"mmm")</f>
        <v>May</v>
      </c>
      <c r="M262" t="str">
        <f>TEXT(NetflixData[[#This Row],[date]],"mmm yyyy")</f>
        <v>May 2019</v>
      </c>
      <c r="N262" t="str">
        <f t="shared" si="12"/>
        <v>Trading Day</v>
      </c>
      <c r="O262" t="str">
        <f t="shared" si="13"/>
        <v>Positive</v>
      </c>
      <c r="P262" t="str">
        <f t="shared" si="14"/>
        <v>Positive</v>
      </c>
    </row>
    <row r="263" spans="1:16" x14ac:dyDescent="0.3">
      <c r="A263" s="1">
        <v>43616</v>
      </c>
      <c r="B263">
        <v>34.33</v>
      </c>
      <c r="C263">
        <v>50234000</v>
      </c>
      <c r="D263">
        <v>-1.135</v>
      </c>
      <c r="E263">
        <v>58</v>
      </c>
      <c r="F263">
        <v>3.1</v>
      </c>
      <c r="G263">
        <v>0.34699999999999998</v>
      </c>
      <c r="H263">
        <v>13</v>
      </c>
      <c r="I263">
        <v>6.18</v>
      </c>
      <c r="J263">
        <v>1</v>
      </c>
      <c r="K263">
        <f>YEAR(NetflixData[[#This Row],[date]])</f>
        <v>2019</v>
      </c>
      <c r="L263" t="str">
        <f>TEXT(NetflixData[[#This Row],[date]],"mmm")</f>
        <v>May</v>
      </c>
      <c r="M263" t="str">
        <f>TEXT(NetflixData[[#This Row],[date]],"mmm yyyy")</f>
        <v>May 2019</v>
      </c>
      <c r="N263" t="str">
        <f t="shared" si="12"/>
        <v>Non-Trading Day</v>
      </c>
      <c r="O263" t="str">
        <f t="shared" si="13"/>
        <v>Negative</v>
      </c>
      <c r="P263" t="str">
        <f t="shared" si="14"/>
        <v>Positive</v>
      </c>
    </row>
    <row r="264" spans="1:16" x14ac:dyDescent="0.3">
      <c r="A264" s="1">
        <v>43617</v>
      </c>
      <c r="B264">
        <v>34.33</v>
      </c>
      <c r="C264">
        <v>0</v>
      </c>
      <c r="D264">
        <v>0</v>
      </c>
      <c r="E264">
        <v>46</v>
      </c>
      <c r="F264">
        <v>3.28</v>
      </c>
      <c r="G264">
        <v>0.29499999999999998</v>
      </c>
      <c r="H264">
        <v>23</v>
      </c>
      <c r="I264">
        <v>6.44</v>
      </c>
      <c r="J264">
        <v>0</v>
      </c>
      <c r="K264">
        <f>YEAR(NetflixData[[#This Row],[date]])</f>
        <v>2019</v>
      </c>
      <c r="L264" t="str">
        <f>TEXT(NetflixData[[#This Row],[date]],"mmm")</f>
        <v>Jun</v>
      </c>
      <c r="M264" t="str">
        <f>TEXT(NetflixData[[#This Row],[date]],"mmm yyyy")</f>
        <v>Jun 2019</v>
      </c>
      <c r="N264" t="str">
        <f t="shared" si="12"/>
        <v>Non-Trading Day</v>
      </c>
      <c r="O264" t="str">
        <f t="shared" si="13"/>
        <v>No Change</v>
      </c>
      <c r="P264" t="str">
        <f t="shared" si="14"/>
        <v>Positive</v>
      </c>
    </row>
    <row r="265" spans="1:16" x14ac:dyDescent="0.3">
      <c r="A265" s="1">
        <v>43618</v>
      </c>
      <c r="B265">
        <v>34.33</v>
      </c>
      <c r="C265">
        <v>0</v>
      </c>
      <c r="D265">
        <v>0</v>
      </c>
      <c r="E265">
        <v>50</v>
      </c>
      <c r="F265">
        <v>3.32</v>
      </c>
      <c r="G265">
        <v>0.32029999999999997</v>
      </c>
      <c r="H265">
        <v>4</v>
      </c>
      <c r="I265">
        <v>6.98</v>
      </c>
      <c r="J265">
        <v>0</v>
      </c>
      <c r="K265">
        <f>YEAR(NetflixData[[#This Row],[date]])</f>
        <v>2019</v>
      </c>
      <c r="L265" t="str">
        <f>TEXT(NetflixData[[#This Row],[date]],"mmm")</f>
        <v>Jun</v>
      </c>
      <c r="M265" t="str">
        <f>TEXT(NetflixData[[#This Row],[date]],"mmm yyyy")</f>
        <v>Jun 2019</v>
      </c>
      <c r="N265" t="str">
        <f t="shared" si="12"/>
        <v>Trading Day</v>
      </c>
      <c r="O265" t="str">
        <f t="shared" si="13"/>
        <v>No Change</v>
      </c>
      <c r="P265" t="str">
        <f t="shared" si="14"/>
        <v>Positive</v>
      </c>
    </row>
    <row r="266" spans="1:16" x14ac:dyDescent="0.3">
      <c r="A266" s="1">
        <v>43619</v>
      </c>
      <c r="B266">
        <v>33.659999999999997</v>
      </c>
      <c r="C266">
        <v>78496000</v>
      </c>
      <c r="D266">
        <v>-2.0169999999999999</v>
      </c>
      <c r="E266">
        <v>39</v>
      </c>
      <c r="F266">
        <v>3.31</v>
      </c>
      <c r="G266">
        <v>0.41449999999999998</v>
      </c>
      <c r="H266">
        <v>2</v>
      </c>
      <c r="J266">
        <v>1</v>
      </c>
      <c r="K266">
        <f>YEAR(NetflixData[[#This Row],[date]])</f>
        <v>2019</v>
      </c>
      <c r="L266" t="str">
        <f>TEXT(NetflixData[[#This Row],[date]],"mmm")</f>
        <v>Jun</v>
      </c>
      <c r="M266" t="str">
        <f>TEXT(NetflixData[[#This Row],[date]],"mmm yyyy")</f>
        <v>Jun 2019</v>
      </c>
      <c r="N266" t="str">
        <f t="shared" si="12"/>
        <v>Trading Day</v>
      </c>
      <c r="O266" t="str">
        <f t="shared" si="13"/>
        <v>Negative</v>
      </c>
      <c r="P266" t="str">
        <f t="shared" si="14"/>
        <v>Positive</v>
      </c>
    </row>
    <row r="267" spans="1:16" x14ac:dyDescent="0.3">
      <c r="A267" s="1">
        <v>43620</v>
      </c>
      <c r="B267">
        <v>35.340000000000003</v>
      </c>
      <c r="C267">
        <v>78916000</v>
      </c>
      <c r="D267">
        <v>2.4350000000000001</v>
      </c>
      <c r="E267">
        <v>45</v>
      </c>
      <c r="F267">
        <v>3.24</v>
      </c>
      <c r="G267">
        <v>0.21429999999999999</v>
      </c>
      <c r="H267">
        <v>4</v>
      </c>
      <c r="I267">
        <v>4.0999999999999996</v>
      </c>
      <c r="J267">
        <v>1</v>
      </c>
      <c r="K267">
        <f>YEAR(NetflixData[[#This Row],[date]])</f>
        <v>2019</v>
      </c>
      <c r="L267" t="str">
        <f>TEXT(NetflixData[[#This Row],[date]],"mmm")</f>
        <v>Jun</v>
      </c>
      <c r="M267" t="str">
        <f>TEXT(NetflixData[[#This Row],[date]],"mmm yyyy")</f>
        <v>Jun 2019</v>
      </c>
      <c r="N267" t="str">
        <f t="shared" si="12"/>
        <v>Trading Day</v>
      </c>
      <c r="O267" t="str">
        <f t="shared" si="13"/>
        <v>Positive</v>
      </c>
      <c r="P267" t="str">
        <f t="shared" si="14"/>
        <v>Positive</v>
      </c>
    </row>
    <row r="268" spans="1:16" x14ac:dyDescent="0.3">
      <c r="A268" s="1">
        <v>43621</v>
      </c>
      <c r="B268">
        <v>35.57</v>
      </c>
      <c r="C268">
        <v>50201000</v>
      </c>
      <c r="D268">
        <v>0.38100000000000001</v>
      </c>
      <c r="E268">
        <v>43</v>
      </c>
      <c r="F268">
        <v>2.91</v>
      </c>
      <c r="G268">
        <v>0.30380000000000001</v>
      </c>
      <c r="H268">
        <v>6</v>
      </c>
      <c r="I268">
        <v>6.03</v>
      </c>
      <c r="J268">
        <v>1</v>
      </c>
      <c r="K268">
        <f>YEAR(NetflixData[[#This Row],[date]])</f>
        <v>2019</v>
      </c>
      <c r="L268" t="str">
        <f>TEXT(NetflixData[[#This Row],[date]],"mmm")</f>
        <v>Jun</v>
      </c>
      <c r="M268" t="str">
        <f>TEXT(NetflixData[[#This Row],[date]],"mmm yyyy")</f>
        <v>Jun 2019</v>
      </c>
      <c r="N268" t="str">
        <f t="shared" si="12"/>
        <v>Trading Day</v>
      </c>
      <c r="O268" t="str">
        <f t="shared" si="13"/>
        <v>Positive</v>
      </c>
      <c r="P268" t="str">
        <f t="shared" si="14"/>
        <v>Positive</v>
      </c>
    </row>
    <row r="269" spans="1:16" x14ac:dyDescent="0.3">
      <c r="A269" s="1">
        <v>43622</v>
      </c>
      <c r="B269">
        <v>35.71</v>
      </c>
      <c r="C269">
        <v>37100000</v>
      </c>
      <c r="D269">
        <v>0.64500000000000002</v>
      </c>
      <c r="E269">
        <v>43</v>
      </c>
      <c r="F269">
        <v>2.93</v>
      </c>
      <c r="G269">
        <v>0.28349999999999997</v>
      </c>
      <c r="H269">
        <v>16</v>
      </c>
      <c r="I269">
        <v>4.99</v>
      </c>
      <c r="J269">
        <v>1</v>
      </c>
      <c r="K269">
        <f>YEAR(NetflixData[[#This Row],[date]])</f>
        <v>2019</v>
      </c>
      <c r="L269" t="str">
        <f>TEXT(NetflixData[[#This Row],[date]],"mmm")</f>
        <v>Jun</v>
      </c>
      <c r="M269" t="str">
        <f>TEXT(NetflixData[[#This Row],[date]],"mmm yyyy")</f>
        <v>Jun 2019</v>
      </c>
      <c r="N269" t="str">
        <f t="shared" si="12"/>
        <v>Trading Day</v>
      </c>
      <c r="O269" t="str">
        <f t="shared" si="13"/>
        <v>Positive</v>
      </c>
      <c r="P269" t="str">
        <f t="shared" si="14"/>
        <v>Positive</v>
      </c>
    </row>
    <row r="270" spans="1:16" x14ac:dyDescent="0.3">
      <c r="A270" s="1">
        <v>43623</v>
      </c>
      <c r="B270">
        <v>36.090000000000003</v>
      </c>
      <c r="C270">
        <v>47773000</v>
      </c>
      <c r="D270">
        <v>0.97399999999999998</v>
      </c>
      <c r="E270">
        <v>45</v>
      </c>
      <c r="F270">
        <v>2.96</v>
      </c>
      <c r="G270">
        <v>0.2225</v>
      </c>
      <c r="H270">
        <v>12</v>
      </c>
      <c r="I270">
        <v>6.88</v>
      </c>
      <c r="J270">
        <v>1</v>
      </c>
      <c r="K270">
        <f>YEAR(NetflixData[[#This Row],[date]])</f>
        <v>2019</v>
      </c>
      <c r="L270" t="str">
        <f>TEXT(NetflixData[[#This Row],[date]],"mmm")</f>
        <v>Jun</v>
      </c>
      <c r="M270" t="str">
        <f>TEXT(NetflixData[[#This Row],[date]],"mmm yyyy")</f>
        <v>Jun 2019</v>
      </c>
      <c r="N270" t="str">
        <f t="shared" si="12"/>
        <v>Non-Trading Day</v>
      </c>
      <c r="O270" t="str">
        <f t="shared" si="13"/>
        <v>Positive</v>
      </c>
      <c r="P270" t="str">
        <f t="shared" si="14"/>
        <v>Positive</v>
      </c>
    </row>
    <row r="271" spans="1:16" x14ac:dyDescent="0.3">
      <c r="A271" s="1">
        <v>43624</v>
      </c>
      <c r="B271">
        <v>36.090000000000003</v>
      </c>
      <c r="C271">
        <v>0</v>
      </c>
      <c r="D271">
        <v>0</v>
      </c>
      <c r="E271">
        <v>45</v>
      </c>
      <c r="F271">
        <v>2.78</v>
      </c>
      <c r="G271">
        <v>0.15490000000000001</v>
      </c>
      <c r="H271">
        <v>3</v>
      </c>
      <c r="I271">
        <v>5.5</v>
      </c>
      <c r="J271">
        <v>0</v>
      </c>
      <c r="K271">
        <f>YEAR(NetflixData[[#This Row],[date]])</f>
        <v>2019</v>
      </c>
      <c r="L271" t="str">
        <f>TEXT(NetflixData[[#This Row],[date]],"mmm")</f>
        <v>Jun</v>
      </c>
      <c r="M271" t="str">
        <f>TEXT(NetflixData[[#This Row],[date]],"mmm yyyy")</f>
        <v>Jun 2019</v>
      </c>
      <c r="N271" t="str">
        <f t="shared" si="12"/>
        <v>Non-Trading Day</v>
      </c>
      <c r="O271" t="str">
        <f t="shared" si="13"/>
        <v>No Change</v>
      </c>
      <c r="P271" t="str">
        <f t="shared" si="14"/>
        <v>Positive</v>
      </c>
    </row>
    <row r="272" spans="1:16" x14ac:dyDescent="0.3">
      <c r="A272" s="1">
        <v>43625</v>
      </c>
      <c r="B272">
        <v>36.090000000000003</v>
      </c>
      <c r="C272">
        <v>0</v>
      </c>
      <c r="D272">
        <v>0</v>
      </c>
      <c r="E272">
        <v>39</v>
      </c>
      <c r="F272">
        <v>3.31</v>
      </c>
      <c r="G272">
        <v>0.252</v>
      </c>
      <c r="H272">
        <v>0</v>
      </c>
      <c r="J272">
        <v>0</v>
      </c>
      <c r="K272">
        <f>YEAR(NetflixData[[#This Row],[date]])</f>
        <v>2019</v>
      </c>
      <c r="L272" t="str">
        <f>TEXT(NetflixData[[#This Row],[date]],"mmm")</f>
        <v>Jun</v>
      </c>
      <c r="M272" t="str">
        <f>TEXT(NetflixData[[#This Row],[date]],"mmm yyyy")</f>
        <v>Jun 2019</v>
      </c>
      <c r="N272" t="str">
        <f t="shared" si="12"/>
        <v>Trading Day</v>
      </c>
      <c r="O272" t="str">
        <f t="shared" si="13"/>
        <v>No Change</v>
      </c>
      <c r="P272" t="str">
        <f t="shared" si="14"/>
        <v>Positive</v>
      </c>
    </row>
    <row r="273" spans="1:16" x14ac:dyDescent="0.3">
      <c r="A273" s="1">
        <v>43626</v>
      </c>
      <c r="B273">
        <v>35.200000000000003</v>
      </c>
      <c r="C273">
        <v>78103000</v>
      </c>
      <c r="D273">
        <v>-3.2010000000000001</v>
      </c>
      <c r="E273">
        <v>44</v>
      </c>
      <c r="F273">
        <v>2.98</v>
      </c>
      <c r="G273">
        <v>0.2636</v>
      </c>
      <c r="H273">
        <v>1</v>
      </c>
      <c r="J273">
        <v>1</v>
      </c>
      <c r="K273">
        <f>YEAR(NetflixData[[#This Row],[date]])</f>
        <v>2019</v>
      </c>
      <c r="L273" t="str">
        <f>TEXT(NetflixData[[#This Row],[date]],"mmm")</f>
        <v>Jun</v>
      </c>
      <c r="M273" t="str">
        <f>TEXT(NetflixData[[#This Row],[date]],"mmm yyyy")</f>
        <v>Jun 2019</v>
      </c>
      <c r="N273" t="str">
        <f t="shared" si="12"/>
        <v>Trading Day</v>
      </c>
      <c r="O273" t="str">
        <f t="shared" si="13"/>
        <v>Negative</v>
      </c>
      <c r="P273" t="str">
        <f t="shared" si="14"/>
        <v>Positive</v>
      </c>
    </row>
    <row r="274" spans="1:16" x14ac:dyDescent="0.3">
      <c r="A274" s="1">
        <v>43627</v>
      </c>
      <c r="B274">
        <v>35.130000000000003</v>
      </c>
      <c r="C274">
        <v>53967000</v>
      </c>
      <c r="D274">
        <v>-1.0509999999999999</v>
      </c>
      <c r="E274">
        <v>58</v>
      </c>
      <c r="F274">
        <v>2.81</v>
      </c>
      <c r="G274">
        <v>0.2034</v>
      </c>
      <c r="H274">
        <v>1</v>
      </c>
      <c r="J274">
        <v>1</v>
      </c>
      <c r="K274">
        <f>YEAR(NetflixData[[#This Row],[date]])</f>
        <v>2019</v>
      </c>
      <c r="L274" t="str">
        <f>TEXT(NetflixData[[#This Row],[date]],"mmm")</f>
        <v>Jun</v>
      </c>
      <c r="M274" t="str">
        <f>TEXT(NetflixData[[#This Row],[date]],"mmm yyyy")</f>
        <v>Jun 2019</v>
      </c>
      <c r="N274" t="str">
        <f t="shared" si="12"/>
        <v>Trading Day</v>
      </c>
      <c r="O274" t="str">
        <f t="shared" si="13"/>
        <v>Negative</v>
      </c>
      <c r="P274" t="str">
        <f t="shared" si="14"/>
        <v>Positive</v>
      </c>
    </row>
    <row r="275" spans="1:16" x14ac:dyDescent="0.3">
      <c r="A275" s="1">
        <v>43628</v>
      </c>
      <c r="B275">
        <v>34.56</v>
      </c>
      <c r="C275">
        <v>45847000</v>
      </c>
      <c r="D275">
        <v>-1.7789999999999999</v>
      </c>
      <c r="E275">
        <v>62</v>
      </c>
      <c r="F275">
        <v>3.23</v>
      </c>
      <c r="G275">
        <v>0.3488</v>
      </c>
      <c r="H275">
        <v>2</v>
      </c>
      <c r="I275">
        <v>7.5</v>
      </c>
      <c r="J275">
        <v>1</v>
      </c>
      <c r="K275">
        <f>YEAR(NetflixData[[#This Row],[date]])</f>
        <v>2019</v>
      </c>
      <c r="L275" t="str">
        <f>TEXT(NetflixData[[#This Row],[date]],"mmm")</f>
        <v>Jun</v>
      </c>
      <c r="M275" t="str">
        <f>TEXT(NetflixData[[#This Row],[date]],"mmm yyyy")</f>
        <v>Jun 2019</v>
      </c>
      <c r="N275" t="str">
        <f t="shared" si="12"/>
        <v>Trading Day</v>
      </c>
      <c r="O275" t="str">
        <f t="shared" si="13"/>
        <v>Negative</v>
      </c>
      <c r="P275" t="str">
        <f t="shared" si="14"/>
        <v>Positive</v>
      </c>
    </row>
    <row r="276" spans="1:16" x14ac:dyDescent="0.3">
      <c r="A276" s="1">
        <v>43629</v>
      </c>
      <c r="B276">
        <v>34.340000000000003</v>
      </c>
      <c r="C276">
        <v>62093000</v>
      </c>
      <c r="D276">
        <v>-1.0940000000000001</v>
      </c>
      <c r="E276">
        <v>42</v>
      </c>
      <c r="F276">
        <v>2.79</v>
      </c>
      <c r="G276">
        <v>0.27860000000000001</v>
      </c>
      <c r="H276">
        <v>9</v>
      </c>
      <c r="I276">
        <v>5.59</v>
      </c>
      <c r="J276">
        <v>1</v>
      </c>
      <c r="K276">
        <f>YEAR(NetflixData[[#This Row],[date]])</f>
        <v>2019</v>
      </c>
      <c r="L276" t="str">
        <f>TEXT(NetflixData[[#This Row],[date]],"mmm")</f>
        <v>Jun</v>
      </c>
      <c r="M276" t="str">
        <f>TEXT(NetflixData[[#This Row],[date]],"mmm yyyy")</f>
        <v>Jun 2019</v>
      </c>
      <c r="N276" t="str">
        <f t="shared" si="12"/>
        <v>Trading Day</v>
      </c>
      <c r="O276" t="str">
        <f t="shared" si="13"/>
        <v>Negative</v>
      </c>
      <c r="P276" t="str">
        <f t="shared" si="14"/>
        <v>Positive</v>
      </c>
    </row>
    <row r="277" spans="1:16" x14ac:dyDescent="0.3">
      <c r="A277" s="1">
        <v>43630</v>
      </c>
      <c r="B277">
        <v>33.97</v>
      </c>
      <c r="C277">
        <v>50190000</v>
      </c>
      <c r="D277">
        <v>-0.55600000000000005</v>
      </c>
      <c r="E277">
        <v>45</v>
      </c>
      <c r="F277">
        <v>3.49</v>
      </c>
      <c r="G277">
        <v>0.3619</v>
      </c>
      <c r="H277">
        <v>10</v>
      </c>
      <c r="I277">
        <v>5.97</v>
      </c>
      <c r="J277">
        <v>1</v>
      </c>
      <c r="K277">
        <f>YEAR(NetflixData[[#This Row],[date]])</f>
        <v>2019</v>
      </c>
      <c r="L277" t="str">
        <f>TEXT(NetflixData[[#This Row],[date]],"mmm")</f>
        <v>Jun</v>
      </c>
      <c r="M277" t="str">
        <f>TEXT(NetflixData[[#This Row],[date]],"mmm yyyy")</f>
        <v>Jun 2019</v>
      </c>
      <c r="N277" t="str">
        <f t="shared" si="12"/>
        <v>Non-Trading Day</v>
      </c>
      <c r="O277" t="str">
        <f t="shared" si="13"/>
        <v>Negative</v>
      </c>
      <c r="P277" t="str">
        <f t="shared" si="14"/>
        <v>Positive</v>
      </c>
    </row>
    <row r="278" spans="1:16" x14ac:dyDescent="0.3">
      <c r="A278" s="1">
        <v>43631</v>
      </c>
      <c r="B278">
        <v>33.97</v>
      </c>
      <c r="C278">
        <v>0</v>
      </c>
      <c r="D278">
        <v>0</v>
      </c>
      <c r="E278">
        <v>39</v>
      </c>
      <c r="F278">
        <v>3.1</v>
      </c>
      <c r="G278">
        <v>0.23680000000000001</v>
      </c>
      <c r="H278">
        <v>12</v>
      </c>
      <c r="I278">
        <v>7.04</v>
      </c>
      <c r="J278">
        <v>0</v>
      </c>
      <c r="K278">
        <f>YEAR(NetflixData[[#This Row],[date]])</f>
        <v>2019</v>
      </c>
      <c r="L278" t="str">
        <f>TEXT(NetflixData[[#This Row],[date]],"mmm")</f>
        <v>Jun</v>
      </c>
      <c r="M278" t="str">
        <f>TEXT(NetflixData[[#This Row],[date]],"mmm yyyy")</f>
        <v>Jun 2019</v>
      </c>
      <c r="N278" t="str">
        <f t="shared" si="12"/>
        <v>Non-Trading Day</v>
      </c>
      <c r="O278" t="str">
        <f t="shared" si="13"/>
        <v>No Change</v>
      </c>
      <c r="P278" t="str">
        <f t="shared" si="14"/>
        <v>Positive</v>
      </c>
    </row>
    <row r="279" spans="1:16" x14ac:dyDescent="0.3">
      <c r="A279" s="1">
        <v>43632</v>
      </c>
      <c r="B279">
        <v>33.97</v>
      </c>
      <c r="C279">
        <v>0</v>
      </c>
      <c r="D279">
        <v>0</v>
      </c>
      <c r="E279">
        <v>53</v>
      </c>
      <c r="F279">
        <v>2.75</v>
      </c>
      <c r="G279">
        <v>9.9500000000000005E-2</v>
      </c>
      <c r="H279">
        <v>2</v>
      </c>
      <c r="I279">
        <v>5.85</v>
      </c>
      <c r="J279">
        <v>0</v>
      </c>
      <c r="K279">
        <f>YEAR(NetflixData[[#This Row],[date]])</f>
        <v>2019</v>
      </c>
      <c r="L279" t="str">
        <f>TEXT(NetflixData[[#This Row],[date]],"mmm")</f>
        <v>Jun</v>
      </c>
      <c r="M279" t="str">
        <f>TEXT(NetflixData[[#This Row],[date]],"mmm yyyy")</f>
        <v>Jun 2019</v>
      </c>
      <c r="N279" t="str">
        <f t="shared" si="12"/>
        <v>Trading Day</v>
      </c>
      <c r="O279" t="str">
        <f t="shared" si="13"/>
        <v>No Change</v>
      </c>
      <c r="P279" t="str">
        <f t="shared" si="14"/>
        <v>Neutral</v>
      </c>
    </row>
    <row r="280" spans="1:16" x14ac:dyDescent="0.3">
      <c r="A280" s="1">
        <v>43633</v>
      </c>
      <c r="B280">
        <v>35.06</v>
      </c>
      <c r="C280">
        <v>53582000</v>
      </c>
      <c r="D280">
        <v>2.3140000000000001</v>
      </c>
      <c r="E280">
        <v>36</v>
      </c>
      <c r="F280">
        <v>2.67</v>
      </c>
      <c r="G280">
        <v>0.32669999999999999</v>
      </c>
      <c r="H280">
        <v>0</v>
      </c>
      <c r="J280">
        <v>1</v>
      </c>
      <c r="K280">
        <f>YEAR(NetflixData[[#This Row],[date]])</f>
        <v>2019</v>
      </c>
      <c r="L280" t="str">
        <f>TEXT(NetflixData[[#This Row],[date]],"mmm")</f>
        <v>Jun</v>
      </c>
      <c r="M280" t="str">
        <f>TEXT(NetflixData[[#This Row],[date]],"mmm yyyy")</f>
        <v>Jun 2019</v>
      </c>
      <c r="N280" t="str">
        <f t="shared" si="12"/>
        <v>Trading Day</v>
      </c>
      <c r="O280" t="str">
        <f t="shared" si="13"/>
        <v>Positive</v>
      </c>
      <c r="P280" t="str">
        <f t="shared" si="14"/>
        <v>Positive</v>
      </c>
    </row>
    <row r="281" spans="1:16" x14ac:dyDescent="0.3">
      <c r="A281" s="1">
        <v>43634</v>
      </c>
      <c r="B281">
        <v>35.71</v>
      </c>
      <c r="C281">
        <v>54285000</v>
      </c>
      <c r="D281">
        <v>0.436</v>
      </c>
      <c r="E281">
        <v>65</v>
      </c>
      <c r="F281">
        <v>3.37</v>
      </c>
      <c r="G281">
        <v>0.28949999999999998</v>
      </c>
      <c r="H281">
        <v>8</v>
      </c>
      <c r="I281">
        <v>5.55</v>
      </c>
      <c r="J281">
        <v>1</v>
      </c>
      <c r="K281">
        <f>YEAR(NetflixData[[#This Row],[date]])</f>
        <v>2019</v>
      </c>
      <c r="L281" t="str">
        <f>TEXT(NetflixData[[#This Row],[date]],"mmm")</f>
        <v>Jun</v>
      </c>
      <c r="M281" t="str">
        <f>TEXT(NetflixData[[#This Row],[date]],"mmm yyyy")</f>
        <v>Jun 2019</v>
      </c>
      <c r="N281" t="str">
        <f t="shared" si="12"/>
        <v>Trading Day</v>
      </c>
      <c r="O281" t="str">
        <f t="shared" si="13"/>
        <v>Positive</v>
      </c>
      <c r="P281" t="str">
        <f t="shared" si="14"/>
        <v>Positive</v>
      </c>
    </row>
    <row r="282" spans="1:16" x14ac:dyDescent="0.3">
      <c r="A282" s="1">
        <v>43635</v>
      </c>
      <c r="B282">
        <v>36.35</v>
      </c>
      <c r="C282">
        <v>56672000</v>
      </c>
      <c r="D282">
        <v>0.498</v>
      </c>
      <c r="E282">
        <v>58</v>
      </c>
      <c r="F282">
        <v>3.71</v>
      </c>
      <c r="G282">
        <v>0.3579</v>
      </c>
      <c r="H282">
        <v>5</v>
      </c>
      <c r="I282">
        <v>6.5</v>
      </c>
      <c r="J282">
        <v>1</v>
      </c>
      <c r="K282">
        <f>YEAR(NetflixData[[#This Row],[date]])</f>
        <v>2019</v>
      </c>
      <c r="L282" t="str">
        <f>TEXT(NetflixData[[#This Row],[date]],"mmm")</f>
        <v>Jun</v>
      </c>
      <c r="M282" t="str">
        <f>TEXT(NetflixData[[#This Row],[date]],"mmm yyyy")</f>
        <v>Jun 2019</v>
      </c>
      <c r="N282" t="str">
        <f t="shared" si="12"/>
        <v>Trading Day</v>
      </c>
      <c r="O282" t="str">
        <f t="shared" si="13"/>
        <v>Positive</v>
      </c>
      <c r="P282" t="str">
        <f t="shared" si="14"/>
        <v>Positive</v>
      </c>
    </row>
    <row r="283" spans="1:16" x14ac:dyDescent="0.3">
      <c r="A283" s="1">
        <v>43636</v>
      </c>
      <c r="B283">
        <v>36.520000000000003</v>
      </c>
      <c r="C283">
        <v>58995000</v>
      </c>
      <c r="D283">
        <v>-0.191</v>
      </c>
      <c r="E283">
        <v>42</v>
      </c>
      <c r="F283">
        <v>3.1</v>
      </c>
      <c r="G283">
        <v>0.249</v>
      </c>
      <c r="H283">
        <v>9</v>
      </c>
      <c r="I283">
        <v>5.01</v>
      </c>
      <c r="J283">
        <v>1</v>
      </c>
      <c r="K283">
        <f>YEAR(NetflixData[[#This Row],[date]])</f>
        <v>2019</v>
      </c>
      <c r="L283" t="str">
        <f>TEXT(NetflixData[[#This Row],[date]],"mmm")</f>
        <v>Jun</v>
      </c>
      <c r="M283" t="str">
        <f>TEXT(NetflixData[[#This Row],[date]],"mmm yyyy")</f>
        <v>Jun 2019</v>
      </c>
      <c r="N283" t="str">
        <f t="shared" si="12"/>
        <v>Trading Day</v>
      </c>
      <c r="O283" t="str">
        <f t="shared" si="13"/>
        <v>Negative</v>
      </c>
      <c r="P283" t="str">
        <f t="shared" si="14"/>
        <v>Positive</v>
      </c>
    </row>
    <row r="284" spans="1:16" x14ac:dyDescent="0.3">
      <c r="A284" s="1">
        <v>43637</v>
      </c>
      <c r="B284">
        <v>36.92</v>
      </c>
      <c r="C284">
        <v>74484000</v>
      </c>
      <c r="D284">
        <v>1.153</v>
      </c>
      <c r="E284">
        <v>55</v>
      </c>
      <c r="F284">
        <v>3.25</v>
      </c>
      <c r="G284">
        <v>0.25169999999999998</v>
      </c>
      <c r="H284">
        <v>14</v>
      </c>
      <c r="I284">
        <v>6.94</v>
      </c>
      <c r="J284">
        <v>1</v>
      </c>
      <c r="K284">
        <f>YEAR(NetflixData[[#This Row],[date]])</f>
        <v>2019</v>
      </c>
      <c r="L284" t="str">
        <f>TEXT(NetflixData[[#This Row],[date]],"mmm")</f>
        <v>Jun</v>
      </c>
      <c r="M284" t="str">
        <f>TEXT(NetflixData[[#This Row],[date]],"mmm yyyy")</f>
        <v>Jun 2019</v>
      </c>
      <c r="N284" t="str">
        <f t="shared" si="12"/>
        <v>Non-Trading Day</v>
      </c>
      <c r="O284" t="str">
        <f t="shared" si="13"/>
        <v>Positive</v>
      </c>
      <c r="P284" t="str">
        <f t="shared" si="14"/>
        <v>Positive</v>
      </c>
    </row>
    <row r="285" spans="1:16" x14ac:dyDescent="0.3">
      <c r="A285" s="1">
        <v>43638</v>
      </c>
      <c r="B285">
        <v>36.92</v>
      </c>
      <c r="C285">
        <v>0</v>
      </c>
      <c r="D285">
        <v>0</v>
      </c>
      <c r="E285">
        <v>92</v>
      </c>
      <c r="F285">
        <v>2.38</v>
      </c>
      <c r="G285">
        <v>9.6600000000000005E-2</v>
      </c>
      <c r="H285">
        <v>2</v>
      </c>
      <c r="I285">
        <v>4.3499999999999996</v>
      </c>
      <c r="J285">
        <v>0</v>
      </c>
      <c r="K285">
        <f>YEAR(NetflixData[[#This Row],[date]])</f>
        <v>2019</v>
      </c>
      <c r="L285" t="str">
        <f>TEXT(NetflixData[[#This Row],[date]],"mmm")</f>
        <v>Jun</v>
      </c>
      <c r="M285" t="str">
        <f>TEXT(NetflixData[[#This Row],[date]],"mmm yyyy")</f>
        <v>Jun 2019</v>
      </c>
      <c r="N285" t="str">
        <f t="shared" si="12"/>
        <v>Non-Trading Day</v>
      </c>
      <c r="O285" t="str">
        <f t="shared" si="13"/>
        <v>No Change</v>
      </c>
      <c r="P285" t="str">
        <f t="shared" si="14"/>
        <v>Neutral</v>
      </c>
    </row>
    <row r="286" spans="1:16" x14ac:dyDescent="0.3">
      <c r="A286" s="1">
        <v>43639</v>
      </c>
      <c r="B286">
        <v>36.92</v>
      </c>
      <c r="C286">
        <v>0</v>
      </c>
      <c r="D286">
        <v>0</v>
      </c>
      <c r="E286">
        <v>52</v>
      </c>
      <c r="F286">
        <v>3.38</v>
      </c>
      <c r="G286">
        <v>0.34100000000000003</v>
      </c>
      <c r="H286">
        <v>1</v>
      </c>
      <c r="J286">
        <v>0</v>
      </c>
      <c r="K286">
        <f>YEAR(NetflixData[[#This Row],[date]])</f>
        <v>2019</v>
      </c>
      <c r="L286" t="str">
        <f>TEXT(NetflixData[[#This Row],[date]],"mmm")</f>
        <v>Jun</v>
      </c>
      <c r="M286" t="str">
        <f>TEXT(NetflixData[[#This Row],[date]],"mmm yyyy")</f>
        <v>Jun 2019</v>
      </c>
      <c r="N286" t="str">
        <f t="shared" si="12"/>
        <v>Trading Day</v>
      </c>
      <c r="O286" t="str">
        <f t="shared" si="13"/>
        <v>No Change</v>
      </c>
      <c r="P286" t="str">
        <f t="shared" si="14"/>
        <v>Positive</v>
      </c>
    </row>
    <row r="287" spans="1:16" x14ac:dyDescent="0.3">
      <c r="A287" s="1">
        <v>43640</v>
      </c>
      <c r="B287">
        <v>37.1</v>
      </c>
      <c r="C287">
        <v>48302000</v>
      </c>
      <c r="D287">
        <v>0.20799999999999999</v>
      </c>
      <c r="E287">
        <v>56</v>
      </c>
      <c r="F287">
        <v>3.29</v>
      </c>
      <c r="G287">
        <v>0.35549999999999998</v>
      </c>
      <c r="H287">
        <v>1</v>
      </c>
      <c r="I287">
        <v>7.3</v>
      </c>
      <c r="J287">
        <v>1</v>
      </c>
      <c r="K287">
        <f>YEAR(NetflixData[[#This Row],[date]])</f>
        <v>2019</v>
      </c>
      <c r="L287" t="str">
        <f>TEXT(NetflixData[[#This Row],[date]],"mmm")</f>
        <v>Jun</v>
      </c>
      <c r="M287" t="str">
        <f>TEXT(NetflixData[[#This Row],[date]],"mmm yyyy")</f>
        <v>Jun 2019</v>
      </c>
      <c r="N287" t="str">
        <f t="shared" si="12"/>
        <v>Trading Day</v>
      </c>
      <c r="O287" t="str">
        <f t="shared" si="13"/>
        <v>Positive</v>
      </c>
      <c r="P287" t="str">
        <f t="shared" si="14"/>
        <v>Positive</v>
      </c>
    </row>
    <row r="288" spans="1:16" x14ac:dyDescent="0.3">
      <c r="A288" s="1">
        <v>43641</v>
      </c>
      <c r="B288">
        <v>36.03</v>
      </c>
      <c r="C288">
        <v>57504000</v>
      </c>
      <c r="D288">
        <v>-2.819</v>
      </c>
      <c r="E288">
        <v>35</v>
      </c>
      <c r="F288">
        <v>3.77</v>
      </c>
      <c r="G288">
        <v>0.3523</v>
      </c>
      <c r="H288">
        <v>3</v>
      </c>
      <c r="I288">
        <v>6.4</v>
      </c>
      <c r="J288">
        <v>1</v>
      </c>
      <c r="K288">
        <f>YEAR(NetflixData[[#This Row],[date]])</f>
        <v>2019</v>
      </c>
      <c r="L288" t="str">
        <f>TEXT(NetflixData[[#This Row],[date]],"mmm")</f>
        <v>Jun</v>
      </c>
      <c r="M288" t="str">
        <f>TEXT(NetflixData[[#This Row],[date]],"mmm yyyy")</f>
        <v>Jun 2019</v>
      </c>
      <c r="N288" t="str">
        <f t="shared" si="12"/>
        <v>Trading Day</v>
      </c>
      <c r="O288" t="str">
        <f t="shared" si="13"/>
        <v>Negative</v>
      </c>
      <c r="P288" t="str">
        <f t="shared" si="14"/>
        <v>Positive</v>
      </c>
    </row>
    <row r="289" spans="1:16" x14ac:dyDescent="0.3">
      <c r="A289" s="1">
        <v>43642</v>
      </c>
      <c r="B289">
        <v>36.22</v>
      </c>
      <c r="C289">
        <v>36697000</v>
      </c>
      <c r="D289">
        <v>0.16600000000000001</v>
      </c>
      <c r="E289">
        <v>52</v>
      </c>
      <c r="F289">
        <v>3.56</v>
      </c>
      <c r="G289">
        <v>0.33239999999999997</v>
      </c>
      <c r="H289">
        <v>5</v>
      </c>
      <c r="I289">
        <v>7.6</v>
      </c>
      <c r="J289">
        <v>1</v>
      </c>
      <c r="K289">
        <f>YEAR(NetflixData[[#This Row],[date]])</f>
        <v>2019</v>
      </c>
      <c r="L289" t="str">
        <f>TEXT(NetflixData[[#This Row],[date]],"mmm")</f>
        <v>Jun</v>
      </c>
      <c r="M289" t="str">
        <f>TEXT(NetflixData[[#This Row],[date]],"mmm yyyy")</f>
        <v>Jun 2019</v>
      </c>
      <c r="N289" t="str">
        <f t="shared" si="12"/>
        <v>Trading Day</v>
      </c>
      <c r="O289" t="str">
        <f t="shared" si="13"/>
        <v>Positive</v>
      </c>
      <c r="P289" t="str">
        <f t="shared" si="14"/>
        <v>Positive</v>
      </c>
    </row>
    <row r="290" spans="1:16" x14ac:dyDescent="0.3">
      <c r="A290" s="1">
        <v>43643</v>
      </c>
      <c r="B290">
        <v>37</v>
      </c>
      <c r="C290">
        <v>41386000</v>
      </c>
      <c r="D290">
        <v>1.8779999999999999</v>
      </c>
      <c r="E290">
        <v>46</v>
      </c>
      <c r="F290">
        <v>3.54</v>
      </c>
      <c r="G290">
        <v>0.4451</v>
      </c>
      <c r="H290">
        <v>3</v>
      </c>
      <c r="I290">
        <v>6.35</v>
      </c>
      <c r="J290">
        <v>1</v>
      </c>
      <c r="K290">
        <f>YEAR(NetflixData[[#This Row],[date]])</f>
        <v>2019</v>
      </c>
      <c r="L290" t="str">
        <f>TEXT(NetflixData[[#This Row],[date]],"mmm")</f>
        <v>Jun</v>
      </c>
      <c r="M290" t="str">
        <f>TEXT(NetflixData[[#This Row],[date]],"mmm yyyy")</f>
        <v>Jun 2019</v>
      </c>
      <c r="N290" t="str">
        <f t="shared" si="12"/>
        <v>Trading Day</v>
      </c>
      <c r="O290" t="str">
        <f t="shared" si="13"/>
        <v>Positive</v>
      </c>
      <c r="P290" t="str">
        <f t="shared" si="14"/>
        <v>Positive</v>
      </c>
    </row>
    <row r="291" spans="1:16" x14ac:dyDescent="0.3">
      <c r="A291" s="1">
        <v>43644</v>
      </c>
      <c r="B291">
        <v>36.729999999999997</v>
      </c>
      <c r="C291">
        <v>45927000</v>
      </c>
      <c r="D291">
        <v>-0.79400000000000004</v>
      </c>
      <c r="E291">
        <v>43</v>
      </c>
      <c r="F291">
        <v>2.72</v>
      </c>
      <c r="G291">
        <v>0.17560000000000001</v>
      </c>
      <c r="H291">
        <v>11</v>
      </c>
      <c r="I291">
        <v>5.68</v>
      </c>
      <c r="J291">
        <v>1</v>
      </c>
      <c r="K291">
        <f>YEAR(NetflixData[[#This Row],[date]])</f>
        <v>2019</v>
      </c>
      <c r="L291" t="str">
        <f>TEXT(NetflixData[[#This Row],[date]],"mmm")</f>
        <v>Jun</v>
      </c>
      <c r="M291" t="str">
        <f>TEXT(NetflixData[[#This Row],[date]],"mmm yyyy")</f>
        <v>Jun 2019</v>
      </c>
      <c r="N291" t="str">
        <f t="shared" si="12"/>
        <v>Non-Trading Day</v>
      </c>
      <c r="O291" t="str">
        <f t="shared" si="13"/>
        <v>Negative</v>
      </c>
      <c r="P291" t="str">
        <f t="shared" si="14"/>
        <v>Positive</v>
      </c>
    </row>
    <row r="292" spans="1:16" x14ac:dyDescent="0.3">
      <c r="A292" s="1">
        <v>43645</v>
      </c>
      <c r="B292">
        <v>36.729999999999997</v>
      </c>
      <c r="C292">
        <v>0</v>
      </c>
      <c r="D292">
        <v>0</v>
      </c>
      <c r="E292">
        <v>42</v>
      </c>
      <c r="F292">
        <v>3.24</v>
      </c>
      <c r="G292">
        <v>0.35560000000000003</v>
      </c>
      <c r="H292">
        <v>2</v>
      </c>
      <c r="I292">
        <v>7.5</v>
      </c>
      <c r="J292">
        <v>0</v>
      </c>
      <c r="K292">
        <f>YEAR(NetflixData[[#This Row],[date]])</f>
        <v>2019</v>
      </c>
      <c r="L292" t="str">
        <f>TEXT(NetflixData[[#This Row],[date]],"mmm")</f>
        <v>Jun</v>
      </c>
      <c r="M292" t="str">
        <f>TEXT(NetflixData[[#This Row],[date]],"mmm yyyy")</f>
        <v>Jun 2019</v>
      </c>
      <c r="N292" t="str">
        <f t="shared" si="12"/>
        <v>Non-Trading Day</v>
      </c>
      <c r="O292" t="str">
        <f t="shared" si="13"/>
        <v>No Change</v>
      </c>
      <c r="P292" t="str">
        <f t="shared" si="14"/>
        <v>Positive</v>
      </c>
    </row>
    <row r="293" spans="1:16" x14ac:dyDescent="0.3">
      <c r="A293" s="1">
        <v>43646</v>
      </c>
      <c r="B293">
        <v>36.729999999999997</v>
      </c>
      <c r="C293">
        <v>0</v>
      </c>
      <c r="D293">
        <v>0</v>
      </c>
      <c r="E293">
        <v>39</v>
      </c>
      <c r="F293">
        <v>3.1</v>
      </c>
      <c r="G293">
        <v>0.26750000000000002</v>
      </c>
      <c r="H293">
        <v>4</v>
      </c>
      <c r="I293">
        <v>6.4</v>
      </c>
      <c r="J293">
        <v>0</v>
      </c>
      <c r="K293">
        <f>YEAR(NetflixData[[#This Row],[date]])</f>
        <v>2019</v>
      </c>
      <c r="L293" t="str">
        <f>TEXT(NetflixData[[#This Row],[date]],"mmm")</f>
        <v>Jun</v>
      </c>
      <c r="M293" t="str">
        <f>TEXT(NetflixData[[#This Row],[date]],"mmm yyyy")</f>
        <v>Jun 2019</v>
      </c>
      <c r="N293" t="str">
        <f t="shared" si="12"/>
        <v>Trading Day</v>
      </c>
      <c r="O293" t="str">
        <f t="shared" si="13"/>
        <v>No Change</v>
      </c>
      <c r="P293" t="str">
        <f t="shared" si="14"/>
        <v>Positive</v>
      </c>
    </row>
    <row r="294" spans="1:16" x14ac:dyDescent="0.3">
      <c r="A294" s="1">
        <v>43647</v>
      </c>
      <c r="B294">
        <v>37.46</v>
      </c>
      <c r="C294">
        <v>49926000</v>
      </c>
      <c r="D294">
        <v>0.29499999999999998</v>
      </c>
      <c r="E294">
        <v>48</v>
      </c>
      <c r="F294">
        <v>3.5</v>
      </c>
      <c r="G294">
        <v>0.21790000000000001</v>
      </c>
      <c r="H294">
        <v>58</v>
      </c>
      <c r="I294">
        <v>6.37</v>
      </c>
      <c r="J294">
        <v>1</v>
      </c>
      <c r="K294">
        <f>YEAR(NetflixData[[#This Row],[date]])</f>
        <v>2019</v>
      </c>
      <c r="L294" t="str">
        <f>TEXT(NetflixData[[#This Row],[date]],"mmm")</f>
        <v>Jul</v>
      </c>
      <c r="M294" t="str">
        <f>TEXT(NetflixData[[#This Row],[date]],"mmm yyyy")</f>
        <v>Jul 2019</v>
      </c>
      <c r="N294" t="str">
        <f t="shared" si="12"/>
        <v>Trading Day</v>
      </c>
      <c r="O294" t="str">
        <f t="shared" si="13"/>
        <v>Positive</v>
      </c>
      <c r="P294" t="str">
        <f t="shared" si="14"/>
        <v>Positive</v>
      </c>
    </row>
    <row r="295" spans="1:16" x14ac:dyDescent="0.3">
      <c r="A295" s="1">
        <v>43648</v>
      </c>
      <c r="B295">
        <v>37.54</v>
      </c>
      <c r="C295">
        <v>36250000</v>
      </c>
      <c r="D295">
        <v>0.14399999999999999</v>
      </c>
      <c r="E295">
        <v>61</v>
      </c>
      <c r="F295">
        <v>3.59</v>
      </c>
      <c r="G295">
        <v>0.38340000000000002</v>
      </c>
      <c r="H295">
        <v>3</v>
      </c>
      <c r="I295">
        <v>7.53</v>
      </c>
      <c r="J295">
        <v>1</v>
      </c>
      <c r="K295">
        <f>YEAR(NetflixData[[#This Row],[date]])</f>
        <v>2019</v>
      </c>
      <c r="L295" t="str">
        <f>TEXT(NetflixData[[#This Row],[date]],"mmm")</f>
        <v>Jul</v>
      </c>
      <c r="M295" t="str">
        <f>TEXT(NetflixData[[#This Row],[date]],"mmm yyyy")</f>
        <v>Jul 2019</v>
      </c>
      <c r="N295" t="str">
        <f t="shared" si="12"/>
        <v>Trading Day</v>
      </c>
      <c r="O295" t="str">
        <f t="shared" si="13"/>
        <v>Positive</v>
      </c>
      <c r="P295" t="str">
        <f t="shared" si="14"/>
        <v>Positive</v>
      </c>
    </row>
    <row r="296" spans="1:16" x14ac:dyDescent="0.3">
      <c r="A296" s="1">
        <v>43649</v>
      </c>
      <c r="B296">
        <v>38.17</v>
      </c>
      <c r="C296">
        <v>37990000</v>
      </c>
      <c r="D296">
        <v>1.335</v>
      </c>
      <c r="E296">
        <v>49</v>
      </c>
      <c r="F296">
        <v>3.22</v>
      </c>
      <c r="G296">
        <v>0.33460000000000001</v>
      </c>
      <c r="H296">
        <v>2</v>
      </c>
      <c r="I296">
        <v>7.3</v>
      </c>
      <c r="J296">
        <v>1</v>
      </c>
      <c r="K296">
        <f>YEAR(NetflixData[[#This Row],[date]])</f>
        <v>2019</v>
      </c>
      <c r="L296" t="str">
        <f>TEXT(NetflixData[[#This Row],[date]],"mmm")</f>
        <v>Jul</v>
      </c>
      <c r="M296" t="str">
        <f>TEXT(NetflixData[[#This Row],[date]],"mmm yyyy")</f>
        <v>Jul 2019</v>
      </c>
      <c r="N296" t="str">
        <f t="shared" si="12"/>
        <v>Non-Trading Day</v>
      </c>
      <c r="O296" t="str">
        <f t="shared" si="13"/>
        <v>Positive</v>
      </c>
      <c r="P296" t="str">
        <f t="shared" si="14"/>
        <v>Positive</v>
      </c>
    </row>
    <row r="297" spans="1:16" x14ac:dyDescent="0.3">
      <c r="A297" s="1">
        <v>43650</v>
      </c>
      <c r="B297">
        <v>38.17</v>
      </c>
      <c r="C297">
        <v>0</v>
      </c>
      <c r="D297">
        <v>0</v>
      </c>
      <c r="E297">
        <v>45</v>
      </c>
      <c r="F297">
        <v>3.16</v>
      </c>
      <c r="G297">
        <v>0.2041</v>
      </c>
      <c r="H297">
        <v>4</v>
      </c>
      <c r="I297">
        <v>6.2</v>
      </c>
      <c r="J297">
        <v>0</v>
      </c>
      <c r="K297">
        <f>YEAR(NetflixData[[#This Row],[date]])</f>
        <v>2019</v>
      </c>
      <c r="L297" t="str">
        <f>TEXT(NetflixData[[#This Row],[date]],"mmm")</f>
        <v>Jul</v>
      </c>
      <c r="M297" t="str">
        <f>TEXT(NetflixData[[#This Row],[date]],"mmm yyyy")</f>
        <v>Jul 2019</v>
      </c>
      <c r="N297" t="str">
        <f t="shared" si="12"/>
        <v>Trading Day</v>
      </c>
      <c r="O297" t="str">
        <f t="shared" si="13"/>
        <v>No Change</v>
      </c>
      <c r="P297" t="str">
        <f t="shared" si="14"/>
        <v>Positive</v>
      </c>
    </row>
    <row r="298" spans="1:16" x14ac:dyDescent="0.3">
      <c r="A298" s="1">
        <v>43651</v>
      </c>
      <c r="B298">
        <v>38.06</v>
      </c>
      <c r="C298">
        <v>37322000</v>
      </c>
      <c r="D298">
        <v>0.59699999999999998</v>
      </c>
      <c r="E298">
        <v>54</v>
      </c>
      <c r="F298">
        <v>3.48</v>
      </c>
      <c r="G298">
        <v>0.32279999999999998</v>
      </c>
      <c r="H298">
        <v>2</v>
      </c>
      <c r="I298">
        <v>7.25</v>
      </c>
      <c r="J298">
        <v>1</v>
      </c>
      <c r="K298">
        <f>YEAR(NetflixData[[#This Row],[date]])</f>
        <v>2019</v>
      </c>
      <c r="L298" t="str">
        <f>TEXT(NetflixData[[#This Row],[date]],"mmm")</f>
        <v>Jul</v>
      </c>
      <c r="M298" t="str">
        <f>TEXT(NetflixData[[#This Row],[date]],"mmm yyyy")</f>
        <v>Jul 2019</v>
      </c>
      <c r="N298" t="str">
        <f t="shared" si="12"/>
        <v>Non-Trading Day</v>
      </c>
      <c r="O298" t="str">
        <f t="shared" si="13"/>
        <v>Positive</v>
      </c>
      <c r="P298" t="str">
        <f t="shared" si="14"/>
        <v>Positive</v>
      </c>
    </row>
    <row r="299" spans="1:16" x14ac:dyDescent="0.3">
      <c r="A299" s="1">
        <v>43652</v>
      </c>
      <c r="B299">
        <v>38.06</v>
      </c>
      <c r="C299">
        <v>0</v>
      </c>
      <c r="D299">
        <v>0</v>
      </c>
      <c r="E299">
        <v>47</v>
      </c>
      <c r="F299">
        <v>3.57</v>
      </c>
      <c r="G299">
        <v>0.36209999999999998</v>
      </c>
      <c r="H299">
        <v>2</v>
      </c>
      <c r="I299">
        <v>6.5</v>
      </c>
      <c r="J299">
        <v>0</v>
      </c>
      <c r="K299">
        <f>YEAR(NetflixData[[#This Row],[date]])</f>
        <v>2019</v>
      </c>
      <c r="L299" t="str">
        <f>TEXT(NetflixData[[#This Row],[date]],"mmm")</f>
        <v>Jul</v>
      </c>
      <c r="M299" t="str">
        <f>TEXT(NetflixData[[#This Row],[date]],"mmm yyyy")</f>
        <v>Jul 2019</v>
      </c>
      <c r="N299" t="str">
        <f t="shared" si="12"/>
        <v>Non-Trading Day</v>
      </c>
      <c r="O299" t="str">
        <f t="shared" si="13"/>
        <v>No Change</v>
      </c>
      <c r="P299" t="str">
        <f t="shared" si="14"/>
        <v>Positive</v>
      </c>
    </row>
    <row r="300" spans="1:16" x14ac:dyDescent="0.3">
      <c r="A300" s="1">
        <v>43653</v>
      </c>
      <c r="B300">
        <v>38.06</v>
      </c>
      <c r="C300">
        <v>0</v>
      </c>
      <c r="D300">
        <v>0</v>
      </c>
      <c r="E300">
        <v>53</v>
      </c>
      <c r="F300">
        <v>3.06</v>
      </c>
      <c r="G300">
        <v>0.32990000000000003</v>
      </c>
      <c r="H300">
        <v>1</v>
      </c>
      <c r="I300">
        <v>6.4</v>
      </c>
      <c r="J300">
        <v>0</v>
      </c>
      <c r="K300">
        <f>YEAR(NetflixData[[#This Row],[date]])</f>
        <v>2019</v>
      </c>
      <c r="L300" t="str">
        <f>TEXT(NetflixData[[#This Row],[date]],"mmm")</f>
        <v>Jul</v>
      </c>
      <c r="M300" t="str">
        <f>TEXT(NetflixData[[#This Row],[date]],"mmm yyyy")</f>
        <v>Jul 2019</v>
      </c>
      <c r="N300" t="str">
        <f t="shared" si="12"/>
        <v>Trading Day</v>
      </c>
      <c r="O300" t="str">
        <f t="shared" si="13"/>
        <v>No Change</v>
      </c>
      <c r="P300" t="str">
        <f t="shared" si="14"/>
        <v>Positive</v>
      </c>
    </row>
    <row r="301" spans="1:16" x14ac:dyDescent="0.3">
      <c r="A301" s="1">
        <v>43654</v>
      </c>
      <c r="B301">
        <v>37.619999999999997</v>
      </c>
      <c r="C301">
        <v>31134000</v>
      </c>
      <c r="D301">
        <v>-0.53700000000000003</v>
      </c>
      <c r="E301">
        <v>46</v>
      </c>
      <c r="F301">
        <v>3.2</v>
      </c>
      <c r="G301">
        <v>0.24590000000000001</v>
      </c>
      <c r="H301">
        <v>1</v>
      </c>
      <c r="J301">
        <v>1</v>
      </c>
      <c r="K301">
        <f>YEAR(NetflixData[[#This Row],[date]])</f>
        <v>2019</v>
      </c>
      <c r="L301" t="str">
        <f>TEXT(NetflixData[[#This Row],[date]],"mmm")</f>
        <v>Jul</v>
      </c>
      <c r="M301" t="str">
        <f>TEXT(NetflixData[[#This Row],[date]],"mmm yyyy")</f>
        <v>Jul 2019</v>
      </c>
      <c r="N301" t="str">
        <f t="shared" si="12"/>
        <v>Trading Day</v>
      </c>
      <c r="O301" t="str">
        <f t="shared" si="13"/>
        <v>Negative</v>
      </c>
      <c r="P301" t="str">
        <f t="shared" si="14"/>
        <v>Positive</v>
      </c>
    </row>
    <row r="302" spans="1:16" x14ac:dyDescent="0.3">
      <c r="A302" s="1">
        <v>43655</v>
      </c>
      <c r="B302">
        <v>37.99</v>
      </c>
      <c r="C302">
        <v>69328000</v>
      </c>
      <c r="D302">
        <v>0.23</v>
      </c>
      <c r="E302">
        <v>34</v>
      </c>
      <c r="F302">
        <v>3.29</v>
      </c>
      <c r="G302">
        <v>0.26800000000000002</v>
      </c>
      <c r="H302">
        <v>2</v>
      </c>
      <c r="I302">
        <v>6.6</v>
      </c>
      <c r="J302">
        <v>1</v>
      </c>
      <c r="K302">
        <f>YEAR(NetflixData[[#This Row],[date]])</f>
        <v>2019</v>
      </c>
      <c r="L302" t="str">
        <f>TEXT(NetflixData[[#This Row],[date]],"mmm")</f>
        <v>Jul</v>
      </c>
      <c r="M302" t="str">
        <f>TEXT(NetflixData[[#This Row],[date]],"mmm yyyy")</f>
        <v>Jul 2019</v>
      </c>
      <c r="N302" t="str">
        <f t="shared" si="12"/>
        <v>Trading Day</v>
      </c>
      <c r="O302" t="str">
        <f t="shared" si="13"/>
        <v>Positive</v>
      </c>
      <c r="P302" t="str">
        <f t="shared" si="14"/>
        <v>Positive</v>
      </c>
    </row>
    <row r="303" spans="1:16" x14ac:dyDescent="0.3">
      <c r="A303" s="1">
        <v>43656</v>
      </c>
      <c r="B303">
        <v>38.1</v>
      </c>
      <c r="C303">
        <v>58788000</v>
      </c>
      <c r="D303">
        <v>-0.46200000000000002</v>
      </c>
      <c r="E303">
        <v>39</v>
      </c>
      <c r="F303">
        <v>3.1</v>
      </c>
      <c r="G303">
        <v>0.32779999999999998</v>
      </c>
      <c r="H303">
        <v>0</v>
      </c>
      <c r="J303">
        <v>1</v>
      </c>
      <c r="K303">
        <f>YEAR(NetflixData[[#This Row],[date]])</f>
        <v>2019</v>
      </c>
      <c r="L303" t="str">
        <f>TEXT(NetflixData[[#This Row],[date]],"mmm")</f>
        <v>Jul</v>
      </c>
      <c r="M303" t="str">
        <f>TEXT(NetflixData[[#This Row],[date]],"mmm yyyy")</f>
        <v>Jul 2019</v>
      </c>
      <c r="N303" t="str">
        <f t="shared" si="12"/>
        <v>Trading Day</v>
      </c>
      <c r="O303" t="str">
        <f t="shared" si="13"/>
        <v>Negative</v>
      </c>
      <c r="P303" t="str">
        <f t="shared" si="14"/>
        <v>Positive</v>
      </c>
    </row>
    <row r="304" spans="1:16" x14ac:dyDescent="0.3">
      <c r="A304" s="1">
        <v>43657</v>
      </c>
      <c r="B304">
        <v>37.950000000000003</v>
      </c>
      <c r="C304">
        <v>43363000</v>
      </c>
      <c r="D304">
        <v>-0.42</v>
      </c>
      <c r="E304">
        <v>47</v>
      </c>
      <c r="F304">
        <v>2.85</v>
      </c>
      <c r="G304">
        <v>0.24260000000000001</v>
      </c>
      <c r="H304">
        <v>3</v>
      </c>
      <c r="I304">
        <v>6.8</v>
      </c>
      <c r="J304">
        <v>1</v>
      </c>
      <c r="K304">
        <f>YEAR(NetflixData[[#This Row],[date]])</f>
        <v>2019</v>
      </c>
      <c r="L304" t="str">
        <f>TEXT(NetflixData[[#This Row],[date]],"mmm")</f>
        <v>Jul</v>
      </c>
      <c r="M304" t="str">
        <f>TEXT(NetflixData[[#This Row],[date]],"mmm yyyy")</f>
        <v>Jul 2019</v>
      </c>
      <c r="N304" t="str">
        <f t="shared" si="12"/>
        <v>Trading Day</v>
      </c>
      <c r="O304" t="str">
        <f t="shared" si="13"/>
        <v>Negative</v>
      </c>
      <c r="P304" t="str">
        <f t="shared" si="14"/>
        <v>Positive</v>
      </c>
    </row>
    <row r="305" spans="1:16" x14ac:dyDescent="0.3">
      <c r="A305" s="1">
        <v>43658</v>
      </c>
      <c r="B305">
        <v>37.33</v>
      </c>
      <c r="C305">
        <v>66369000</v>
      </c>
      <c r="D305">
        <v>-1.4339999999999999</v>
      </c>
      <c r="E305">
        <v>36</v>
      </c>
      <c r="F305">
        <v>3.25</v>
      </c>
      <c r="G305">
        <v>0.29859999999999998</v>
      </c>
      <c r="H305">
        <v>22</v>
      </c>
      <c r="I305">
        <v>6.61</v>
      </c>
      <c r="J305">
        <v>1</v>
      </c>
      <c r="K305">
        <f>YEAR(NetflixData[[#This Row],[date]])</f>
        <v>2019</v>
      </c>
      <c r="L305" t="str">
        <f>TEXT(NetflixData[[#This Row],[date]],"mmm")</f>
        <v>Jul</v>
      </c>
      <c r="M305" t="str">
        <f>TEXT(NetflixData[[#This Row],[date]],"mmm yyyy")</f>
        <v>Jul 2019</v>
      </c>
      <c r="N305" t="str">
        <f t="shared" si="12"/>
        <v>Non-Trading Day</v>
      </c>
      <c r="O305" t="str">
        <f t="shared" si="13"/>
        <v>Negative</v>
      </c>
      <c r="P305" t="str">
        <f t="shared" si="14"/>
        <v>Positive</v>
      </c>
    </row>
    <row r="306" spans="1:16" x14ac:dyDescent="0.3">
      <c r="A306" s="1">
        <v>43659</v>
      </c>
      <c r="B306">
        <v>37.33</v>
      </c>
      <c r="C306">
        <v>0</v>
      </c>
      <c r="D306">
        <v>0</v>
      </c>
      <c r="E306">
        <v>43</v>
      </c>
      <c r="F306">
        <v>2.86</v>
      </c>
      <c r="G306">
        <v>0.33729999999999999</v>
      </c>
      <c r="H306">
        <v>1</v>
      </c>
      <c r="J306">
        <v>0</v>
      </c>
      <c r="K306">
        <f>YEAR(NetflixData[[#This Row],[date]])</f>
        <v>2019</v>
      </c>
      <c r="L306" t="str">
        <f>TEXT(NetflixData[[#This Row],[date]],"mmm")</f>
        <v>Jul</v>
      </c>
      <c r="M306" t="str">
        <f>TEXT(NetflixData[[#This Row],[date]],"mmm yyyy")</f>
        <v>Jul 2019</v>
      </c>
      <c r="N306" t="str">
        <f t="shared" si="12"/>
        <v>Non-Trading Day</v>
      </c>
      <c r="O306" t="str">
        <f t="shared" si="13"/>
        <v>No Change</v>
      </c>
      <c r="P306" t="str">
        <f t="shared" si="14"/>
        <v>Positive</v>
      </c>
    </row>
    <row r="307" spans="1:16" x14ac:dyDescent="0.3">
      <c r="A307" s="1">
        <v>43660</v>
      </c>
      <c r="B307">
        <v>37.33</v>
      </c>
      <c r="C307">
        <v>0</v>
      </c>
      <c r="D307">
        <v>0</v>
      </c>
      <c r="E307">
        <v>50</v>
      </c>
      <c r="F307">
        <v>3.28</v>
      </c>
      <c r="G307">
        <v>0.33600000000000002</v>
      </c>
      <c r="H307">
        <v>0</v>
      </c>
      <c r="J307">
        <v>0</v>
      </c>
      <c r="K307">
        <f>YEAR(NetflixData[[#This Row],[date]])</f>
        <v>2019</v>
      </c>
      <c r="L307" t="str">
        <f>TEXT(NetflixData[[#This Row],[date]],"mmm")</f>
        <v>Jul</v>
      </c>
      <c r="M307" t="str">
        <f>TEXT(NetflixData[[#This Row],[date]],"mmm yyyy")</f>
        <v>Jul 2019</v>
      </c>
      <c r="N307" t="str">
        <f t="shared" si="12"/>
        <v>Trading Day</v>
      </c>
      <c r="O307" t="str">
        <f t="shared" si="13"/>
        <v>No Change</v>
      </c>
      <c r="P307" t="str">
        <f t="shared" si="14"/>
        <v>Positive</v>
      </c>
    </row>
    <row r="308" spans="1:16" x14ac:dyDescent="0.3">
      <c r="A308" s="1">
        <v>43661</v>
      </c>
      <c r="B308">
        <v>36.659999999999997</v>
      </c>
      <c r="C308">
        <v>79447000</v>
      </c>
      <c r="D308">
        <v>-1.7</v>
      </c>
      <c r="E308">
        <v>48</v>
      </c>
      <c r="F308">
        <v>3.19</v>
      </c>
      <c r="G308">
        <v>0.2797</v>
      </c>
      <c r="H308">
        <v>5</v>
      </c>
      <c r="I308">
        <v>6.8</v>
      </c>
      <c r="J308">
        <v>1</v>
      </c>
      <c r="K308">
        <f>YEAR(NetflixData[[#This Row],[date]])</f>
        <v>2019</v>
      </c>
      <c r="L308" t="str">
        <f>TEXT(NetflixData[[#This Row],[date]],"mmm")</f>
        <v>Jul</v>
      </c>
      <c r="M308" t="str">
        <f>TEXT(NetflixData[[#This Row],[date]],"mmm yyyy")</f>
        <v>Jul 2019</v>
      </c>
      <c r="N308" t="str">
        <f t="shared" si="12"/>
        <v>Trading Day</v>
      </c>
      <c r="O308" t="str">
        <f t="shared" si="13"/>
        <v>Negative</v>
      </c>
      <c r="P308" t="str">
        <f t="shared" si="14"/>
        <v>Positive</v>
      </c>
    </row>
    <row r="309" spans="1:16" x14ac:dyDescent="0.3">
      <c r="A309" s="1">
        <v>43662</v>
      </c>
      <c r="B309">
        <v>36.6</v>
      </c>
      <c r="C309">
        <v>58632000</v>
      </c>
      <c r="D309">
        <v>-1.1080000000000001</v>
      </c>
      <c r="E309">
        <v>58</v>
      </c>
      <c r="F309">
        <v>3.53</v>
      </c>
      <c r="G309">
        <v>0.36980000000000002</v>
      </c>
      <c r="H309">
        <v>7</v>
      </c>
      <c r="I309">
        <v>6.22</v>
      </c>
      <c r="J309">
        <v>1</v>
      </c>
      <c r="K309">
        <f>YEAR(NetflixData[[#This Row],[date]])</f>
        <v>2019</v>
      </c>
      <c r="L309" t="str">
        <f>TEXT(NetflixData[[#This Row],[date]],"mmm")</f>
        <v>Jul</v>
      </c>
      <c r="M309" t="str">
        <f>TEXT(NetflixData[[#This Row],[date]],"mmm yyyy")</f>
        <v>Jul 2019</v>
      </c>
      <c r="N309" t="str">
        <f t="shared" si="12"/>
        <v>Trading Day</v>
      </c>
      <c r="O309" t="str">
        <f t="shared" si="13"/>
        <v>Negative</v>
      </c>
      <c r="P309" t="str">
        <f t="shared" si="14"/>
        <v>Positive</v>
      </c>
    </row>
    <row r="310" spans="1:16" x14ac:dyDescent="0.3">
      <c r="A310" s="1">
        <v>43663</v>
      </c>
      <c r="B310">
        <v>36.24</v>
      </c>
      <c r="C310">
        <v>136395000</v>
      </c>
      <c r="D310">
        <v>-1.04</v>
      </c>
      <c r="E310">
        <v>39</v>
      </c>
      <c r="F310">
        <v>3.82</v>
      </c>
      <c r="G310">
        <v>0.31030000000000002</v>
      </c>
      <c r="H310">
        <v>3</v>
      </c>
      <c r="I310">
        <v>6.17</v>
      </c>
      <c r="J310">
        <v>1</v>
      </c>
      <c r="K310">
        <f>YEAR(NetflixData[[#This Row],[date]])</f>
        <v>2019</v>
      </c>
      <c r="L310" t="str">
        <f>TEXT(NetflixData[[#This Row],[date]],"mmm")</f>
        <v>Jul</v>
      </c>
      <c r="M310" t="str">
        <f>TEXT(NetflixData[[#This Row],[date]],"mmm yyyy")</f>
        <v>Jul 2019</v>
      </c>
      <c r="N310" t="str">
        <f t="shared" si="12"/>
        <v>Trading Day</v>
      </c>
      <c r="O310" t="str">
        <f t="shared" si="13"/>
        <v>Negative</v>
      </c>
      <c r="P310" t="str">
        <f t="shared" si="14"/>
        <v>Positive</v>
      </c>
    </row>
    <row r="311" spans="1:16" x14ac:dyDescent="0.3">
      <c r="A311" s="1">
        <v>43664</v>
      </c>
      <c r="B311">
        <v>32.520000000000003</v>
      </c>
      <c r="C311">
        <v>312871000</v>
      </c>
      <c r="D311">
        <v>0.44800000000000001</v>
      </c>
      <c r="E311">
        <v>44</v>
      </c>
      <c r="F311">
        <v>3.3</v>
      </c>
      <c r="G311">
        <v>0.2417</v>
      </c>
      <c r="H311">
        <v>3</v>
      </c>
      <c r="I311">
        <v>6.83</v>
      </c>
      <c r="J311">
        <v>1</v>
      </c>
      <c r="K311">
        <f>YEAR(NetflixData[[#This Row],[date]])</f>
        <v>2019</v>
      </c>
      <c r="L311" t="str">
        <f>TEXT(NetflixData[[#This Row],[date]],"mmm")</f>
        <v>Jul</v>
      </c>
      <c r="M311" t="str">
        <f>TEXT(NetflixData[[#This Row],[date]],"mmm yyyy")</f>
        <v>Jul 2019</v>
      </c>
      <c r="N311" t="str">
        <f t="shared" si="12"/>
        <v>Trading Day</v>
      </c>
      <c r="O311" t="str">
        <f t="shared" si="13"/>
        <v>Positive</v>
      </c>
      <c r="P311" t="str">
        <f t="shared" si="14"/>
        <v>Positive</v>
      </c>
    </row>
    <row r="312" spans="1:16" x14ac:dyDescent="0.3">
      <c r="A312" s="1">
        <v>43665</v>
      </c>
      <c r="B312">
        <v>31.51</v>
      </c>
      <c r="C312">
        <v>163025000</v>
      </c>
      <c r="D312">
        <v>-2.5659999999999998</v>
      </c>
      <c r="E312">
        <v>49</v>
      </c>
      <c r="F312">
        <v>3.35</v>
      </c>
      <c r="G312">
        <v>0.19359999999999999</v>
      </c>
      <c r="H312">
        <v>5</v>
      </c>
      <c r="I312">
        <v>5.73</v>
      </c>
      <c r="J312">
        <v>1</v>
      </c>
      <c r="K312">
        <f>YEAR(NetflixData[[#This Row],[date]])</f>
        <v>2019</v>
      </c>
      <c r="L312" t="str">
        <f>TEXT(NetflixData[[#This Row],[date]],"mmm")</f>
        <v>Jul</v>
      </c>
      <c r="M312" t="str">
        <f>TEXT(NetflixData[[#This Row],[date]],"mmm yyyy")</f>
        <v>Jul 2019</v>
      </c>
      <c r="N312" t="str">
        <f t="shared" si="12"/>
        <v>Non-Trading Day</v>
      </c>
      <c r="O312" t="str">
        <f t="shared" si="13"/>
        <v>Negative</v>
      </c>
      <c r="P312" t="str">
        <f t="shared" si="14"/>
        <v>Positive</v>
      </c>
    </row>
    <row r="313" spans="1:16" x14ac:dyDescent="0.3">
      <c r="A313" s="1">
        <v>43666</v>
      </c>
      <c r="B313">
        <v>31.51</v>
      </c>
      <c r="C313">
        <v>0</v>
      </c>
      <c r="D313">
        <v>0</v>
      </c>
      <c r="E313">
        <v>49</v>
      </c>
      <c r="F313">
        <v>2.9</v>
      </c>
      <c r="G313">
        <v>0.20480000000000001</v>
      </c>
      <c r="H313">
        <v>2</v>
      </c>
      <c r="I313">
        <v>4.3</v>
      </c>
      <c r="J313">
        <v>0</v>
      </c>
      <c r="K313">
        <f>YEAR(NetflixData[[#This Row],[date]])</f>
        <v>2019</v>
      </c>
      <c r="L313" t="str">
        <f>TEXT(NetflixData[[#This Row],[date]],"mmm")</f>
        <v>Jul</v>
      </c>
      <c r="M313" t="str">
        <f>TEXT(NetflixData[[#This Row],[date]],"mmm yyyy")</f>
        <v>Jul 2019</v>
      </c>
      <c r="N313" t="str">
        <f t="shared" si="12"/>
        <v>Non-Trading Day</v>
      </c>
      <c r="O313" t="str">
        <f t="shared" si="13"/>
        <v>No Change</v>
      </c>
      <c r="P313" t="str">
        <f t="shared" si="14"/>
        <v>Positive</v>
      </c>
    </row>
    <row r="314" spans="1:16" x14ac:dyDescent="0.3">
      <c r="A314" s="1">
        <v>43667</v>
      </c>
      <c r="B314">
        <v>31.51</v>
      </c>
      <c r="C314">
        <v>0</v>
      </c>
      <c r="D314">
        <v>0</v>
      </c>
      <c r="E314">
        <v>53</v>
      </c>
      <c r="F314">
        <v>2.87</v>
      </c>
      <c r="G314">
        <v>0.1774</v>
      </c>
      <c r="H314">
        <v>8</v>
      </c>
      <c r="I314">
        <v>5.18</v>
      </c>
      <c r="J314">
        <v>0</v>
      </c>
      <c r="K314">
        <f>YEAR(NetflixData[[#This Row],[date]])</f>
        <v>2019</v>
      </c>
      <c r="L314" t="str">
        <f>TEXT(NetflixData[[#This Row],[date]],"mmm")</f>
        <v>Jul</v>
      </c>
      <c r="M314" t="str">
        <f>TEXT(NetflixData[[#This Row],[date]],"mmm yyyy")</f>
        <v>Jul 2019</v>
      </c>
      <c r="N314" t="str">
        <f t="shared" si="12"/>
        <v>Trading Day</v>
      </c>
      <c r="O314" t="str">
        <f t="shared" si="13"/>
        <v>No Change</v>
      </c>
      <c r="P314" t="str">
        <f t="shared" si="14"/>
        <v>Positive</v>
      </c>
    </row>
    <row r="315" spans="1:16" x14ac:dyDescent="0.3">
      <c r="A315" s="1">
        <v>43668</v>
      </c>
      <c r="B315">
        <v>31.06</v>
      </c>
      <c r="C315">
        <v>177180000</v>
      </c>
      <c r="D315">
        <v>-0.442</v>
      </c>
      <c r="E315">
        <v>52</v>
      </c>
      <c r="F315">
        <v>3.58</v>
      </c>
      <c r="G315">
        <v>0.38540000000000002</v>
      </c>
      <c r="H315">
        <v>4</v>
      </c>
      <c r="I315">
        <v>6.5</v>
      </c>
      <c r="J315">
        <v>1</v>
      </c>
      <c r="K315">
        <f>YEAR(NetflixData[[#This Row],[date]])</f>
        <v>2019</v>
      </c>
      <c r="L315" t="str">
        <f>TEXT(NetflixData[[#This Row],[date]],"mmm")</f>
        <v>Jul</v>
      </c>
      <c r="M315" t="str">
        <f>TEXT(NetflixData[[#This Row],[date]],"mmm yyyy")</f>
        <v>Jul 2019</v>
      </c>
      <c r="N315" t="str">
        <f t="shared" si="12"/>
        <v>Trading Day</v>
      </c>
      <c r="O315" t="str">
        <f t="shared" si="13"/>
        <v>Negative</v>
      </c>
      <c r="P315" t="str">
        <f t="shared" si="14"/>
        <v>Positive</v>
      </c>
    </row>
    <row r="316" spans="1:16" x14ac:dyDescent="0.3">
      <c r="A316" s="1">
        <v>43669</v>
      </c>
      <c r="B316">
        <v>30.73</v>
      </c>
      <c r="C316">
        <v>91711000</v>
      </c>
      <c r="D316">
        <v>-1.329</v>
      </c>
      <c r="E316">
        <v>40</v>
      </c>
      <c r="F316">
        <v>2.8</v>
      </c>
      <c r="G316">
        <v>0.28520000000000001</v>
      </c>
      <c r="H316">
        <v>2</v>
      </c>
      <c r="I316">
        <v>4.5</v>
      </c>
      <c r="J316">
        <v>1</v>
      </c>
      <c r="K316">
        <f>YEAR(NetflixData[[#This Row],[date]])</f>
        <v>2019</v>
      </c>
      <c r="L316" t="str">
        <f>TEXT(NetflixData[[#This Row],[date]],"mmm")</f>
        <v>Jul</v>
      </c>
      <c r="M316" t="str">
        <f>TEXT(NetflixData[[#This Row],[date]],"mmm yyyy")</f>
        <v>Jul 2019</v>
      </c>
      <c r="N316" t="str">
        <f t="shared" si="12"/>
        <v>Trading Day</v>
      </c>
      <c r="O316" t="str">
        <f t="shared" si="13"/>
        <v>Negative</v>
      </c>
      <c r="P316" t="str">
        <f t="shared" si="14"/>
        <v>Positive</v>
      </c>
    </row>
    <row r="317" spans="1:16" x14ac:dyDescent="0.3">
      <c r="A317" s="1">
        <v>43670</v>
      </c>
      <c r="B317">
        <v>31.79</v>
      </c>
      <c r="C317">
        <v>119618000</v>
      </c>
      <c r="D317">
        <v>2.3929999999999998</v>
      </c>
      <c r="E317">
        <v>50</v>
      </c>
      <c r="F317">
        <v>3.28</v>
      </c>
      <c r="G317">
        <v>0.27060000000000001</v>
      </c>
      <c r="H317">
        <v>1</v>
      </c>
      <c r="I317">
        <v>7</v>
      </c>
      <c r="J317">
        <v>1</v>
      </c>
      <c r="K317">
        <f>YEAR(NetflixData[[#This Row],[date]])</f>
        <v>2019</v>
      </c>
      <c r="L317" t="str">
        <f>TEXT(NetflixData[[#This Row],[date]],"mmm")</f>
        <v>Jul</v>
      </c>
      <c r="M317" t="str">
        <f>TEXT(NetflixData[[#This Row],[date]],"mmm yyyy")</f>
        <v>Jul 2019</v>
      </c>
      <c r="N317" t="str">
        <f t="shared" si="12"/>
        <v>Trading Day</v>
      </c>
      <c r="O317" t="str">
        <f t="shared" si="13"/>
        <v>Positive</v>
      </c>
      <c r="P317" t="str">
        <f t="shared" si="14"/>
        <v>Positive</v>
      </c>
    </row>
    <row r="318" spans="1:16" x14ac:dyDescent="0.3">
      <c r="A318" s="1">
        <v>43671</v>
      </c>
      <c r="B318">
        <v>32.65</v>
      </c>
      <c r="C318">
        <v>107985000</v>
      </c>
      <c r="D318">
        <v>2.383</v>
      </c>
      <c r="E318">
        <v>48</v>
      </c>
      <c r="F318">
        <v>3.62</v>
      </c>
      <c r="G318">
        <v>0.4103</v>
      </c>
      <c r="H318">
        <v>1</v>
      </c>
      <c r="I318">
        <v>5.3</v>
      </c>
      <c r="J318">
        <v>1</v>
      </c>
      <c r="K318">
        <f>YEAR(NetflixData[[#This Row],[date]])</f>
        <v>2019</v>
      </c>
      <c r="L318" t="str">
        <f>TEXT(NetflixData[[#This Row],[date]],"mmm")</f>
        <v>Jul</v>
      </c>
      <c r="M318" t="str">
        <f>TEXT(NetflixData[[#This Row],[date]],"mmm yyyy")</f>
        <v>Jul 2019</v>
      </c>
      <c r="N318" t="str">
        <f t="shared" si="12"/>
        <v>Trading Day</v>
      </c>
      <c r="O318" t="str">
        <f t="shared" si="13"/>
        <v>Positive</v>
      </c>
      <c r="P318" t="str">
        <f t="shared" si="14"/>
        <v>Positive</v>
      </c>
    </row>
    <row r="319" spans="1:16" x14ac:dyDescent="0.3">
      <c r="A319" s="1">
        <v>43672</v>
      </c>
      <c r="B319">
        <v>33.58</v>
      </c>
      <c r="C319">
        <v>108475000</v>
      </c>
      <c r="D319">
        <v>2.1259999999999999</v>
      </c>
      <c r="E319">
        <v>39</v>
      </c>
      <c r="F319">
        <v>3.23</v>
      </c>
      <c r="G319">
        <v>0.36799999999999999</v>
      </c>
      <c r="H319">
        <v>14</v>
      </c>
      <c r="I319">
        <v>6.11</v>
      </c>
      <c r="J319">
        <v>1</v>
      </c>
      <c r="K319">
        <f>YEAR(NetflixData[[#This Row],[date]])</f>
        <v>2019</v>
      </c>
      <c r="L319" t="str">
        <f>TEXT(NetflixData[[#This Row],[date]],"mmm")</f>
        <v>Jul</v>
      </c>
      <c r="M319" t="str">
        <f>TEXT(NetflixData[[#This Row],[date]],"mmm yyyy")</f>
        <v>Jul 2019</v>
      </c>
      <c r="N319" t="str">
        <f t="shared" si="12"/>
        <v>Non-Trading Day</v>
      </c>
      <c r="O319" t="str">
        <f t="shared" si="13"/>
        <v>Positive</v>
      </c>
      <c r="P319" t="str">
        <f t="shared" si="14"/>
        <v>Positive</v>
      </c>
    </row>
    <row r="320" spans="1:16" x14ac:dyDescent="0.3">
      <c r="A320" s="1">
        <v>43673</v>
      </c>
      <c r="B320">
        <v>33.58</v>
      </c>
      <c r="C320">
        <v>0</v>
      </c>
      <c r="D320">
        <v>0</v>
      </c>
      <c r="E320">
        <v>54</v>
      </c>
      <c r="F320">
        <v>3</v>
      </c>
      <c r="G320">
        <v>0.16309999999999999</v>
      </c>
      <c r="H320">
        <v>0</v>
      </c>
      <c r="J320">
        <v>0</v>
      </c>
      <c r="K320">
        <f>YEAR(NetflixData[[#This Row],[date]])</f>
        <v>2019</v>
      </c>
      <c r="L320" t="str">
        <f>TEXT(NetflixData[[#This Row],[date]],"mmm")</f>
        <v>Jul</v>
      </c>
      <c r="M320" t="str">
        <f>TEXT(NetflixData[[#This Row],[date]],"mmm yyyy")</f>
        <v>Jul 2019</v>
      </c>
      <c r="N320" t="str">
        <f t="shared" si="12"/>
        <v>Non-Trading Day</v>
      </c>
      <c r="O320" t="str">
        <f t="shared" si="13"/>
        <v>No Change</v>
      </c>
      <c r="P320" t="str">
        <f t="shared" si="14"/>
        <v>Positive</v>
      </c>
    </row>
    <row r="321" spans="1:16" x14ac:dyDescent="0.3">
      <c r="A321" s="1">
        <v>43674</v>
      </c>
      <c r="B321">
        <v>33.58</v>
      </c>
      <c r="C321">
        <v>0</v>
      </c>
      <c r="D321">
        <v>0</v>
      </c>
      <c r="E321">
        <v>45</v>
      </c>
      <c r="F321">
        <v>3.51</v>
      </c>
      <c r="G321">
        <v>0.37909999999999999</v>
      </c>
      <c r="H321">
        <v>0</v>
      </c>
      <c r="J321">
        <v>0</v>
      </c>
      <c r="K321">
        <f>YEAR(NetflixData[[#This Row],[date]])</f>
        <v>2019</v>
      </c>
      <c r="L321" t="str">
        <f>TEXT(NetflixData[[#This Row],[date]],"mmm")</f>
        <v>Jul</v>
      </c>
      <c r="M321" t="str">
        <f>TEXT(NetflixData[[#This Row],[date]],"mmm yyyy")</f>
        <v>Jul 2019</v>
      </c>
      <c r="N321" t="str">
        <f t="shared" si="12"/>
        <v>Trading Day</v>
      </c>
      <c r="O321" t="str">
        <f t="shared" si="13"/>
        <v>No Change</v>
      </c>
      <c r="P321" t="str">
        <f t="shared" si="14"/>
        <v>Positive</v>
      </c>
    </row>
    <row r="322" spans="1:16" x14ac:dyDescent="0.3">
      <c r="A322" s="1">
        <v>43675</v>
      </c>
      <c r="B322">
        <v>33.270000000000003</v>
      </c>
      <c r="C322">
        <v>57828000</v>
      </c>
      <c r="D322">
        <v>-0.97599999999999998</v>
      </c>
      <c r="E322">
        <v>60</v>
      </c>
      <c r="F322">
        <v>3.13</v>
      </c>
      <c r="G322">
        <v>0.31469999999999998</v>
      </c>
      <c r="H322">
        <v>3</v>
      </c>
      <c r="I322">
        <v>6.63</v>
      </c>
      <c r="J322">
        <v>1</v>
      </c>
      <c r="K322">
        <f>YEAR(NetflixData[[#This Row],[date]])</f>
        <v>2019</v>
      </c>
      <c r="L322" t="str">
        <f>TEXT(NetflixData[[#This Row],[date]],"mmm")</f>
        <v>Jul</v>
      </c>
      <c r="M322" t="str">
        <f>TEXT(NetflixData[[#This Row],[date]],"mmm yyyy")</f>
        <v>Jul 2019</v>
      </c>
      <c r="N322" t="str">
        <f t="shared" ref="N322:N385" si="15">IF(J323=1,"Trading Day","Non-Trading Day")</f>
        <v>Trading Day</v>
      </c>
      <c r="O322" t="str">
        <f t="shared" ref="O322:O385" si="16">IF(D322&gt;0,"Positive",IF(D322&lt;0,"Negative","No Change"))</f>
        <v>Negative</v>
      </c>
      <c r="P322" t="str">
        <f t="shared" ref="P322:P385" si="17">IF(G322&gt;0.1,"Positive",IF(G322&lt;-0.1,"Negative","Neutral"))</f>
        <v>Positive</v>
      </c>
    </row>
    <row r="323" spans="1:16" x14ac:dyDescent="0.3">
      <c r="A323" s="1">
        <v>43676</v>
      </c>
      <c r="B323">
        <v>32.590000000000003</v>
      </c>
      <c r="C323">
        <v>60293000</v>
      </c>
      <c r="D323">
        <v>-0.99299999999999999</v>
      </c>
      <c r="E323">
        <v>55</v>
      </c>
      <c r="F323">
        <v>3.84</v>
      </c>
      <c r="G323">
        <v>0.34649999999999997</v>
      </c>
      <c r="H323">
        <v>4</v>
      </c>
      <c r="I323">
        <v>5.9</v>
      </c>
      <c r="J323">
        <v>1</v>
      </c>
      <c r="K323">
        <f>YEAR(NetflixData[[#This Row],[date]])</f>
        <v>2019</v>
      </c>
      <c r="L323" t="str">
        <f>TEXT(NetflixData[[#This Row],[date]],"mmm")</f>
        <v>Jul</v>
      </c>
      <c r="M323" t="str">
        <f>TEXT(NetflixData[[#This Row],[date]],"mmm yyyy")</f>
        <v>Jul 2019</v>
      </c>
      <c r="N323" t="str">
        <f t="shared" si="15"/>
        <v>Trading Day</v>
      </c>
      <c r="O323" t="str">
        <f t="shared" si="16"/>
        <v>Negative</v>
      </c>
      <c r="P323" t="str">
        <f t="shared" si="17"/>
        <v>Positive</v>
      </c>
    </row>
    <row r="324" spans="1:16" x14ac:dyDescent="0.3">
      <c r="A324" s="1">
        <v>43677</v>
      </c>
      <c r="B324">
        <v>32.299999999999997</v>
      </c>
      <c r="C324">
        <v>62595000</v>
      </c>
      <c r="D324">
        <v>-0.66700000000000004</v>
      </c>
      <c r="E324">
        <v>52</v>
      </c>
      <c r="F324">
        <v>3.83</v>
      </c>
      <c r="G324">
        <v>0.3634</v>
      </c>
      <c r="H324">
        <v>4</v>
      </c>
      <c r="I324">
        <v>6.7</v>
      </c>
      <c r="J324">
        <v>1</v>
      </c>
      <c r="K324">
        <f>YEAR(NetflixData[[#This Row],[date]])</f>
        <v>2019</v>
      </c>
      <c r="L324" t="str">
        <f>TEXT(NetflixData[[#This Row],[date]],"mmm")</f>
        <v>Jul</v>
      </c>
      <c r="M324" t="str">
        <f>TEXT(NetflixData[[#This Row],[date]],"mmm yyyy")</f>
        <v>Jul 2019</v>
      </c>
      <c r="N324" t="str">
        <f t="shared" si="15"/>
        <v>Trading Day</v>
      </c>
      <c r="O324" t="str">
        <f t="shared" si="16"/>
        <v>Negative</v>
      </c>
      <c r="P324" t="str">
        <f t="shared" si="17"/>
        <v>Positive</v>
      </c>
    </row>
    <row r="325" spans="1:16" x14ac:dyDescent="0.3">
      <c r="A325" s="1">
        <v>43678</v>
      </c>
      <c r="B325">
        <v>31.95</v>
      </c>
      <c r="C325">
        <v>65632000</v>
      </c>
      <c r="D325">
        <v>-1.4650000000000001</v>
      </c>
      <c r="E325">
        <v>57</v>
      </c>
      <c r="F325">
        <v>2.89</v>
      </c>
      <c r="G325">
        <v>0.23930000000000001</v>
      </c>
      <c r="H325">
        <v>33</v>
      </c>
      <c r="I325">
        <v>6.63</v>
      </c>
      <c r="J325">
        <v>1</v>
      </c>
      <c r="K325">
        <f>YEAR(NetflixData[[#This Row],[date]])</f>
        <v>2019</v>
      </c>
      <c r="L325" t="str">
        <f>TEXT(NetflixData[[#This Row],[date]],"mmm")</f>
        <v>Aug</v>
      </c>
      <c r="M325" t="str">
        <f>TEXT(NetflixData[[#This Row],[date]],"mmm yyyy")</f>
        <v>Aug 2019</v>
      </c>
      <c r="N325" t="str">
        <f t="shared" si="15"/>
        <v>Trading Day</v>
      </c>
      <c r="O325" t="str">
        <f t="shared" si="16"/>
        <v>Negative</v>
      </c>
      <c r="P325" t="str">
        <f t="shared" si="17"/>
        <v>Positive</v>
      </c>
    </row>
    <row r="326" spans="1:16" x14ac:dyDescent="0.3">
      <c r="A326" s="1">
        <v>43679</v>
      </c>
      <c r="B326">
        <v>31.88</v>
      </c>
      <c r="C326">
        <v>62803000</v>
      </c>
      <c r="D326">
        <v>0.42199999999999999</v>
      </c>
      <c r="E326">
        <v>45</v>
      </c>
      <c r="F326">
        <v>3.2</v>
      </c>
      <c r="G326">
        <v>0.17530000000000001</v>
      </c>
      <c r="H326">
        <v>10</v>
      </c>
      <c r="I326">
        <v>6.8</v>
      </c>
      <c r="J326">
        <v>1</v>
      </c>
      <c r="K326">
        <f>YEAR(NetflixData[[#This Row],[date]])</f>
        <v>2019</v>
      </c>
      <c r="L326" t="str">
        <f>TEXT(NetflixData[[#This Row],[date]],"mmm")</f>
        <v>Aug</v>
      </c>
      <c r="M326" t="str">
        <f>TEXT(NetflixData[[#This Row],[date]],"mmm yyyy")</f>
        <v>Aug 2019</v>
      </c>
      <c r="N326" t="str">
        <f t="shared" si="15"/>
        <v>Non-Trading Day</v>
      </c>
      <c r="O326" t="str">
        <f t="shared" si="16"/>
        <v>Positive</v>
      </c>
      <c r="P326" t="str">
        <f t="shared" si="17"/>
        <v>Positive</v>
      </c>
    </row>
    <row r="327" spans="1:16" x14ac:dyDescent="0.3">
      <c r="A327" s="1">
        <v>43680</v>
      </c>
      <c r="B327">
        <v>31.88</v>
      </c>
      <c r="C327">
        <v>0</v>
      </c>
      <c r="D327">
        <v>0</v>
      </c>
      <c r="E327">
        <v>62</v>
      </c>
      <c r="F327">
        <v>3.1</v>
      </c>
      <c r="G327">
        <v>0.31169999999999998</v>
      </c>
      <c r="H327">
        <v>1</v>
      </c>
      <c r="I327">
        <v>4.4000000000000004</v>
      </c>
      <c r="J327">
        <v>0</v>
      </c>
      <c r="K327">
        <f>YEAR(NetflixData[[#This Row],[date]])</f>
        <v>2019</v>
      </c>
      <c r="L327" t="str">
        <f>TEXT(NetflixData[[#This Row],[date]],"mmm")</f>
        <v>Aug</v>
      </c>
      <c r="M327" t="str">
        <f>TEXT(NetflixData[[#This Row],[date]],"mmm yyyy")</f>
        <v>Aug 2019</v>
      </c>
      <c r="N327" t="str">
        <f t="shared" si="15"/>
        <v>Non-Trading Day</v>
      </c>
      <c r="O327" t="str">
        <f t="shared" si="16"/>
        <v>No Change</v>
      </c>
      <c r="P327" t="str">
        <f t="shared" si="17"/>
        <v>Positive</v>
      </c>
    </row>
    <row r="328" spans="1:16" x14ac:dyDescent="0.3">
      <c r="A328" s="1">
        <v>43681</v>
      </c>
      <c r="B328">
        <v>31.88</v>
      </c>
      <c r="C328">
        <v>0</v>
      </c>
      <c r="D328">
        <v>0</v>
      </c>
      <c r="E328">
        <v>52</v>
      </c>
      <c r="F328">
        <v>3.1</v>
      </c>
      <c r="G328">
        <v>0.31169999999999998</v>
      </c>
      <c r="H328">
        <v>0</v>
      </c>
      <c r="J328">
        <v>0</v>
      </c>
      <c r="K328">
        <f>YEAR(NetflixData[[#This Row],[date]])</f>
        <v>2019</v>
      </c>
      <c r="L328" t="str">
        <f>TEXT(NetflixData[[#This Row],[date]],"mmm")</f>
        <v>Aug</v>
      </c>
      <c r="M328" t="str">
        <f>TEXT(NetflixData[[#This Row],[date]],"mmm yyyy")</f>
        <v>Aug 2019</v>
      </c>
      <c r="N328" t="str">
        <f t="shared" si="15"/>
        <v>Trading Day</v>
      </c>
      <c r="O328" t="str">
        <f t="shared" si="16"/>
        <v>No Change</v>
      </c>
      <c r="P328" t="str">
        <f t="shared" si="17"/>
        <v>Positive</v>
      </c>
    </row>
    <row r="329" spans="1:16" x14ac:dyDescent="0.3">
      <c r="A329" s="1">
        <v>43682</v>
      </c>
      <c r="B329">
        <v>30.76</v>
      </c>
      <c r="C329">
        <v>86925000</v>
      </c>
      <c r="D329">
        <v>-1.071</v>
      </c>
      <c r="E329">
        <v>59</v>
      </c>
      <c r="F329">
        <v>3.29</v>
      </c>
      <c r="G329">
        <v>0.3246</v>
      </c>
      <c r="H329">
        <v>5</v>
      </c>
      <c r="I329">
        <v>4.74</v>
      </c>
      <c r="J329">
        <v>1</v>
      </c>
      <c r="K329">
        <f>YEAR(NetflixData[[#This Row],[date]])</f>
        <v>2019</v>
      </c>
      <c r="L329" t="str">
        <f>TEXT(NetflixData[[#This Row],[date]],"mmm")</f>
        <v>Aug</v>
      </c>
      <c r="M329" t="str">
        <f>TEXT(NetflixData[[#This Row],[date]],"mmm yyyy")</f>
        <v>Aug 2019</v>
      </c>
      <c r="N329" t="str">
        <f t="shared" si="15"/>
        <v>Trading Day</v>
      </c>
      <c r="O329" t="str">
        <f t="shared" si="16"/>
        <v>Negative</v>
      </c>
      <c r="P329" t="str">
        <f t="shared" si="17"/>
        <v>Positive</v>
      </c>
    </row>
    <row r="330" spans="1:16" x14ac:dyDescent="0.3">
      <c r="A330" s="1">
        <v>43683</v>
      </c>
      <c r="B330">
        <v>31.01</v>
      </c>
      <c r="C330">
        <v>61791000</v>
      </c>
      <c r="D330">
        <v>-0.155</v>
      </c>
      <c r="E330">
        <v>60</v>
      </c>
      <c r="F330">
        <v>3.63</v>
      </c>
      <c r="G330">
        <v>0.37619999999999998</v>
      </c>
      <c r="H330">
        <v>6</v>
      </c>
      <c r="I330">
        <v>5.93</v>
      </c>
      <c r="J330">
        <v>1</v>
      </c>
      <c r="K330">
        <f>YEAR(NetflixData[[#This Row],[date]])</f>
        <v>2019</v>
      </c>
      <c r="L330" t="str">
        <f>TEXT(NetflixData[[#This Row],[date]],"mmm")</f>
        <v>Aug</v>
      </c>
      <c r="M330" t="str">
        <f>TEXT(NetflixData[[#This Row],[date]],"mmm yyyy")</f>
        <v>Aug 2019</v>
      </c>
      <c r="N330" t="str">
        <f t="shared" si="15"/>
        <v>Trading Day</v>
      </c>
      <c r="O330" t="str">
        <f t="shared" si="16"/>
        <v>Negative</v>
      </c>
      <c r="P330" t="str">
        <f t="shared" si="17"/>
        <v>Positive</v>
      </c>
    </row>
    <row r="331" spans="1:16" x14ac:dyDescent="0.3">
      <c r="A331" s="1">
        <v>43684</v>
      </c>
      <c r="B331">
        <v>30.43</v>
      </c>
      <c r="C331">
        <v>93224000</v>
      </c>
      <c r="D331">
        <v>0.57199999999999995</v>
      </c>
      <c r="E331">
        <v>55</v>
      </c>
      <c r="F331">
        <v>3.55</v>
      </c>
      <c r="G331">
        <v>0.3795</v>
      </c>
      <c r="H331">
        <v>3</v>
      </c>
      <c r="I331">
        <v>7</v>
      </c>
      <c r="J331">
        <v>1</v>
      </c>
      <c r="K331">
        <f>YEAR(NetflixData[[#This Row],[date]])</f>
        <v>2019</v>
      </c>
      <c r="L331" t="str">
        <f>TEXT(NetflixData[[#This Row],[date]],"mmm")</f>
        <v>Aug</v>
      </c>
      <c r="M331" t="str">
        <f>TEXT(NetflixData[[#This Row],[date]],"mmm yyyy")</f>
        <v>Aug 2019</v>
      </c>
      <c r="N331" t="str">
        <f t="shared" si="15"/>
        <v>Trading Day</v>
      </c>
      <c r="O331" t="str">
        <f t="shared" si="16"/>
        <v>Positive</v>
      </c>
      <c r="P331" t="str">
        <f t="shared" si="17"/>
        <v>Positive</v>
      </c>
    </row>
    <row r="332" spans="1:16" x14ac:dyDescent="0.3">
      <c r="A332" s="1">
        <v>43685</v>
      </c>
      <c r="B332">
        <v>31.59</v>
      </c>
      <c r="C332">
        <v>59059000</v>
      </c>
      <c r="D332">
        <v>1.5660000000000001</v>
      </c>
      <c r="E332">
        <v>51</v>
      </c>
      <c r="F332">
        <v>3.12</v>
      </c>
      <c r="G332">
        <v>0.36580000000000001</v>
      </c>
      <c r="H332">
        <v>14</v>
      </c>
      <c r="I332">
        <v>7.02</v>
      </c>
      <c r="J332">
        <v>1</v>
      </c>
      <c r="K332">
        <f>YEAR(NetflixData[[#This Row],[date]])</f>
        <v>2019</v>
      </c>
      <c r="L332" t="str">
        <f>TEXT(NetflixData[[#This Row],[date]],"mmm")</f>
        <v>Aug</v>
      </c>
      <c r="M332" t="str">
        <f>TEXT(NetflixData[[#This Row],[date]],"mmm yyyy")</f>
        <v>Aug 2019</v>
      </c>
      <c r="N332" t="str">
        <f t="shared" si="15"/>
        <v>Trading Day</v>
      </c>
      <c r="O332" t="str">
        <f t="shared" si="16"/>
        <v>Positive</v>
      </c>
      <c r="P332" t="str">
        <f t="shared" si="17"/>
        <v>Positive</v>
      </c>
    </row>
    <row r="333" spans="1:16" x14ac:dyDescent="0.3">
      <c r="A333" s="1">
        <v>43686</v>
      </c>
      <c r="B333">
        <v>30.89</v>
      </c>
      <c r="C333">
        <v>53491000</v>
      </c>
      <c r="D333">
        <v>-1.5329999999999999</v>
      </c>
      <c r="E333">
        <v>51</v>
      </c>
      <c r="F333">
        <v>3.27</v>
      </c>
      <c r="G333">
        <v>0.40079999999999999</v>
      </c>
      <c r="H333">
        <v>7</v>
      </c>
      <c r="I333">
        <v>6.95</v>
      </c>
      <c r="J333">
        <v>1</v>
      </c>
      <c r="K333">
        <f>YEAR(NetflixData[[#This Row],[date]])</f>
        <v>2019</v>
      </c>
      <c r="L333" t="str">
        <f>TEXT(NetflixData[[#This Row],[date]],"mmm")</f>
        <v>Aug</v>
      </c>
      <c r="M333" t="str">
        <f>TEXT(NetflixData[[#This Row],[date]],"mmm yyyy")</f>
        <v>Aug 2019</v>
      </c>
      <c r="N333" t="str">
        <f t="shared" si="15"/>
        <v>Non-Trading Day</v>
      </c>
      <c r="O333" t="str">
        <f t="shared" si="16"/>
        <v>Negative</v>
      </c>
      <c r="P333" t="str">
        <f t="shared" si="17"/>
        <v>Positive</v>
      </c>
    </row>
    <row r="334" spans="1:16" x14ac:dyDescent="0.3">
      <c r="A334" s="1">
        <v>43687</v>
      </c>
      <c r="B334">
        <v>30.89</v>
      </c>
      <c r="C334">
        <v>0</v>
      </c>
      <c r="D334">
        <v>0</v>
      </c>
      <c r="E334">
        <v>53</v>
      </c>
      <c r="F334">
        <v>3.43</v>
      </c>
      <c r="G334">
        <v>0.22900000000000001</v>
      </c>
      <c r="H334">
        <v>0</v>
      </c>
      <c r="J334">
        <v>0</v>
      </c>
      <c r="K334">
        <f>YEAR(NetflixData[[#This Row],[date]])</f>
        <v>2019</v>
      </c>
      <c r="L334" t="str">
        <f>TEXT(NetflixData[[#This Row],[date]],"mmm")</f>
        <v>Aug</v>
      </c>
      <c r="M334" t="str">
        <f>TEXT(NetflixData[[#This Row],[date]],"mmm yyyy")</f>
        <v>Aug 2019</v>
      </c>
      <c r="N334" t="str">
        <f t="shared" si="15"/>
        <v>Non-Trading Day</v>
      </c>
      <c r="O334" t="str">
        <f t="shared" si="16"/>
        <v>No Change</v>
      </c>
      <c r="P334" t="str">
        <f t="shared" si="17"/>
        <v>Positive</v>
      </c>
    </row>
    <row r="335" spans="1:16" x14ac:dyDescent="0.3">
      <c r="A335" s="1">
        <v>43688</v>
      </c>
      <c r="B335">
        <v>30.89</v>
      </c>
      <c r="C335">
        <v>0</v>
      </c>
      <c r="D335">
        <v>0</v>
      </c>
      <c r="E335">
        <v>51</v>
      </c>
      <c r="F335">
        <v>2.98</v>
      </c>
      <c r="G335">
        <v>0.1981</v>
      </c>
      <c r="H335">
        <v>0</v>
      </c>
      <c r="J335">
        <v>0</v>
      </c>
      <c r="K335">
        <f>YEAR(NetflixData[[#This Row],[date]])</f>
        <v>2019</v>
      </c>
      <c r="L335" t="str">
        <f>TEXT(NetflixData[[#This Row],[date]],"mmm")</f>
        <v>Aug</v>
      </c>
      <c r="M335" t="str">
        <f>TEXT(NetflixData[[#This Row],[date]],"mmm yyyy")</f>
        <v>Aug 2019</v>
      </c>
      <c r="N335" t="str">
        <f t="shared" si="15"/>
        <v>Trading Day</v>
      </c>
      <c r="O335" t="str">
        <f t="shared" si="16"/>
        <v>No Change</v>
      </c>
      <c r="P335" t="str">
        <f t="shared" si="17"/>
        <v>Positive</v>
      </c>
    </row>
    <row r="336" spans="1:16" x14ac:dyDescent="0.3">
      <c r="A336" s="1">
        <v>43689</v>
      </c>
      <c r="B336">
        <v>31.08</v>
      </c>
      <c r="C336">
        <v>65317000</v>
      </c>
      <c r="D336">
        <v>1.758</v>
      </c>
      <c r="E336">
        <v>56</v>
      </c>
      <c r="F336">
        <v>2.64</v>
      </c>
      <c r="G336">
        <v>0.21099999999999999</v>
      </c>
      <c r="H336">
        <v>1</v>
      </c>
      <c r="I336">
        <v>7.3</v>
      </c>
      <c r="J336">
        <v>1</v>
      </c>
      <c r="K336">
        <f>YEAR(NetflixData[[#This Row],[date]])</f>
        <v>2019</v>
      </c>
      <c r="L336" t="str">
        <f>TEXT(NetflixData[[#This Row],[date]],"mmm")</f>
        <v>Aug</v>
      </c>
      <c r="M336" t="str">
        <f>TEXT(NetflixData[[#This Row],[date]],"mmm yyyy")</f>
        <v>Aug 2019</v>
      </c>
      <c r="N336" t="str">
        <f t="shared" si="15"/>
        <v>Trading Day</v>
      </c>
      <c r="O336" t="str">
        <f t="shared" si="16"/>
        <v>Positive</v>
      </c>
      <c r="P336" t="str">
        <f t="shared" si="17"/>
        <v>Positive</v>
      </c>
    </row>
    <row r="337" spans="1:16" x14ac:dyDescent="0.3">
      <c r="A337" s="1">
        <v>43690</v>
      </c>
      <c r="B337">
        <v>31.23</v>
      </c>
      <c r="C337">
        <v>52894000</v>
      </c>
      <c r="D337">
        <v>0.81</v>
      </c>
      <c r="E337">
        <v>66</v>
      </c>
      <c r="F337">
        <v>2.8</v>
      </c>
      <c r="G337">
        <v>0.2339</v>
      </c>
      <c r="H337">
        <v>6</v>
      </c>
      <c r="I337">
        <v>5.4</v>
      </c>
      <c r="J337">
        <v>1</v>
      </c>
      <c r="K337">
        <f>YEAR(NetflixData[[#This Row],[date]])</f>
        <v>2019</v>
      </c>
      <c r="L337" t="str">
        <f>TEXT(NetflixData[[#This Row],[date]],"mmm")</f>
        <v>Aug</v>
      </c>
      <c r="M337" t="str">
        <f>TEXT(NetflixData[[#This Row],[date]],"mmm yyyy")</f>
        <v>Aug 2019</v>
      </c>
      <c r="N337" t="str">
        <f t="shared" si="15"/>
        <v>Trading Day</v>
      </c>
      <c r="O337" t="str">
        <f t="shared" si="16"/>
        <v>Positive</v>
      </c>
      <c r="P337" t="str">
        <f t="shared" si="17"/>
        <v>Positive</v>
      </c>
    </row>
    <row r="338" spans="1:16" x14ac:dyDescent="0.3">
      <c r="A338" s="1">
        <v>43691</v>
      </c>
      <c r="B338">
        <v>29.91</v>
      </c>
      <c r="C338">
        <v>73558000</v>
      </c>
      <c r="D338">
        <v>-2.89</v>
      </c>
      <c r="E338">
        <v>61</v>
      </c>
      <c r="F338">
        <v>2.87</v>
      </c>
      <c r="G338">
        <v>7.1199999999999999E-2</v>
      </c>
      <c r="H338">
        <v>2</v>
      </c>
      <c r="I338">
        <v>7.45</v>
      </c>
      <c r="J338">
        <v>1</v>
      </c>
      <c r="K338">
        <f>YEAR(NetflixData[[#This Row],[date]])</f>
        <v>2019</v>
      </c>
      <c r="L338" t="str">
        <f>TEXT(NetflixData[[#This Row],[date]],"mmm")</f>
        <v>Aug</v>
      </c>
      <c r="M338" t="str">
        <f>TEXT(NetflixData[[#This Row],[date]],"mmm yyyy")</f>
        <v>Aug 2019</v>
      </c>
      <c r="N338" t="str">
        <f t="shared" si="15"/>
        <v>Trading Day</v>
      </c>
      <c r="O338" t="str">
        <f t="shared" si="16"/>
        <v>Negative</v>
      </c>
      <c r="P338" t="str">
        <f t="shared" si="17"/>
        <v>Neutral</v>
      </c>
    </row>
    <row r="339" spans="1:16" x14ac:dyDescent="0.3">
      <c r="A339" s="1">
        <v>43692</v>
      </c>
      <c r="B339">
        <v>29.58</v>
      </c>
      <c r="C339">
        <v>96292000</v>
      </c>
      <c r="D339">
        <v>-1.2490000000000001</v>
      </c>
      <c r="E339">
        <v>70</v>
      </c>
      <c r="F339">
        <v>3.11</v>
      </c>
      <c r="G339">
        <v>0.30449999999999999</v>
      </c>
      <c r="H339">
        <v>5</v>
      </c>
      <c r="I339">
        <v>7.1</v>
      </c>
      <c r="J339">
        <v>1</v>
      </c>
      <c r="K339">
        <f>YEAR(NetflixData[[#This Row],[date]])</f>
        <v>2019</v>
      </c>
      <c r="L339" t="str">
        <f>TEXT(NetflixData[[#This Row],[date]],"mmm")</f>
        <v>Aug</v>
      </c>
      <c r="M339" t="str">
        <f>TEXT(NetflixData[[#This Row],[date]],"mmm yyyy")</f>
        <v>Aug 2019</v>
      </c>
      <c r="N339" t="str">
        <f t="shared" si="15"/>
        <v>Trading Day</v>
      </c>
      <c r="O339" t="str">
        <f t="shared" si="16"/>
        <v>Negative</v>
      </c>
      <c r="P339" t="str">
        <f t="shared" si="17"/>
        <v>Positive</v>
      </c>
    </row>
    <row r="340" spans="1:16" x14ac:dyDescent="0.3">
      <c r="A340" s="1">
        <v>43693</v>
      </c>
      <c r="B340">
        <v>30.28</v>
      </c>
      <c r="C340">
        <v>69058000</v>
      </c>
      <c r="D340">
        <v>1.3180000000000001</v>
      </c>
      <c r="E340">
        <v>50</v>
      </c>
      <c r="F340">
        <v>3.1</v>
      </c>
      <c r="G340">
        <v>0.25729999999999997</v>
      </c>
      <c r="H340">
        <v>14</v>
      </c>
      <c r="I340">
        <v>6.6</v>
      </c>
      <c r="J340">
        <v>1</v>
      </c>
      <c r="K340">
        <f>YEAR(NetflixData[[#This Row],[date]])</f>
        <v>2019</v>
      </c>
      <c r="L340" t="str">
        <f>TEXT(NetflixData[[#This Row],[date]],"mmm")</f>
        <v>Aug</v>
      </c>
      <c r="M340" t="str">
        <f>TEXT(NetflixData[[#This Row],[date]],"mmm yyyy")</f>
        <v>Aug 2019</v>
      </c>
      <c r="N340" t="str">
        <f t="shared" si="15"/>
        <v>Non-Trading Day</v>
      </c>
      <c r="O340" t="str">
        <f t="shared" si="16"/>
        <v>Positive</v>
      </c>
      <c r="P340" t="str">
        <f t="shared" si="17"/>
        <v>Positive</v>
      </c>
    </row>
    <row r="341" spans="1:16" x14ac:dyDescent="0.3">
      <c r="A341" s="1">
        <v>43694</v>
      </c>
      <c r="B341">
        <v>30.28</v>
      </c>
      <c r="C341">
        <v>0</v>
      </c>
      <c r="D341">
        <v>0</v>
      </c>
      <c r="E341">
        <v>59</v>
      </c>
      <c r="F341">
        <v>2.9</v>
      </c>
      <c r="G341">
        <v>0.1026</v>
      </c>
      <c r="H341">
        <v>0</v>
      </c>
      <c r="J341">
        <v>0</v>
      </c>
      <c r="K341">
        <f>YEAR(NetflixData[[#This Row],[date]])</f>
        <v>2019</v>
      </c>
      <c r="L341" t="str">
        <f>TEXT(NetflixData[[#This Row],[date]],"mmm")</f>
        <v>Aug</v>
      </c>
      <c r="M341" t="str">
        <f>TEXT(NetflixData[[#This Row],[date]],"mmm yyyy")</f>
        <v>Aug 2019</v>
      </c>
      <c r="N341" t="str">
        <f t="shared" si="15"/>
        <v>Non-Trading Day</v>
      </c>
      <c r="O341" t="str">
        <f t="shared" si="16"/>
        <v>No Change</v>
      </c>
      <c r="P341" t="str">
        <f t="shared" si="17"/>
        <v>Positive</v>
      </c>
    </row>
    <row r="342" spans="1:16" x14ac:dyDescent="0.3">
      <c r="A342" s="1">
        <v>43695</v>
      </c>
      <c r="B342">
        <v>30.28</v>
      </c>
      <c r="C342">
        <v>0</v>
      </c>
      <c r="D342">
        <v>0</v>
      </c>
      <c r="E342">
        <v>51</v>
      </c>
      <c r="F342">
        <v>2.9</v>
      </c>
      <c r="G342">
        <v>0.22900000000000001</v>
      </c>
      <c r="H342">
        <v>0</v>
      </c>
      <c r="J342">
        <v>0</v>
      </c>
      <c r="K342">
        <f>YEAR(NetflixData[[#This Row],[date]])</f>
        <v>2019</v>
      </c>
      <c r="L342" t="str">
        <f>TEXT(NetflixData[[#This Row],[date]],"mmm")</f>
        <v>Aug</v>
      </c>
      <c r="M342" t="str">
        <f>TEXT(NetflixData[[#This Row],[date]],"mmm yyyy")</f>
        <v>Aug 2019</v>
      </c>
      <c r="N342" t="str">
        <f t="shared" si="15"/>
        <v>Trading Day</v>
      </c>
      <c r="O342" t="str">
        <f t="shared" si="16"/>
        <v>No Change</v>
      </c>
      <c r="P342" t="str">
        <f t="shared" si="17"/>
        <v>Positive</v>
      </c>
    </row>
    <row r="343" spans="1:16" x14ac:dyDescent="0.3">
      <c r="A343" s="1">
        <v>43696</v>
      </c>
      <c r="B343">
        <v>30.94</v>
      </c>
      <c r="C343">
        <v>49422000</v>
      </c>
      <c r="D343">
        <v>1.022</v>
      </c>
      <c r="E343">
        <v>50</v>
      </c>
      <c r="F343">
        <v>3.18</v>
      </c>
      <c r="G343">
        <v>0.36280000000000001</v>
      </c>
      <c r="H343">
        <v>0</v>
      </c>
      <c r="J343">
        <v>1</v>
      </c>
      <c r="K343">
        <f>YEAR(NetflixData[[#This Row],[date]])</f>
        <v>2019</v>
      </c>
      <c r="L343" t="str">
        <f>TEXT(NetflixData[[#This Row],[date]],"mmm")</f>
        <v>Aug</v>
      </c>
      <c r="M343" t="str">
        <f>TEXT(NetflixData[[#This Row],[date]],"mmm yyyy")</f>
        <v>Aug 2019</v>
      </c>
      <c r="N343" t="str">
        <f t="shared" si="15"/>
        <v>Trading Day</v>
      </c>
      <c r="O343" t="str">
        <f t="shared" si="16"/>
        <v>Positive</v>
      </c>
      <c r="P343" t="str">
        <f t="shared" si="17"/>
        <v>Positive</v>
      </c>
    </row>
    <row r="344" spans="1:16" x14ac:dyDescent="0.3">
      <c r="A344" s="1">
        <v>43697</v>
      </c>
      <c r="B344">
        <v>29.9</v>
      </c>
      <c r="C344">
        <v>73499000</v>
      </c>
      <c r="D344">
        <v>-1.8320000000000001</v>
      </c>
      <c r="E344">
        <v>49</v>
      </c>
      <c r="F344">
        <v>2.86</v>
      </c>
      <c r="G344">
        <v>0.29949999999999999</v>
      </c>
      <c r="H344">
        <v>3</v>
      </c>
      <c r="I344">
        <v>7.5</v>
      </c>
      <c r="J344">
        <v>1</v>
      </c>
      <c r="K344">
        <f>YEAR(NetflixData[[#This Row],[date]])</f>
        <v>2019</v>
      </c>
      <c r="L344" t="str">
        <f>TEXT(NetflixData[[#This Row],[date]],"mmm")</f>
        <v>Aug</v>
      </c>
      <c r="M344" t="str">
        <f>TEXT(NetflixData[[#This Row],[date]],"mmm yyyy")</f>
        <v>Aug 2019</v>
      </c>
      <c r="N344" t="str">
        <f t="shared" si="15"/>
        <v>Trading Day</v>
      </c>
      <c r="O344" t="str">
        <f t="shared" si="16"/>
        <v>Negative</v>
      </c>
      <c r="P344" t="str">
        <f t="shared" si="17"/>
        <v>Positive</v>
      </c>
    </row>
    <row r="345" spans="1:16" x14ac:dyDescent="0.3">
      <c r="A345" s="1">
        <v>43698</v>
      </c>
      <c r="B345">
        <v>29.78</v>
      </c>
      <c r="C345">
        <v>56854000</v>
      </c>
      <c r="D345">
        <v>-1.26</v>
      </c>
      <c r="E345">
        <v>59</v>
      </c>
      <c r="F345">
        <v>2.73</v>
      </c>
      <c r="G345">
        <v>0.1532</v>
      </c>
      <c r="H345">
        <v>6</v>
      </c>
      <c r="I345">
        <v>7.1</v>
      </c>
      <c r="J345">
        <v>1</v>
      </c>
      <c r="K345">
        <f>YEAR(NetflixData[[#This Row],[date]])</f>
        <v>2019</v>
      </c>
      <c r="L345" t="str">
        <f>TEXT(NetflixData[[#This Row],[date]],"mmm")</f>
        <v>Aug</v>
      </c>
      <c r="M345" t="str">
        <f>TEXT(NetflixData[[#This Row],[date]],"mmm yyyy")</f>
        <v>Aug 2019</v>
      </c>
      <c r="N345" t="str">
        <f t="shared" si="15"/>
        <v>Trading Day</v>
      </c>
      <c r="O345" t="str">
        <f t="shared" si="16"/>
        <v>Negative</v>
      </c>
      <c r="P345" t="str">
        <f t="shared" si="17"/>
        <v>Positive</v>
      </c>
    </row>
    <row r="346" spans="1:16" x14ac:dyDescent="0.3">
      <c r="A346" s="1">
        <v>43699</v>
      </c>
      <c r="B346">
        <v>29.69</v>
      </c>
      <c r="C346">
        <v>49742000</v>
      </c>
      <c r="D346">
        <v>-0.57599999999999996</v>
      </c>
      <c r="E346">
        <v>43</v>
      </c>
      <c r="F346">
        <v>3.28</v>
      </c>
      <c r="G346">
        <v>0.2387</v>
      </c>
      <c r="H346">
        <v>1</v>
      </c>
      <c r="I346">
        <v>6.5</v>
      </c>
      <c r="J346">
        <v>1</v>
      </c>
      <c r="K346">
        <f>YEAR(NetflixData[[#This Row],[date]])</f>
        <v>2019</v>
      </c>
      <c r="L346" t="str">
        <f>TEXT(NetflixData[[#This Row],[date]],"mmm")</f>
        <v>Aug</v>
      </c>
      <c r="M346" t="str">
        <f>TEXT(NetflixData[[#This Row],[date]],"mmm yyyy")</f>
        <v>Aug 2019</v>
      </c>
      <c r="N346" t="str">
        <f t="shared" si="15"/>
        <v>Trading Day</v>
      </c>
      <c r="O346" t="str">
        <f t="shared" si="16"/>
        <v>Negative</v>
      </c>
      <c r="P346" t="str">
        <f t="shared" si="17"/>
        <v>Positive</v>
      </c>
    </row>
    <row r="347" spans="1:16" x14ac:dyDescent="0.3">
      <c r="A347" s="1">
        <v>43700</v>
      </c>
      <c r="B347">
        <v>29.14</v>
      </c>
      <c r="C347">
        <v>63249000</v>
      </c>
      <c r="D347">
        <v>-1.2070000000000001</v>
      </c>
      <c r="E347">
        <v>52</v>
      </c>
      <c r="F347">
        <v>3.15</v>
      </c>
      <c r="G347">
        <v>0.31009999999999999</v>
      </c>
      <c r="H347">
        <v>7</v>
      </c>
      <c r="I347">
        <v>6.27</v>
      </c>
      <c r="J347">
        <v>1</v>
      </c>
      <c r="K347">
        <f>YEAR(NetflixData[[#This Row],[date]])</f>
        <v>2019</v>
      </c>
      <c r="L347" t="str">
        <f>TEXT(NetflixData[[#This Row],[date]],"mmm")</f>
        <v>Aug</v>
      </c>
      <c r="M347" t="str">
        <f>TEXT(NetflixData[[#This Row],[date]],"mmm yyyy")</f>
        <v>Aug 2019</v>
      </c>
      <c r="N347" t="str">
        <f t="shared" si="15"/>
        <v>Non-Trading Day</v>
      </c>
      <c r="O347" t="str">
        <f t="shared" si="16"/>
        <v>Negative</v>
      </c>
      <c r="P347" t="str">
        <f t="shared" si="17"/>
        <v>Positive</v>
      </c>
    </row>
    <row r="348" spans="1:16" x14ac:dyDescent="0.3">
      <c r="A348" s="1">
        <v>43701</v>
      </c>
      <c r="B348">
        <v>29.14</v>
      </c>
      <c r="C348">
        <v>0</v>
      </c>
      <c r="D348">
        <v>0</v>
      </c>
      <c r="E348">
        <v>64</v>
      </c>
      <c r="F348">
        <v>3.31</v>
      </c>
      <c r="G348">
        <v>0.30669999999999997</v>
      </c>
      <c r="H348">
        <v>2</v>
      </c>
      <c r="I348">
        <v>4.2</v>
      </c>
      <c r="J348">
        <v>0</v>
      </c>
      <c r="K348">
        <f>YEAR(NetflixData[[#This Row],[date]])</f>
        <v>2019</v>
      </c>
      <c r="L348" t="str">
        <f>TEXT(NetflixData[[#This Row],[date]],"mmm")</f>
        <v>Aug</v>
      </c>
      <c r="M348" t="str">
        <f>TEXT(NetflixData[[#This Row],[date]],"mmm yyyy")</f>
        <v>Aug 2019</v>
      </c>
      <c r="N348" t="str">
        <f t="shared" si="15"/>
        <v>Non-Trading Day</v>
      </c>
      <c r="O348" t="str">
        <f t="shared" si="16"/>
        <v>No Change</v>
      </c>
      <c r="P348" t="str">
        <f t="shared" si="17"/>
        <v>Positive</v>
      </c>
    </row>
    <row r="349" spans="1:16" x14ac:dyDescent="0.3">
      <c r="A349" s="1">
        <v>43702</v>
      </c>
      <c r="B349">
        <v>29.14</v>
      </c>
      <c r="C349">
        <v>0</v>
      </c>
      <c r="D349">
        <v>0</v>
      </c>
      <c r="E349">
        <v>49</v>
      </c>
      <c r="F349">
        <v>2.76</v>
      </c>
      <c r="G349">
        <v>0.28789999999999999</v>
      </c>
      <c r="H349">
        <v>1</v>
      </c>
      <c r="I349">
        <v>6.4</v>
      </c>
      <c r="J349">
        <v>0</v>
      </c>
      <c r="K349">
        <f>YEAR(NetflixData[[#This Row],[date]])</f>
        <v>2019</v>
      </c>
      <c r="L349" t="str">
        <f>TEXT(NetflixData[[#This Row],[date]],"mmm")</f>
        <v>Aug</v>
      </c>
      <c r="M349" t="str">
        <f>TEXT(NetflixData[[#This Row],[date]],"mmm yyyy")</f>
        <v>Aug 2019</v>
      </c>
      <c r="N349" t="str">
        <f t="shared" si="15"/>
        <v>Trading Day</v>
      </c>
      <c r="O349" t="str">
        <f t="shared" si="16"/>
        <v>No Change</v>
      </c>
      <c r="P349" t="str">
        <f t="shared" si="17"/>
        <v>Positive</v>
      </c>
    </row>
    <row r="350" spans="1:16" x14ac:dyDescent="0.3">
      <c r="A350" s="1">
        <v>43703</v>
      </c>
      <c r="B350">
        <v>29.5</v>
      </c>
      <c r="C350">
        <v>46957000</v>
      </c>
      <c r="D350">
        <v>-8.7999999999999995E-2</v>
      </c>
      <c r="E350">
        <v>63</v>
      </c>
      <c r="F350">
        <v>2.84</v>
      </c>
      <c r="G350">
        <v>0.28070000000000001</v>
      </c>
      <c r="H350">
        <v>1</v>
      </c>
      <c r="J350">
        <v>1</v>
      </c>
      <c r="K350">
        <f>YEAR(NetflixData[[#This Row],[date]])</f>
        <v>2019</v>
      </c>
      <c r="L350" t="str">
        <f>TEXT(NetflixData[[#This Row],[date]],"mmm")</f>
        <v>Aug</v>
      </c>
      <c r="M350" t="str">
        <f>TEXT(NetflixData[[#This Row],[date]],"mmm yyyy")</f>
        <v>Aug 2019</v>
      </c>
      <c r="N350" t="str">
        <f t="shared" si="15"/>
        <v>Trading Day</v>
      </c>
      <c r="O350" t="str">
        <f t="shared" si="16"/>
        <v>Negative</v>
      </c>
      <c r="P350" t="str">
        <f t="shared" si="17"/>
        <v>Positive</v>
      </c>
    </row>
    <row r="351" spans="1:16" x14ac:dyDescent="0.3">
      <c r="A351" s="1">
        <v>43704</v>
      </c>
      <c r="B351">
        <v>29.1</v>
      </c>
      <c r="C351">
        <v>63094000</v>
      </c>
      <c r="D351">
        <v>-1.1919999999999999</v>
      </c>
      <c r="E351">
        <v>64</v>
      </c>
      <c r="F351">
        <v>3.56</v>
      </c>
      <c r="G351">
        <v>0.31019999999999998</v>
      </c>
      <c r="H351">
        <v>1</v>
      </c>
      <c r="I351">
        <v>6.7</v>
      </c>
      <c r="J351">
        <v>1</v>
      </c>
      <c r="K351">
        <f>YEAR(NetflixData[[#This Row],[date]])</f>
        <v>2019</v>
      </c>
      <c r="L351" t="str">
        <f>TEXT(NetflixData[[#This Row],[date]],"mmm")</f>
        <v>Aug</v>
      </c>
      <c r="M351" t="str">
        <f>TEXT(NetflixData[[#This Row],[date]],"mmm yyyy")</f>
        <v>Aug 2019</v>
      </c>
      <c r="N351" t="str">
        <f t="shared" si="15"/>
        <v>Trading Day</v>
      </c>
      <c r="O351" t="str">
        <f t="shared" si="16"/>
        <v>Negative</v>
      </c>
      <c r="P351" t="str">
        <f t="shared" si="17"/>
        <v>Positive</v>
      </c>
    </row>
    <row r="352" spans="1:16" x14ac:dyDescent="0.3">
      <c r="A352" s="1">
        <v>43705</v>
      </c>
      <c r="B352">
        <v>29.18</v>
      </c>
      <c r="C352">
        <v>39557000</v>
      </c>
      <c r="D352">
        <v>0.79500000000000004</v>
      </c>
      <c r="E352">
        <v>67</v>
      </c>
      <c r="F352">
        <v>2.91</v>
      </c>
      <c r="G352">
        <v>0.2198</v>
      </c>
      <c r="H352">
        <v>2</v>
      </c>
      <c r="I352">
        <v>4.8</v>
      </c>
      <c r="J352">
        <v>1</v>
      </c>
      <c r="K352">
        <f>YEAR(NetflixData[[#This Row],[date]])</f>
        <v>2019</v>
      </c>
      <c r="L352" t="str">
        <f>TEXT(NetflixData[[#This Row],[date]],"mmm")</f>
        <v>Aug</v>
      </c>
      <c r="M352" t="str">
        <f>TEXT(NetflixData[[#This Row],[date]],"mmm yyyy")</f>
        <v>Aug 2019</v>
      </c>
      <c r="N352" t="str">
        <f t="shared" si="15"/>
        <v>Trading Day</v>
      </c>
      <c r="O352" t="str">
        <f t="shared" si="16"/>
        <v>Positive</v>
      </c>
      <c r="P352" t="str">
        <f t="shared" si="17"/>
        <v>Positive</v>
      </c>
    </row>
    <row r="353" spans="1:16" x14ac:dyDescent="0.3">
      <c r="A353" s="1">
        <v>43706</v>
      </c>
      <c r="B353">
        <v>29.68</v>
      </c>
      <c r="C353">
        <v>43885000</v>
      </c>
      <c r="D353">
        <v>0.60299999999999998</v>
      </c>
      <c r="E353">
        <v>52</v>
      </c>
      <c r="F353">
        <v>3.04</v>
      </c>
      <c r="G353">
        <v>0.43390000000000001</v>
      </c>
      <c r="H353">
        <v>4</v>
      </c>
      <c r="I353">
        <v>5.42</v>
      </c>
      <c r="J353">
        <v>1</v>
      </c>
      <c r="K353">
        <f>YEAR(NetflixData[[#This Row],[date]])</f>
        <v>2019</v>
      </c>
      <c r="L353" t="str">
        <f>TEXT(NetflixData[[#This Row],[date]],"mmm")</f>
        <v>Aug</v>
      </c>
      <c r="M353" t="str">
        <f>TEXT(NetflixData[[#This Row],[date]],"mmm yyyy")</f>
        <v>Aug 2019</v>
      </c>
      <c r="N353" t="str">
        <f t="shared" si="15"/>
        <v>Trading Day</v>
      </c>
      <c r="O353" t="str">
        <f t="shared" si="16"/>
        <v>Positive</v>
      </c>
      <c r="P353" t="str">
        <f t="shared" si="17"/>
        <v>Positive</v>
      </c>
    </row>
    <row r="354" spans="1:16" x14ac:dyDescent="0.3">
      <c r="A354" s="1">
        <v>43707</v>
      </c>
      <c r="B354">
        <v>29.38</v>
      </c>
      <c r="C354">
        <v>44464000</v>
      </c>
      <c r="D354">
        <v>-1.6839999999999999</v>
      </c>
      <c r="E354">
        <v>41</v>
      </c>
      <c r="F354">
        <v>2.9</v>
      </c>
      <c r="G354">
        <v>0.29509999999999997</v>
      </c>
      <c r="H354">
        <v>9</v>
      </c>
      <c r="I354">
        <v>5.85</v>
      </c>
      <c r="J354">
        <v>1</v>
      </c>
      <c r="K354">
        <f>YEAR(NetflixData[[#This Row],[date]])</f>
        <v>2019</v>
      </c>
      <c r="L354" t="str">
        <f>TEXT(NetflixData[[#This Row],[date]],"mmm")</f>
        <v>Aug</v>
      </c>
      <c r="M354" t="str">
        <f>TEXT(NetflixData[[#This Row],[date]],"mmm yyyy")</f>
        <v>Aug 2019</v>
      </c>
      <c r="N354" t="str">
        <f t="shared" si="15"/>
        <v>Non-Trading Day</v>
      </c>
      <c r="O354" t="str">
        <f t="shared" si="16"/>
        <v>Negative</v>
      </c>
      <c r="P354" t="str">
        <f t="shared" si="17"/>
        <v>Positive</v>
      </c>
    </row>
    <row r="355" spans="1:16" x14ac:dyDescent="0.3">
      <c r="A355" s="1">
        <v>43708</v>
      </c>
      <c r="B355">
        <v>29.38</v>
      </c>
      <c r="C355">
        <v>0</v>
      </c>
      <c r="D355">
        <v>0</v>
      </c>
      <c r="E355">
        <v>53</v>
      </c>
      <c r="F355">
        <v>2.72</v>
      </c>
      <c r="G355">
        <v>0.26269999999999999</v>
      </c>
      <c r="H355">
        <v>1</v>
      </c>
      <c r="I355">
        <v>7.9</v>
      </c>
      <c r="J355">
        <v>0</v>
      </c>
      <c r="K355">
        <f>YEAR(NetflixData[[#This Row],[date]])</f>
        <v>2019</v>
      </c>
      <c r="L355" t="str">
        <f>TEXT(NetflixData[[#This Row],[date]],"mmm")</f>
        <v>Aug</v>
      </c>
      <c r="M355" t="str">
        <f>TEXT(NetflixData[[#This Row],[date]],"mmm yyyy")</f>
        <v>Aug 2019</v>
      </c>
      <c r="N355" t="str">
        <f t="shared" si="15"/>
        <v>Non-Trading Day</v>
      </c>
      <c r="O355" t="str">
        <f t="shared" si="16"/>
        <v>No Change</v>
      </c>
      <c r="P355" t="str">
        <f t="shared" si="17"/>
        <v>Positive</v>
      </c>
    </row>
    <row r="356" spans="1:16" x14ac:dyDescent="0.3">
      <c r="A356" s="1">
        <v>43709</v>
      </c>
      <c r="B356">
        <v>29.38</v>
      </c>
      <c r="C356">
        <v>0</v>
      </c>
      <c r="D356">
        <v>0</v>
      </c>
      <c r="E356">
        <v>45</v>
      </c>
      <c r="F356">
        <v>2.78</v>
      </c>
      <c r="G356">
        <v>0.2014</v>
      </c>
      <c r="H356">
        <v>34</v>
      </c>
      <c r="I356">
        <v>6.21</v>
      </c>
      <c r="J356">
        <v>0</v>
      </c>
      <c r="K356">
        <f>YEAR(NetflixData[[#This Row],[date]])</f>
        <v>2019</v>
      </c>
      <c r="L356" t="str">
        <f>TEXT(NetflixData[[#This Row],[date]],"mmm")</f>
        <v>Sep</v>
      </c>
      <c r="M356" t="str">
        <f>TEXT(NetflixData[[#This Row],[date]],"mmm yyyy")</f>
        <v>Sep 2019</v>
      </c>
      <c r="N356" t="str">
        <f t="shared" si="15"/>
        <v>Non-Trading Day</v>
      </c>
      <c r="O356" t="str">
        <f t="shared" si="16"/>
        <v>No Change</v>
      </c>
      <c r="P356" t="str">
        <f t="shared" si="17"/>
        <v>Positive</v>
      </c>
    </row>
    <row r="357" spans="1:16" x14ac:dyDescent="0.3">
      <c r="A357" s="1">
        <v>43710</v>
      </c>
      <c r="B357">
        <v>29.38</v>
      </c>
      <c r="C357">
        <v>0</v>
      </c>
      <c r="D357">
        <v>0</v>
      </c>
      <c r="E357">
        <v>47</v>
      </c>
      <c r="F357">
        <v>3.38</v>
      </c>
      <c r="G357">
        <v>0.30819999999999997</v>
      </c>
      <c r="H357">
        <v>0</v>
      </c>
      <c r="J357">
        <v>0</v>
      </c>
      <c r="K357">
        <f>YEAR(NetflixData[[#This Row],[date]])</f>
        <v>2019</v>
      </c>
      <c r="L357" t="str">
        <f>TEXT(NetflixData[[#This Row],[date]],"mmm")</f>
        <v>Sep</v>
      </c>
      <c r="M357" t="str">
        <f>TEXT(NetflixData[[#This Row],[date]],"mmm yyyy")</f>
        <v>Sep 2019</v>
      </c>
      <c r="N357" t="str">
        <f t="shared" si="15"/>
        <v>Trading Day</v>
      </c>
      <c r="O357" t="str">
        <f t="shared" si="16"/>
        <v>No Change</v>
      </c>
      <c r="P357" t="str">
        <f t="shared" si="17"/>
        <v>Positive</v>
      </c>
    </row>
    <row r="358" spans="1:16" x14ac:dyDescent="0.3">
      <c r="A358" s="1">
        <v>43711</v>
      </c>
      <c r="B358">
        <v>28.93</v>
      </c>
      <c r="C358">
        <v>36828000</v>
      </c>
      <c r="D358">
        <v>-0.52600000000000002</v>
      </c>
      <c r="E358">
        <v>46</v>
      </c>
      <c r="F358">
        <v>2.91</v>
      </c>
      <c r="G358">
        <v>0.28260000000000002</v>
      </c>
      <c r="H358">
        <v>0</v>
      </c>
      <c r="J358">
        <v>1</v>
      </c>
      <c r="K358">
        <f>YEAR(NetflixData[[#This Row],[date]])</f>
        <v>2019</v>
      </c>
      <c r="L358" t="str">
        <f>TEXT(NetflixData[[#This Row],[date]],"mmm")</f>
        <v>Sep</v>
      </c>
      <c r="M358" t="str">
        <f>TEXT(NetflixData[[#This Row],[date]],"mmm yyyy")</f>
        <v>Sep 2019</v>
      </c>
      <c r="N358" t="str">
        <f t="shared" si="15"/>
        <v>Trading Day</v>
      </c>
      <c r="O358" t="str">
        <f t="shared" si="16"/>
        <v>Negative</v>
      </c>
      <c r="P358" t="str">
        <f t="shared" si="17"/>
        <v>Positive</v>
      </c>
    </row>
    <row r="359" spans="1:16" x14ac:dyDescent="0.3">
      <c r="A359" s="1">
        <v>43712</v>
      </c>
      <c r="B359">
        <v>29.15</v>
      </c>
      <c r="C359">
        <v>46525000</v>
      </c>
      <c r="D359">
        <v>9.2999999999999999E-2</v>
      </c>
      <c r="E359">
        <v>35</v>
      </c>
      <c r="F359">
        <v>2.4300000000000002</v>
      </c>
      <c r="G359">
        <v>0.2301</v>
      </c>
      <c r="H359">
        <v>4</v>
      </c>
      <c r="I359">
        <v>5.78</v>
      </c>
      <c r="J359">
        <v>1</v>
      </c>
      <c r="K359">
        <f>YEAR(NetflixData[[#This Row],[date]])</f>
        <v>2019</v>
      </c>
      <c r="L359" t="str">
        <f>TEXT(NetflixData[[#This Row],[date]],"mmm")</f>
        <v>Sep</v>
      </c>
      <c r="M359" t="str">
        <f>TEXT(NetflixData[[#This Row],[date]],"mmm yyyy")</f>
        <v>Sep 2019</v>
      </c>
      <c r="N359" t="str">
        <f t="shared" si="15"/>
        <v>Trading Day</v>
      </c>
      <c r="O359" t="str">
        <f t="shared" si="16"/>
        <v>Positive</v>
      </c>
      <c r="P359" t="str">
        <f t="shared" si="17"/>
        <v>Positive</v>
      </c>
    </row>
    <row r="360" spans="1:16" x14ac:dyDescent="0.3">
      <c r="A360" s="1">
        <v>43713</v>
      </c>
      <c r="B360">
        <v>29.33</v>
      </c>
      <c r="C360">
        <v>89668000</v>
      </c>
      <c r="D360">
        <v>2.7789999999999999</v>
      </c>
      <c r="E360">
        <v>47</v>
      </c>
      <c r="F360">
        <v>2.4900000000000002</v>
      </c>
      <c r="G360">
        <v>0.1835</v>
      </c>
      <c r="H360">
        <v>1</v>
      </c>
      <c r="J360">
        <v>1</v>
      </c>
      <c r="K360">
        <f>YEAR(NetflixData[[#This Row],[date]])</f>
        <v>2019</v>
      </c>
      <c r="L360" t="str">
        <f>TEXT(NetflixData[[#This Row],[date]],"mmm")</f>
        <v>Sep</v>
      </c>
      <c r="M360" t="str">
        <f>TEXT(NetflixData[[#This Row],[date]],"mmm yyyy")</f>
        <v>Sep 2019</v>
      </c>
      <c r="N360" t="str">
        <f t="shared" si="15"/>
        <v>Trading Day</v>
      </c>
      <c r="O360" t="str">
        <f t="shared" si="16"/>
        <v>Positive</v>
      </c>
      <c r="P360" t="str">
        <f t="shared" si="17"/>
        <v>Positive</v>
      </c>
    </row>
    <row r="361" spans="1:16" x14ac:dyDescent="0.3">
      <c r="A361" s="1">
        <v>43714</v>
      </c>
      <c r="B361">
        <v>29.02</v>
      </c>
      <c r="C361">
        <v>51666000</v>
      </c>
      <c r="D361">
        <v>-1.0840000000000001</v>
      </c>
      <c r="E361">
        <v>48</v>
      </c>
      <c r="F361">
        <v>2.9</v>
      </c>
      <c r="G361">
        <v>0.34720000000000001</v>
      </c>
      <c r="H361">
        <v>5</v>
      </c>
      <c r="I361">
        <v>7.1</v>
      </c>
      <c r="J361">
        <v>1</v>
      </c>
      <c r="K361">
        <f>YEAR(NetflixData[[#This Row],[date]])</f>
        <v>2019</v>
      </c>
      <c r="L361" t="str">
        <f>TEXT(NetflixData[[#This Row],[date]],"mmm")</f>
        <v>Sep</v>
      </c>
      <c r="M361" t="str">
        <f>TEXT(NetflixData[[#This Row],[date]],"mmm yyyy")</f>
        <v>Sep 2019</v>
      </c>
      <c r="N361" t="str">
        <f t="shared" si="15"/>
        <v>Non-Trading Day</v>
      </c>
      <c r="O361" t="str">
        <f t="shared" si="16"/>
        <v>Negative</v>
      </c>
      <c r="P361" t="str">
        <f t="shared" si="17"/>
        <v>Positive</v>
      </c>
    </row>
    <row r="362" spans="1:16" x14ac:dyDescent="0.3">
      <c r="A362" s="1">
        <v>43715</v>
      </c>
      <c r="B362">
        <v>29.02</v>
      </c>
      <c r="C362">
        <v>0</v>
      </c>
      <c r="D362">
        <v>0</v>
      </c>
      <c r="E362">
        <v>42</v>
      </c>
      <c r="F362">
        <v>3.14</v>
      </c>
      <c r="G362">
        <v>0.1729</v>
      </c>
      <c r="H362">
        <v>0</v>
      </c>
      <c r="J362">
        <v>0</v>
      </c>
      <c r="K362">
        <f>YEAR(NetflixData[[#This Row],[date]])</f>
        <v>2019</v>
      </c>
      <c r="L362" t="str">
        <f>TEXT(NetflixData[[#This Row],[date]],"mmm")</f>
        <v>Sep</v>
      </c>
      <c r="M362" t="str">
        <f>TEXT(NetflixData[[#This Row],[date]],"mmm yyyy")</f>
        <v>Sep 2019</v>
      </c>
      <c r="N362" t="str">
        <f t="shared" si="15"/>
        <v>Non-Trading Day</v>
      </c>
      <c r="O362" t="str">
        <f t="shared" si="16"/>
        <v>No Change</v>
      </c>
      <c r="P362" t="str">
        <f t="shared" si="17"/>
        <v>Positive</v>
      </c>
    </row>
    <row r="363" spans="1:16" x14ac:dyDescent="0.3">
      <c r="A363" s="1">
        <v>43716</v>
      </c>
      <c r="B363">
        <v>29.02</v>
      </c>
      <c r="C363">
        <v>0</v>
      </c>
      <c r="D363">
        <v>0</v>
      </c>
      <c r="E363">
        <v>48</v>
      </c>
      <c r="F363">
        <v>3.04</v>
      </c>
      <c r="G363">
        <v>0.26019999999999999</v>
      </c>
      <c r="H363">
        <v>0</v>
      </c>
      <c r="J363">
        <v>0</v>
      </c>
      <c r="K363">
        <f>YEAR(NetflixData[[#This Row],[date]])</f>
        <v>2019</v>
      </c>
      <c r="L363" t="str">
        <f>TEXT(NetflixData[[#This Row],[date]],"mmm")</f>
        <v>Sep</v>
      </c>
      <c r="M363" t="str">
        <f>TEXT(NetflixData[[#This Row],[date]],"mmm yyyy")</f>
        <v>Sep 2019</v>
      </c>
      <c r="N363" t="str">
        <f t="shared" si="15"/>
        <v>Trading Day</v>
      </c>
      <c r="O363" t="str">
        <f t="shared" si="16"/>
        <v>No Change</v>
      </c>
      <c r="P363" t="str">
        <f t="shared" si="17"/>
        <v>Positive</v>
      </c>
    </row>
    <row r="364" spans="1:16" x14ac:dyDescent="0.3">
      <c r="A364" s="1">
        <v>43717</v>
      </c>
      <c r="B364">
        <v>29.43</v>
      </c>
      <c r="C364">
        <v>82327000</v>
      </c>
      <c r="D364">
        <v>-0.159</v>
      </c>
      <c r="E364">
        <v>40</v>
      </c>
      <c r="F364">
        <v>2.4</v>
      </c>
      <c r="G364">
        <v>7.3300000000000004E-2</v>
      </c>
      <c r="H364">
        <v>1</v>
      </c>
      <c r="I364">
        <v>3.4</v>
      </c>
      <c r="J364">
        <v>1</v>
      </c>
      <c r="K364">
        <f>YEAR(NetflixData[[#This Row],[date]])</f>
        <v>2019</v>
      </c>
      <c r="L364" t="str">
        <f>TEXT(NetflixData[[#This Row],[date]],"mmm")</f>
        <v>Sep</v>
      </c>
      <c r="M364" t="str">
        <f>TEXT(NetflixData[[#This Row],[date]],"mmm yyyy")</f>
        <v>Sep 2019</v>
      </c>
      <c r="N364" t="str">
        <f t="shared" si="15"/>
        <v>Trading Day</v>
      </c>
      <c r="O364" t="str">
        <f t="shared" si="16"/>
        <v>Negative</v>
      </c>
      <c r="P364" t="str">
        <f t="shared" si="17"/>
        <v>Neutral</v>
      </c>
    </row>
    <row r="365" spans="1:16" x14ac:dyDescent="0.3">
      <c r="A365" s="1">
        <v>43718</v>
      </c>
      <c r="B365">
        <v>28.8</v>
      </c>
      <c r="C365">
        <v>123202000</v>
      </c>
      <c r="D365">
        <v>-1.089</v>
      </c>
      <c r="E365">
        <v>49</v>
      </c>
      <c r="F365">
        <v>2.57</v>
      </c>
      <c r="G365">
        <v>0.15659999999999999</v>
      </c>
      <c r="H365">
        <v>4</v>
      </c>
      <c r="I365">
        <v>6.63</v>
      </c>
      <c r="J365">
        <v>1</v>
      </c>
      <c r="K365">
        <f>YEAR(NetflixData[[#This Row],[date]])</f>
        <v>2019</v>
      </c>
      <c r="L365" t="str">
        <f>TEXT(NetflixData[[#This Row],[date]],"mmm")</f>
        <v>Sep</v>
      </c>
      <c r="M365" t="str">
        <f>TEXT(NetflixData[[#This Row],[date]],"mmm yyyy")</f>
        <v>Sep 2019</v>
      </c>
      <c r="N365" t="str">
        <f t="shared" si="15"/>
        <v>Trading Day</v>
      </c>
      <c r="O365" t="str">
        <f t="shared" si="16"/>
        <v>Negative</v>
      </c>
      <c r="P365" t="str">
        <f t="shared" si="17"/>
        <v>Positive</v>
      </c>
    </row>
    <row r="366" spans="1:16" x14ac:dyDescent="0.3">
      <c r="A366" s="1">
        <v>43719</v>
      </c>
      <c r="B366">
        <v>28.83</v>
      </c>
      <c r="C366">
        <v>74059000</v>
      </c>
      <c r="D366">
        <v>0.9</v>
      </c>
      <c r="E366">
        <v>50</v>
      </c>
      <c r="F366">
        <v>3.28</v>
      </c>
      <c r="G366">
        <v>0.32179999999999997</v>
      </c>
      <c r="H366">
        <v>1</v>
      </c>
      <c r="I366">
        <v>6.3</v>
      </c>
      <c r="J366">
        <v>1</v>
      </c>
      <c r="K366">
        <f>YEAR(NetflixData[[#This Row],[date]])</f>
        <v>2019</v>
      </c>
      <c r="L366" t="str">
        <f>TEXT(NetflixData[[#This Row],[date]],"mmm")</f>
        <v>Sep</v>
      </c>
      <c r="M366" t="str">
        <f>TEXT(NetflixData[[#This Row],[date]],"mmm yyyy")</f>
        <v>Sep 2019</v>
      </c>
      <c r="N366" t="str">
        <f t="shared" si="15"/>
        <v>Trading Day</v>
      </c>
      <c r="O366" t="str">
        <f t="shared" si="16"/>
        <v>Positive</v>
      </c>
      <c r="P366" t="str">
        <f t="shared" si="17"/>
        <v>Positive</v>
      </c>
    </row>
    <row r="367" spans="1:16" x14ac:dyDescent="0.3">
      <c r="A367" s="1">
        <v>43720</v>
      </c>
      <c r="B367">
        <v>28.89</v>
      </c>
      <c r="C367">
        <v>50109000</v>
      </c>
      <c r="D367">
        <v>0.26400000000000001</v>
      </c>
      <c r="E367">
        <v>50</v>
      </c>
      <c r="F367">
        <v>2.84</v>
      </c>
      <c r="G367">
        <v>0.24199999999999999</v>
      </c>
      <c r="H367">
        <v>3</v>
      </c>
      <c r="I367">
        <v>6.33</v>
      </c>
      <c r="J367">
        <v>1</v>
      </c>
      <c r="K367">
        <f>YEAR(NetflixData[[#This Row],[date]])</f>
        <v>2019</v>
      </c>
      <c r="L367" t="str">
        <f>TEXT(NetflixData[[#This Row],[date]],"mmm")</f>
        <v>Sep</v>
      </c>
      <c r="M367" t="str">
        <f>TEXT(NetflixData[[#This Row],[date]],"mmm yyyy")</f>
        <v>Sep 2019</v>
      </c>
      <c r="N367" t="str">
        <f t="shared" si="15"/>
        <v>Trading Day</v>
      </c>
      <c r="O367" t="str">
        <f t="shared" si="16"/>
        <v>Positive</v>
      </c>
      <c r="P367" t="str">
        <f t="shared" si="17"/>
        <v>Positive</v>
      </c>
    </row>
    <row r="368" spans="1:16" x14ac:dyDescent="0.3">
      <c r="A368" s="1">
        <v>43721</v>
      </c>
      <c r="B368">
        <v>29.42</v>
      </c>
      <c r="C368">
        <v>65831000</v>
      </c>
      <c r="D368">
        <v>1.218</v>
      </c>
      <c r="E368">
        <v>49</v>
      </c>
      <c r="F368">
        <v>3.57</v>
      </c>
      <c r="G368">
        <v>0.3382</v>
      </c>
      <c r="H368">
        <v>13</v>
      </c>
      <c r="I368">
        <v>5.73</v>
      </c>
      <c r="J368">
        <v>1</v>
      </c>
      <c r="K368">
        <f>YEAR(NetflixData[[#This Row],[date]])</f>
        <v>2019</v>
      </c>
      <c r="L368" t="str">
        <f>TEXT(NetflixData[[#This Row],[date]],"mmm")</f>
        <v>Sep</v>
      </c>
      <c r="M368" t="str">
        <f>TEXT(NetflixData[[#This Row],[date]],"mmm yyyy")</f>
        <v>Sep 2019</v>
      </c>
      <c r="N368" t="str">
        <f t="shared" si="15"/>
        <v>Non-Trading Day</v>
      </c>
      <c r="O368" t="str">
        <f t="shared" si="16"/>
        <v>Positive</v>
      </c>
      <c r="P368" t="str">
        <f t="shared" si="17"/>
        <v>Positive</v>
      </c>
    </row>
    <row r="369" spans="1:16" x14ac:dyDescent="0.3">
      <c r="A369" s="1">
        <v>43722</v>
      </c>
      <c r="B369">
        <v>29.42</v>
      </c>
      <c r="C369">
        <v>0</v>
      </c>
      <c r="D369">
        <v>0</v>
      </c>
      <c r="E369">
        <v>60</v>
      </c>
      <c r="F369">
        <v>2.68</v>
      </c>
      <c r="G369">
        <v>0.25259999999999999</v>
      </c>
      <c r="H369">
        <v>2</v>
      </c>
      <c r="I369">
        <v>7.4</v>
      </c>
      <c r="J369">
        <v>0</v>
      </c>
      <c r="K369">
        <f>YEAR(NetflixData[[#This Row],[date]])</f>
        <v>2019</v>
      </c>
      <c r="L369" t="str">
        <f>TEXT(NetflixData[[#This Row],[date]],"mmm")</f>
        <v>Sep</v>
      </c>
      <c r="M369" t="str">
        <f>TEXT(NetflixData[[#This Row],[date]],"mmm yyyy")</f>
        <v>Sep 2019</v>
      </c>
      <c r="N369" t="str">
        <f t="shared" si="15"/>
        <v>Non-Trading Day</v>
      </c>
      <c r="O369" t="str">
        <f t="shared" si="16"/>
        <v>No Change</v>
      </c>
      <c r="P369" t="str">
        <f t="shared" si="17"/>
        <v>Positive</v>
      </c>
    </row>
    <row r="370" spans="1:16" x14ac:dyDescent="0.3">
      <c r="A370" s="1">
        <v>43723</v>
      </c>
      <c r="B370">
        <v>29.42</v>
      </c>
      <c r="C370">
        <v>0</v>
      </c>
      <c r="D370">
        <v>0</v>
      </c>
      <c r="E370">
        <v>57</v>
      </c>
      <c r="F370">
        <v>2.7</v>
      </c>
      <c r="G370">
        <v>0.151</v>
      </c>
      <c r="H370">
        <v>10</v>
      </c>
      <c r="I370">
        <v>6.8</v>
      </c>
      <c r="J370">
        <v>0</v>
      </c>
      <c r="K370">
        <f>YEAR(NetflixData[[#This Row],[date]])</f>
        <v>2019</v>
      </c>
      <c r="L370" t="str">
        <f>TEXT(NetflixData[[#This Row],[date]],"mmm")</f>
        <v>Sep</v>
      </c>
      <c r="M370" t="str">
        <f>TEXT(NetflixData[[#This Row],[date]],"mmm yyyy")</f>
        <v>Sep 2019</v>
      </c>
      <c r="N370" t="str">
        <f t="shared" si="15"/>
        <v>Trading Day</v>
      </c>
      <c r="O370" t="str">
        <f t="shared" si="16"/>
        <v>No Change</v>
      </c>
      <c r="P370" t="str">
        <f t="shared" si="17"/>
        <v>Positive</v>
      </c>
    </row>
    <row r="371" spans="1:16" x14ac:dyDescent="0.3">
      <c r="A371" s="1">
        <v>43724</v>
      </c>
      <c r="B371">
        <v>29.43</v>
      </c>
      <c r="C371">
        <v>53074000</v>
      </c>
      <c r="D371">
        <v>0.02</v>
      </c>
      <c r="E371">
        <v>40</v>
      </c>
      <c r="F371">
        <v>3.28</v>
      </c>
      <c r="G371">
        <v>0.33350000000000002</v>
      </c>
      <c r="H371">
        <v>1</v>
      </c>
      <c r="I371">
        <v>5.4</v>
      </c>
      <c r="J371">
        <v>1</v>
      </c>
      <c r="K371">
        <f>YEAR(NetflixData[[#This Row],[date]])</f>
        <v>2019</v>
      </c>
      <c r="L371" t="str">
        <f>TEXT(NetflixData[[#This Row],[date]],"mmm")</f>
        <v>Sep</v>
      </c>
      <c r="M371" t="str">
        <f>TEXT(NetflixData[[#This Row],[date]],"mmm yyyy")</f>
        <v>Sep 2019</v>
      </c>
      <c r="N371" t="str">
        <f t="shared" si="15"/>
        <v>Trading Day</v>
      </c>
      <c r="O371" t="str">
        <f t="shared" si="16"/>
        <v>Positive</v>
      </c>
      <c r="P371" t="str">
        <f t="shared" si="17"/>
        <v>Positive</v>
      </c>
    </row>
    <row r="372" spans="1:16" x14ac:dyDescent="0.3">
      <c r="A372" s="1">
        <v>43725</v>
      </c>
      <c r="B372">
        <v>29.86</v>
      </c>
      <c r="C372">
        <v>47771000</v>
      </c>
      <c r="D372">
        <v>1.3919999999999999</v>
      </c>
      <c r="E372">
        <v>68</v>
      </c>
      <c r="F372">
        <v>3.19</v>
      </c>
      <c r="G372">
        <v>0.30559999999999998</v>
      </c>
      <c r="H372">
        <v>6</v>
      </c>
      <c r="I372">
        <v>6.12</v>
      </c>
      <c r="J372">
        <v>1</v>
      </c>
      <c r="K372">
        <f>YEAR(NetflixData[[#This Row],[date]])</f>
        <v>2019</v>
      </c>
      <c r="L372" t="str">
        <f>TEXT(NetflixData[[#This Row],[date]],"mmm")</f>
        <v>Sep</v>
      </c>
      <c r="M372" t="str">
        <f>TEXT(NetflixData[[#This Row],[date]],"mmm yyyy")</f>
        <v>Sep 2019</v>
      </c>
      <c r="N372" t="str">
        <f t="shared" si="15"/>
        <v>Trading Day</v>
      </c>
      <c r="O372" t="str">
        <f t="shared" si="16"/>
        <v>Positive</v>
      </c>
      <c r="P372" t="str">
        <f t="shared" si="17"/>
        <v>Positive</v>
      </c>
    </row>
    <row r="373" spans="1:16" x14ac:dyDescent="0.3">
      <c r="A373" s="1">
        <v>43726</v>
      </c>
      <c r="B373">
        <v>29.16</v>
      </c>
      <c r="C373">
        <v>78111000</v>
      </c>
      <c r="D373">
        <v>-1.163</v>
      </c>
      <c r="E373">
        <v>54</v>
      </c>
      <c r="F373">
        <v>3.3</v>
      </c>
      <c r="G373">
        <v>0.21210000000000001</v>
      </c>
      <c r="H373">
        <v>2</v>
      </c>
      <c r="I373">
        <v>6.75</v>
      </c>
      <c r="J373">
        <v>1</v>
      </c>
      <c r="K373">
        <f>YEAR(NetflixData[[#This Row],[date]])</f>
        <v>2019</v>
      </c>
      <c r="L373" t="str">
        <f>TEXT(NetflixData[[#This Row],[date]],"mmm")</f>
        <v>Sep</v>
      </c>
      <c r="M373" t="str">
        <f>TEXT(NetflixData[[#This Row],[date]],"mmm yyyy")</f>
        <v>Sep 2019</v>
      </c>
      <c r="N373" t="str">
        <f t="shared" si="15"/>
        <v>Trading Day</v>
      </c>
      <c r="O373" t="str">
        <f t="shared" si="16"/>
        <v>Negative</v>
      </c>
      <c r="P373" t="str">
        <f t="shared" si="17"/>
        <v>Positive</v>
      </c>
    </row>
    <row r="374" spans="1:16" x14ac:dyDescent="0.3">
      <c r="A374" s="1">
        <v>43727</v>
      </c>
      <c r="B374">
        <v>28.66</v>
      </c>
      <c r="C374">
        <v>84613000</v>
      </c>
      <c r="D374">
        <v>-1.7010000000000001</v>
      </c>
      <c r="E374">
        <v>50</v>
      </c>
      <c r="F374">
        <v>2.96</v>
      </c>
      <c r="G374">
        <v>0.23280000000000001</v>
      </c>
      <c r="H374">
        <v>2</v>
      </c>
      <c r="I374">
        <v>7</v>
      </c>
      <c r="J374">
        <v>1</v>
      </c>
      <c r="K374">
        <f>YEAR(NetflixData[[#This Row],[date]])</f>
        <v>2019</v>
      </c>
      <c r="L374" t="str">
        <f>TEXT(NetflixData[[#This Row],[date]],"mmm")</f>
        <v>Sep</v>
      </c>
      <c r="M374" t="str">
        <f>TEXT(NetflixData[[#This Row],[date]],"mmm yyyy")</f>
        <v>Sep 2019</v>
      </c>
      <c r="N374" t="str">
        <f t="shared" si="15"/>
        <v>Trading Day</v>
      </c>
      <c r="O374" t="str">
        <f t="shared" si="16"/>
        <v>Negative</v>
      </c>
      <c r="P374" t="str">
        <f t="shared" si="17"/>
        <v>Positive</v>
      </c>
    </row>
    <row r="375" spans="1:16" x14ac:dyDescent="0.3">
      <c r="A375" s="1">
        <v>43728</v>
      </c>
      <c r="B375">
        <v>27.08</v>
      </c>
      <c r="C375">
        <v>238328000</v>
      </c>
      <c r="D375">
        <v>-3.3929999999999998</v>
      </c>
      <c r="E375">
        <v>44</v>
      </c>
      <c r="F375">
        <v>2.86</v>
      </c>
      <c r="G375">
        <v>9.2700000000000005E-2</v>
      </c>
      <c r="H375">
        <v>11</v>
      </c>
      <c r="I375">
        <v>6.61</v>
      </c>
      <c r="J375">
        <v>1</v>
      </c>
      <c r="K375">
        <f>YEAR(NetflixData[[#This Row],[date]])</f>
        <v>2019</v>
      </c>
      <c r="L375" t="str">
        <f>TEXT(NetflixData[[#This Row],[date]],"mmm")</f>
        <v>Sep</v>
      </c>
      <c r="M375" t="str">
        <f>TEXT(NetflixData[[#This Row],[date]],"mmm yyyy")</f>
        <v>Sep 2019</v>
      </c>
      <c r="N375" t="str">
        <f t="shared" si="15"/>
        <v>Non-Trading Day</v>
      </c>
      <c r="O375" t="str">
        <f t="shared" si="16"/>
        <v>Negative</v>
      </c>
      <c r="P375" t="str">
        <f t="shared" si="17"/>
        <v>Neutral</v>
      </c>
    </row>
    <row r="376" spans="1:16" x14ac:dyDescent="0.3">
      <c r="A376" s="1">
        <v>43729</v>
      </c>
      <c r="B376">
        <v>27.08</v>
      </c>
      <c r="C376">
        <v>0</v>
      </c>
      <c r="D376">
        <v>0</v>
      </c>
      <c r="E376">
        <v>49</v>
      </c>
      <c r="F376">
        <v>3.16</v>
      </c>
      <c r="G376">
        <v>0.24709999999999999</v>
      </c>
      <c r="H376">
        <v>5</v>
      </c>
      <c r="I376">
        <v>6.36</v>
      </c>
      <c r="J376">
        <v>0</v>
      </c>
      <c r="K376">
        <f>YEAR(NetflixData[[#This Row],[date]])</f>
        <v>2019</v>
      </c>
      <c r="L376" t="str">
        <f>TEXT(NetflixData[[#This Row],[date]],"mmm")</f>
        <v>Sep</v>
      </c>
      <c r="M376" t="str">
        <f>TEXT(NetflixData[[#This Row],[date]],"mmm yyyy")</f>
        <v>Sep 2019</v>
      </c>
      <c r="N376" t="str">
        <f t="shared" si="15"/>
        <v>Non-Trading Day</v>
      </c>
      <c r="O376" t="str">
        <f t="shared" si="16"/>
        <v>No Change</v>
      </c>
      <c r="P376" t="str">
        <f t="shared" si="17"/>
        <v>Positive</v>
      </c>
    </row>
    <row r="377" spans="1:16" x14ac:dyDescent="0.3">
      <c r="A377" s="1">
        <v>43730</v>
      </c>
      <c r="B377">
        <v>27.08</v>
      </c>
      <c r="C377">
        <v>0</v>
      </c>
      <c r="D377">
        <v>0</v>
      </c>
      <c r="E377">
        <v>58</v>
      </c>
      <c r="F377">
        <v>2.88</v>
      </c>
      <c r="G377">
        <v>0.26350000000000001</v>
      </c>
      <c r="H377">
        <v>2</v>
      </c>
      <c r="I377">
        <v>6.95</v>
      </c>
      <c r="J377">
        <v>0</v>
      </c>
      <c r="K377">
        <f>YEAR(NetflixData[[#This Row],[date]])</f>
        <v>2019</v>
      </c>
      <c r="L377" t="str">
        <f>TEXT(NetflixData[[#This Row],[date]],"mmm")</f>
        <v>Sep</v>
      </c>
      <c r="M377" t="str">
        <f>TEXT(NetflixData[[#This Row],[date]],"mmm yyyy")</f>
        <v>Sep 2019</v>
      </c>
      <c r="N377" t="str">
        <f t="shared" si="15"/>
        <v>Trading Day</v>
      </c>
      <c r="O377" t="str">
        <f t="shared" si="16"/>
        <v>No Change</v>
      </c>
      <c r="P377" t="str">
        <f t="shared" si="17"/>
        <v>Positive</v>
      </c>
    </row>
    <row r="378" spans="1:16" x14ac:dyDescent="0.3">
      <c r="A378" s="1">
        <v>43731</v>
      </c>
      <c r="B378">
        <v>26.59</v>
      </c>
      <c r="C378">
        <v>134786000</v>
      </c>
      <c r="D378">
        <v>-0.90600000000000003</v>
      </c>
      <c r="E378">
        <v>55</v>
      </c>
      <c r="F378">
        <v>2.93</v>
      </c>
      <c r="G378">
        <v>0.21429999999999999</v>
      </c>
      <c r="H378">
        <v>2</v>
      </c>
      <c r="I378">
        <v>5.0999999999999996</v>
      </c>
      <c r="J378">
        <v>1</v>
      </c>
      <c r="K378">
        <f>YEAR(NetflixData[[#This Row],[date]])</f>
        <v>2019</v>
      </c>
      <c r="L378" t="str">
        <f>TEXT(NetflixData[[#This Row],[date]],"mmm")</f>
        <v>Sep</v>
      </c>
      <c r="M378" t="str">
        <f>TEXT(NetflixData[[#This Row],[date]],"mmm yyyy")</f>
        <v>Sep 2019</v>
      </c>
      <c r="N378" t="str">
        <f t="shared" si="15"/>
        <v>Trading Day</v>
      </c>
      <c r="O378" t="str">
        <f t="shared" si="16"/>
        <v>Negative</v>
      </c>
      <c r="P378" t="str">
        <f t="shared" si="17"/>
        <v>Positive</v>
      </c>
    </row>
    <row r="379" spans="1:16" x14ac:dyDescent="0.3">
      <c r="A379" s="1">
        <v>43732</v>
      </c>
      <c r="B379">
        <v>25.46</v>
      </c>
      <c r="C379">
        <v>163382000</v>
      </c>
      <c r="D379">
        <v>-3.0129999999999999</v>
      </c>
      <c r="E379">
        <v>53</v>
      </c>
      <c r="F379">
        <v>3.3</v>
      </c>
      <c r="G379">
        <v>0.29270000000000002</v>
      </c>
      <c r="H379">
        <v>3</v>
      </c>
      <c r="I379">
        <v>5.6</v>
      </c>
      <c r="J379">
        <v>1</v>
      </c>
      <c r="K379">
        <f>YEAR(NetflixData[[#This Row],[date]])</f>
        <v>2019</v>
      </c>
      <c r="L379" t="str">
        <f>TEXT(NetflixData[[#This Row],[date]],"mmm")</f>
        <v>Sep</v>
      </c>
      <c r="M379" t="str">
        <f>TEXT(NetflixData[[#This Row],[date]],"mmm yyyy")</f>
        <v>Sep 2019</v>
      </c>
      <c r="N379" t="str">
        <f t="shared" si="15"/>
        <v>Trading Day</v>
      </c>
      <c r="O379" t="str">
        <f t="shared" si="16"/>
        <v>Negative</v>
      </c>
      <c r="P379" t="str">
        <f t="shared" si="17"/>
        <v>Positive</v>
      </c>
    </row>
    <row r="380" spans="1:16" x14ac:dyDescent="0.3">
      <c r="A380" s="1">
        <v>43733</v>
      </c>
      <c r="B380">
        <v>26.48</v>
      </c>
      <c r="C380">
        <v>116438000</v>
      </c>
      <c r="D380">
        <v>3.5350000000000001</v>
      </c>
      <c r="E380">
        <v>33</v>
      </c>
      <c r="F380">
        <v>2.73</v>
      </c>
      <c r="G380">
        <v>0.18870000000000001</v>
      </c>
      <c r="H380">
        <v>8</v>
      </c>
      <c r="I380">
        <v>5.63</v>
      </c>
      <c r="J380">
        <v>1</v>
      </c>
      <c r="K380">
        <f>YEAR(NetflixData[[#This Row],[date]])</f>
        <v>2019</v>
      </c>
      <c r="L380" t="str">
        <f>TEXT(NetflixData[[#This Row],[date]],"mmm")</f>
        <v>Sep</v>
      </c>
      <c r="M380" t="str">
        <f>TEXT(NetflixData[[#This Row],[date]],"mmm yyyy")</f>
        <v>Sep 2019</v>
      </c>
      <c r="N380" t="str">
        <f t="shared" si="15"/>
        <v>Trading Day</v>
      </c>
      <c r="O380" t="str">
        <f t="shared" si="16"/>
        <v>Positive</v>
      </c>
      <c r="P380" t="str">
        <f t="shared" si="17"/>
        <v>Positive</v>
      </c>
    </row>
    <row r="381" spans="1:16" x14ac:dyDescent="0.3">
      <c r="A381" s="1">
        <v>43734</v>
      </c>
      <c r="B381">
        <v>26.33</v>
      </c>
      <c r="C381">
        <v>76840000</v>
      </c>
      <c r="D381">
        <v>-1.167</v>
      </c>
      <c r="E381">
        <v>41</v>
      </c>
      <c r="F381">
        <v>3.12</v>
      </c>
      <c r="G381">
        <v>0.31730000000000003</v>
      </c>
      <c r="H381">
        <v>4</v>
      </c>
      <c r="I381">
        <v>6.82</v>
      </c>
      <c r="J381">
        <v>1</v>
      </c>
      <c r="K381">
        <f>YEAR(NetflixData[[#This Row],[date]])</f>
        <v>2019</v>
      </c>
      <c r="L381" t="str">
        <f>TEXT(NetflixData[[#This Row],[date]],"mmm")</f>
        <v>Sep</v>
      </c>
      <c r="M381" t="str">
        <f>TEXT(NetflixData[[#This Row],[date]],"mmm yyyy")</f>
        <v>Sep 2019</v>
      </c>
      <c r="N381" t="str">
        <f t="shared" si="15"/>
        <v>Trading Day</v>
      </c>
      <c r="O381" t="str">
        <f t="shared" si="16"/>
        <v>Negative</v>
      </c>
      <c r="P381" t="str">
        <f t="shared" si="17"/>
        <v>Positive</v>
      </c>
    </row>
    <row r="382" spans="1:16" x14ac:dyDescent="0.3">
      <c r="A382" s="1">
        <v>43735</v>
      </c>
      <c r="B382">
        <v>26.31</v>
      </c>
      <c r="C382">
        <v>73283000</v>
      </c>
      <c r="D382">
        <v>-1.165</v>
      </c>
      <c r="E382">
        <v>46</v>
      </c>
      <c r="F382">
        <v>2.89</v>
      </c>
      <c r="G382">
        <v>0.1812</v>
      </c>
      <c r="H382">
        <v>6</v>
      </c>
      <c r="I382">
        <v>5.87</v>
      </c>
      <c r="J382">
        <v>1</v>
      </c>
      <c r="K382">
        <f>YEAR(NetflixData[[#This Row],[date]])</f>
        <v>2019</v>
      </c>
      <c r="L382" t="str">
        <f>TEXT(NetflixData[[#This Row],[date]],"mmm")</f>
        <v>Sep</v>
      </c>
      <c r="M382" t="str">
        <f>TEXT(NetflixData[[#This Row],[date]],"mmm yyyy")</f>
        <v>Sep 2019</v>
      </c>
      <c r="N382" t="str">
        <f t="shared" si="15"/>
        <v>Non-Trading Day</v>
      </c>
      <c r="O382" t="str">
        <f t="shared" si="16"/>
        <v>Negative</v>
      </c>
      <c r="P382" t="str">
        <f t="shared" si="17"/>
        <v>Positive</v>
      </c>
    </row>
    <row r="383" spans="1:16" x14ac:dyDescent="0.3">
      <c r="A383" s="1">
        <v>43736</v>
      </c>
      <c r="B383">
        <v>26.31</v>
      </c>
      <c r="C383">
        <v>0</v>
      </c>
      <c r="D383">
        <v>0</v>
      </c>
      <c r="E383">
        <v>46</v>
      </c>
      <c r="F383">
        <v>2.78</v>
      </c>
      <c r="G383">
        <v>0.29820000000000002</v>
      </c>
      <c r="H383">
        <v>3</v>
      </c>
      <c r="I383">
        <v>5.35</v>
      </c>
      <c r="J383">
        <v>0</v>
      </c>
      <c r="K383">
        <f>YEAR(NetflixData[[#This Row],[date]])</f>
        <v>2019</v>
      </c>
      <c r="L383" t="str">
        <f>TEXT(NetflixData[[#This Row],[date]],"mmm")</f>
        <v>Sep</v>
      </c>
      <c r="M383" t="str">
        <f>TEXT(NetflixData[[#This Row],[date]],"mmm yyyy")</f>
        <v>Sep 2019</v>
      </c>
      <c r="N383" t="str">
        <f t="shared" si="15"/>
        <v>Non-Trading Day</v>
      </c>
      <c r="O383" t="str">
        <f t="shared" si="16"/>
        <v>No Change</v>
      </c>
      <c r="P383" t="str">
        <f t="shared" si="17"/>
        <v>Positive</v>
      </c>
    </row>
    <row r="384" spans="1:16" x14ac:dyDescent="0.3">
      <c r="A384" s="1">
        <v>43737</v>
      </c>
      <c r="B384">
        <v>26.31</v>
      </c>
      <c r="C384">
        <v>0</v>
      </c>
      <c r="D384">
        <v>0</v>
      </c>
      <c r="E384">
        <v>46</v>
      </c>
      <c r="F384">
        <v>2.72</v>
      </c>
      <c r="G384">
        <v>0.25130000000000002</v>
      </c>
      <c r="H384">
        <v>0</v>
      </c>
      <c r="J384">
        <v>0</v>
      </c>
      <c r="K384">
        <f>YEAR(NetflixData[[#This Row],[date]])</f>
        <v>2019</v>
      </c>
      <c r="L384" t="str">
        <f>TEXT(NetflixData[[#This Row],[date]],"mmm")</f>
        <v>Sep</v>
      </c>
      <c r="M384" t="str">
        <f>TEXT(NetflixData[[#This Row],[date]],"mmm yyyy")</f>
        <v>Sep 2019</v>
      </c>
      <c r="N384" t="str">
        <f t="shared" si="15"/>
        <v>Trading Day</v>
      </c>
      <c r="O384" t="str">
        <f t="shared" si="16"/>
        <v>No Change</v>
      </c>
      <c r="P384" t="str">
        <f t="shared" si="17"/>
        <v>Positive</v>
      </c>
    </row>
    <row r="385" spans="1:16" x14ac:dyDescent="0.3">
      <c r="A385" s="1">
        <v>43738</v>
      </c>
      <c r="B385">
        <v>26.76</v>
      </c>
      <c r="C385">
        <v>67272000</v>
      </c>
      <c r="D385">
        <v>1.371</v>
      </c>
      <c r="E385">
        <v>34</v>
      </c>
      <c r="F385">
        <v>3.24</v>
      </c>
      <c r="G385">
        <v>0.36919999999999997</v>
      </c>
      <c r="H385">
        <v>2</v>
      </c>
      <c r="J385">
        <v>1</v>
      </c>
      <c r="K385">
        <f>YEAR(NetflixData[[#This Row],[date]])</f>
        <v>2019</v>
      </c>
      <c r="L385" t="str">
        <f>TEXT(NetflixData[[#This Row],[date]],"mmm")</f>
        <v>Sep</v>
      </c>
      <c r="M385" t="str">
        <f>TEXT(NetflixData[[#This Row],[date]],"mmm yyyy")</f>
        <v>Sep 2019</v>
      </c>
      <c r="N385" t="str">
        <f t="shared" si="15"/>
        <v>Trading Day</v>
      </c>
      <c r="O385" t="str">
        <f t="shared" si="16"/>
        <v>Positive</v>
      </c>
      <c r="P385" t="str">
        <f t="shared" si="17"/>
        <v>Positive</v>
      </c>
    </row>
    <row r="386" spans="1:16" x14ac:dyDescent="0.3">
      <c r="A386" s="1">
        <v>43739</v>
      </c>
      <c r="B386">
        <v>26.96</v>
      </c>
      <c r="C386">
        <v>86503000</v>
      </c>
      <c r="D386">
        <v>0.83399999999999996</v>
      </c>
      <c r="E386">
        <v>59</v>
      </c>
      <c r="F386">
        <v>3.15</v>
      </c>
      <c r="G386">
        <v>0.15429999999999999</v>
      </c>
      <c r="H386">
        <v>63</v>
      </c>
      <c r="I386">
        <v>6.58</v>
      </c>
      <c r="J386">
        <v>1</v>
      </c>
      <c r="K386">
        <f>YEAR(NetflixData[[#This Row],[date]])</f>
        <v>2019</v>
      </c>
      <c r="L386" t="str">
        <f>TEXT(NetflixData[[#This Row],[date]],"mmm")</f>
        <v>Oct</v>
      </c>
      <c r="M386" t="str">
        <f>TEXT(NetflixData[[#This Row],[date]],"mmm yyyy")</f>
        <v>Oct 2019</v>
      </c>
      <c r="N386" t="str">
        <f t="shared" ref="N386:N449" si="18">IF(J387=1,"Trading Day","Non-Trading Day")</f>
        <v>Trading Day</v>
      </c>
      <c r="O386" t="str">
        <f t="shared" ref="O386:O449" si="19">IF(D386&gt;0,"Positive",IF(D386&lt;0,"Negative","No Change"))</f>
        <v>Positive</v>
      </c>
      <c r="P386" t="str">
        <f t="shared" ref="P386:P449" si="20">IF(G386&gt;0.1,"Positive",IF(G386&lt;-0.1,"Negative","Neutral"))</f>
        <v>Positive</v>
      </c>
    </row>
    <row r="387" spans="1:16" x14ac:dyDescent="0.3">
      <c r="A387" s="1">
        <v>43740</v>
      </c>
      <c r="B387">
        <v>26.8</v>
      </c>
      <c r="C387">
        <v>76591000</v>
      </c>
      <c r="D387">
        <v>1.677</v>
      </c>
      <c r="E387">
        <v>58</v>
      </c>
      <c r="F387">
        <v>2.97</v>
      </c>
      <c r="G387">
        <v>0.1867</v>
      </c>
      <c r="H387">
        <v>12</v>
      </c>
      <c r="I387">
        <v>6.96</v>
      </c>
      <c r="J387">
        <v>1</v>
      </c>
      <c r="K387">
        <f>YEAR(NetflixData[[#This Row],[date]])</f>
        <v>2019</v>
      </c>
      <c r="L387" t="str">
        <f>TEXT(NetflixData[[#This Row],[date]],"mmm")</f>
        <v>Oct</v>
      </c>
      <c r="M387" t="str">
        <f>TEXT(NetflixData[[#This Row],[date]],"mmm yyyy")</f>
        <v>Oct 2019</v>
      </c>
      <c r="N387" t="str">
        <f t="shared" si="18"/>
        <v>Trading Day</v>
      </c>
      <c r="O387" t="str">
        <f t="shared" si="19"/>
        <v>Positive</v>
      </c>
      <c r="P387" t="str">
        <f t="shared" si="20"/>
        <v>Positive</v>
      </c>
    </row>
    <row r="388" spans="1:16" x14ac:dyDescent="0.3">
      <c r="A388" s="1">
        <v>43741</v>
      </c>
      <c r="B388">
        <v>26.82</v>
      </c>
      <c r="C388">
        <v>89510000</v>
      </c>
      <c r="D388">
        <v>0.13800000000000001</v>
      </c>
      <c r="E388">
        <v>48</v>
      </c>
      <c r="F388">
        <v>2.81</v>
      </c>
      <c r="G388">
        <v>0.20349999999999999</v>
      </c>
      <c r="H388">
        <v>2</v>
      </c>
      <c r="I388">
        <v>7.4</v>
      </c>
      <c r="J388">
        <v>1</v>
      </c>
      <c r="K388">
        <f>YEAR(NetflixData[[#This Row],[date]])</f>
        <v>2019</v>
      </c>
      <c r="L388" t="str">
        <f>TEXT(NetflixData[[#This Row],[date]],"mmm")</f>
        <v>Oct</v>
      </c>
      <c r="M388" t="str">
        <f>TEXT(NetflixData[[#This Row],[date]],"mmm yyyy")</f>
        <v>Oct 2019</v>
      </c>
      <c r="N388" t="str">
        <f t="shared" si="18"/>
        <v>Trading Day</v>
      </c>
      <c r="O388" t="str">
        <f t="shared" si="19"/>
        <v>Positive</v>
      </c>
      <c r="P388" t="str">
        <f t="shared" si="20"/>
        <v>Positive</v>
      </c>
    </row>
    <row r="389" spans="1:16" x14ac:dyDescent="0.3">
      <c r="A389" s="1">
        <v>43742</v>
      </c>
      <c r="B389">
        <v>27.28</v>
      </c>
      <c r="C389">
        <v>98904000</v>
      </c>
      <c r="D389">
        <v>1.7110000000000001</v>
      </c>
      <c r="E389">
        <v>48</v>
      </c>
      <c r="F389">
        <v>2.83</v>
      </c>
      <c r="G389">
        <v>0.1754</v>
      </c>
      <c r="H389">
        <v>10</v>
      </c>
      <c r="I389">
        <v>6.73</v>
      </c>
      <c r="J389">
        <v>1</v>
      </c>
      <c r="K389">
        <f>YEAR(NetflixData[[#This Row],[date]])</f>
        <v>2019</v>
      </c>
      <c r="L389" t="str">
        <f>TEXT(NetflixData[[#This Row],[date]],"mmm")</f>
        <v>Oct</v>
      </c>
      <c r="M389" t="str">
        <f>TEXT(NetflixData[[#This Row],[date]],"mmm yyyy")</f>
        <v>Oct 2019</v>
      </c>
      <c r="N389" t="str">
        <f t="shared" si="18"/>
        <v>Non-Trading Day</v>
      </c>
      <c r="O389" t="str">
        <f t="shared" si="19"/>
        <v>Positive</v>
      </c>
      <c r="P389" t="str">
        <f t="shared" si="20"/>
        <v>Positive</v>
      </c>
    </row>
    <row r="390" spans="1:16" x14ac:dyDescent="0.3">
      <c r="A390" s="1">
        <v>43743</v>
      </c>
      <c r="B390">
        <v>27.28</v>
      </c>
      <c r="C390">
        <v>0</v>
      </c>
      <c r="D390">
        <v>0</v>
      </c>
      <c r="E390">
        <v>46</v>
      </c>
      <c r="F390">
        <v>2.85</v>
      </c>
      <c r="G390">
        <v>0.22470000000000001</v>
      </c>
      <c r="H390">
        <v>3</v>
      </c>
      <c r="I390">
        <v>6.93</v>
      </c>
      <c r="J390">
        <v>0</v>
      </c>
      <c r="K390">
        <f>YEAR(NetflixData[[#This Row],[date]])</f>
        <v>2019</v>
      </c>
      <c r="L390" t="str">
        <f>TEXT(NetflixData[[#This Row],[date]],"mmm")</f>
        <v>Oct</v>
      </c>
      <c r="M390" t="str">
        <f>TEXT(NetflixData[[#This Row],[date]],"mmm yyyy")</f>
        <v>Oct 2019</v>
      </c>
      <c r="N390" t="str">
        <f t="shared" si="18"/>
        <v>Non-Trading Day</v>
      </c>
      <c r="O390" t="str">
        <f t="shared" si="19"/>
        <v>No Change</v>
      </c>
      <c r="P390" t="str">
        <f t="shared" si="20"/>
        <v>Positive</v>
      </c>
    </row>
    <row r="391" spans="1:16" x14ac:dyDescent="0.3">
      <c r="A391" s="1">
        <v>43744</v>
      </c>
      <c r="B391">
        <v>27.28</v>
      </c>
      <c r="C391">
        <v>0</v>
      </c>
      <c r="D391">
        <v>0</v>
      </c>
      <c r="E391">
        <v>47</v>
      </c>
      <c r="F391">
        <v>2.72</v>
      </c>
      <c r="G391">
        <v>0.37859999999999999</v>
      </c>
      <c r="H391">
        <v>1</v>
      </c>
      <c r="I391">
        <v>7.4</v>
      </c>
      <c r="J391">
        <v>0</v>
      </c>
      <c r="K391">
        <f>YEAR(NetflixData[[#This Row],[date]])</f>
        <v>2019</v>
      </c>
      <c r="L391" t="str">
        <f>TEXT(NetflixData[[#This Row],[date]],"mmm")</f>
        <v>Oct</v>
      </c>
      <c r="M391" t="str">
        <f>TEXT(NetflixData[[#This Row],[date]],"mmm yyyy")</f>
        <v>Oct 2019</v>
      </c>
      <c r="N391" t="str">
        <f t="shared" si="18"/>
        <v>Trading Day</v>
      </c>
      <c r="O391" t="str">
        <f t="shared" si="19"/>
        <v>No Change</v>
      </c>
      <c r="P391" t="str">
        <f t="shared" si="20"/>
        <v>Positive</v>
      </c>
    </row>
    <row r="392" spans="1:16" x14ac:dyDescent="0.3">
      <c r="A392" s="1">
        <v>43745</v>
      </c>
      <c r="B392">
        <v>27.45</v>
      </c>
      <c r="C392">
        <v>65256000</v>
      </c>
      <c r="D392">
        <v>0.90800000000000003</v>
      </c>
      <c r="E392">
        <v>56</v>
      </c>
      <c r="F392">
        <v>2.95</v>
      </c>
      <c r="G392">
        <v>0.2286</v>
      </c>
      <c r="H392">
        <v>1</v>
      </c>
      <c r="I392">
        <v>7</v>
      </c>
      <c r="J392">
        <v>1</v>
      </c>
      <c r="K392">
        <f>YEAR(NetflixData[[#This Row],[date]])</f>
        <v>2019</v>
      </c>
      <c r="L392" t="str">
        <f>TEXT(NetflixData[[#This Row],[date]],"mmm")</f>
        <v>Oct</v>
      </c>
      <c r="M392" t="str">
        <f>TEXT(NetflixData[[#This Row],[date]],"mmm yyyy")</f>
        <v>Oct 2019</v>
      </c>
      <c r="N392" t="str">
        <f t="shared" si="18"/>
        <v>Trading Day</v>
      </c>
      <c r="O392" t="str">
        <f t="shared" si="19"/>
        <v>Positive</v>
      </c>
      <c r="P392" t="str">
        <f t="shared" si="20"/>
        <v>Positive</v>
      </c>
    </row>
    <row r="393" spans="1:16" x14ac:dyDescent="0.3">
      <c r="A393" s="1">
        <v>43746</v>
      </c>
      <c r="B393">
        <v>27.07</v>
      </c>
      <c r="C393">
        <v>62764000</v>
      </c>
      <c r="D393">
        <v>-0.84599999999999997</v>
      </c>
      <c r="E393">
        <v>54</v>
      </c>
      <c r="F393">
        <v>2.7</v>
      </c>
      <c r="G393">
        <v>0.23769999999999999</v>
      </c>
      <c r="H393">
        <v>2</v>
      </c>
      <c r="J393">
        <v>1</v>
      </c>
      <c r="K393">
        <f>YEAR(NetflixData[[#This Row],[date]])</f>
        <v>2019</v>
      </c>
      <c r="L393" t="str">
        <f>TEXT(NetflixData[[#This Row],[date]],"mmm")</f>
        <v>Oct</v>
      </c>
      <c r="M393" t="str">
        <f>TEXT(NetflixData[[#This Row],[date]],"mmm yyyy")</f>
        <v>Oct 2019</v>
      </c>
      <c r="N393" t="str">
        <f t="shared" si="18"/>
        <v>Trading Day</v>
      </c>
      <c r="O393" t="str">
        <f t="shared" si="19"/>
        <v>Negative</v>
      </c>
      <c r="P393" t="str">
        <f t="shared" si="20"/>
        <v>Positive</v>
      </c>
    </row>
    <row r="394" spans="1:16" x14ac:dyDescent="0.3">
      <c r="A394" s="1">
        <v>43747</v>
      </c>
      <c r="B394">
        <v>26.75</v>
      </c>
      <c r="C394">
        <v>67944000</v>
      </c>
      <c r="D394">
        <v>-0.92200000000000004</v>
      </c>
      <c r="E394">
        <v>43</v>
      </c>
      <c r="F394">
        <v>3.07</v>
      </c>
      <c r="G394">
        <v>0.3599</v>
      </c>
      <c r="H394">
        <v>3</v>
      </c>
      <c r="I394">
        <v>5.77</v>
      </c>
      <c r="J394">
        <v>1</v>
      </c>
      <c r="K394">
        <f>YEAR(NetflixData[[#This Row],[date]])</f>
        <v>2019</v>
      </c>
      <c r="L394" t="str">
        <f>TEXT(NetflixData[[#This Row],[date]],"mmm")</f>
        <v>Oct</v>
      </c>
      <c r="M394" t="str">
        <f>TEXT(NetflixData[[#This Row],[date]],"mmm yyyy")</f>
        <v>Oct 2019</v>
      </c>
      <c r="N394" t="str">
        <f t="shared" si="18"/>
        <v>Trading Day</v>
      </c>
      <c r="O394" t="str">
        <f t="shared" si="19"/>
        <v>Negative</v>
      </c>
      <c r="P394" t="str">
        <f t="shared" si="20"/>
        <v>Positive</v>
      </c>
    </row>
    <row r="395" spans="1:16" x14ac:dyDescent="0.3">
      <c r="A395" s="1">
        <v>43748</v>
      </c>
      <c r="B395">
        <v>28.05</v>
      </c>
      <c r="C395">
        <v>108091000</v>
      </c>
      <c r="D395">
        <v>5.4560000000000004</v>
      </c>
      <c r="E395">
        <v>37</v>
      </c>
      <c r="F395">
        <v>3.11</v>
      </c>
      <c r="G395">
        <v>0.30659999999999998</v>
      </c>
      <c r="H395">
        <v>3</v>
      </c>
      <c r="I395">
        <v>6</v>
      </c>
      <c r="J395">
        <v>1</v>
      </c>
      <c r="K395">
        <f>YEAR(NetflixData[[#This Row],[date]])</f>
        <v>2019</v>
      </c>
      <c r="L395" t="str">
        <f>TEXT(NetflixData[[#This Row],[date]],"mmm")</f>
        <v>Oct</v>
      </c>
      <c r="M395" t="str">
        <f>TEXT(NetflixData[[#This Row],[date]],"mmm yyyy")</f>
        <v>Oct 2019</v>
      </c>
      <c r="N395" t="str">
        <f t="shared" si="18"/>
        <v>Trading Day</v>
      </c>
      <c r="O395" t="str">
        <f t="shared" si="19"/>
        <v>Positive</v>
      </c>
      <c r="P395" t="str">
        <f t="shared" si="20"/>
        <v>Positive</v>
      </c>
    </row>
    <row r="396" spans="1:16" x14ac:dyDescent="0.3">
      <c r="A396" s="1">
        <v>43749</v>
      </c>
      <c r="B396">
        <v>28.29</v>
      </c>
      <c r="C396">
        <v>87861000</v>
      </c>
      <c r="D396">
        <v>-0.65700000000000003</v>
      </c>
      <c r="E396">
        <v>46</v>
      </c>
      <c r="F396">
        <v>3.13</v>
      </c>
      <c r="G396">
        <v>0.24759999999999999</v>
      </c>
      <c r="H396">
        <v>9</v>
      </c>
      <c r="I396">
        <v>5.8</v>
      </c>
      <c r="J396">
        <v>1</v>
      </c>
      <c r="K396">
        <f>YEAR(NetflixData[[#This Row],[date]])</f>
        <v>2019</v>
      </c>
      <c r="L396" t="str">
        <f>TEXT(NetflixData[[#This Row],[date]],"mmm")</f>
        <v>Oct</v>
      </c>
      <c r="M396" t="str">
        <f>TEXT(NetflixData[[#This Row],[date]],"mmm yyyy")</f>
        <v>Oct 2019</v>
      </c>
      <c r="N396" t="str">
        <f t="shared" si="18"/>
        <v>Non-Trading Day</v>
      </c>
      <c r="O396" t="str">
        <f t="shared" si="19"/>
        <v>Negative</v>
      </c>
      <c r="P396" t="str">
        <f t="shared" si="20"/>
        <v>Positive</v>
      </c>
    </row>
    <row r="397" spans="1:16" x14ac:dyDescent="0.3">
      <c r="A397" s="1">
        <v>43750</v>
      </c>
      <c r="B397">
        <v>28.29</v>
      </c>
      <c r="C397">
        <v>0</v>
      </c>
      <c r="D397">
        <v>0</v>
      </c>
      <c r="E397">
        <v>48</v>
      </c>
      <c r="F397">
        <v>3.15</v>
      </c>
      <c r="G397">
        <v>0.24260000000000001</v>
      </c>
      <c r="H397">
        <v>0</v>
      </c>
      <c r="J397">
        <v>0</v>
      </c>
      <c r="K397">
        <f>YEAR(NetflixData[[#This Row],[date]])</f>
        <v>2019</v>
      </c>
      <c r="L397" t="str">
        <f>TEXT(NetflixData[[#This Row],[date]],"mmm")</f>
        <v>Oct</v>
      </c>
      <c r="M397" t="str">
        <f>TEXT(NetflixData[[#This Row],[date]],"mmm yyyy")</f>
        <v>Oct 2019</v>
      </c>
      <c r="N397" t="str">
        <f t="shared" si="18"/>
        <v>Non-Trading Day</v>
      </c>
      <c r="O397" t="str">
        <f t="shared" si="19"/>
        <v>No Change</v>
      </c>
      <c r="P397" t="str">
        <f t="shared" si="20"/>
        <v>Positive</v>
      </c>
    </row>
    <row r="398" spans="1:16" x14ac:dyDescent="0.3">
      <c r="A398" s="1">
        <v>43751</v>
      </c>
      <c r="B398">
        <v>28.29</v>
      </c>
      <c r="C398">
        <v>0</v>
      </c>
      <c r="D398">
        <v>0</v>
      </c>
      <c r="E398">
        <v>41</v>
      </c>
      <c r="F398">
        <v>2.44</v>
      </c>
      <c r="G398">
        <v>0.23980000000000001</v>
      </c>
      <c r="H398">
        <v>2</v>
      </c>
      <c r="I398">
        <v>6.75</v>
      </c>
      <c r="J398">
        <v>0</v>
      </c>
      <c r="K398">
        <f>YEAR(NetflixData[[#This Row],[date]])</f>
        <v>2019</v>
      </c>
      <c r="L398" t="str">
        <f>TEXT(NetflixData[[#This Row],[date]],"mmm")</f>
        <v>Oct</v>
      </c>
      <c r="M398" t="str">
        <f>TEXT(NetflixData[[#This Row],[date]],"mmm yyyy")</f>
        <v>Oct 2019</v>
      </c>
      <c r="N398" t="str">
        <f t="shared" si="18"/>
        <v>Trading Day</v>
      </c>
      <c r="O398" t="str">
        <f t="shared" si="19"/>
        <v>No Change</v>
      </c>
      <c r="P398" t="str">
        <f t="shared" si="20"/>
        <v>Positive</v>
      </c>
    </row>
    <row r="399" spans="1:16" x14ac:dyDescent="0.3">
      <c r="A399" s="1">
        <v>43752</v>
      </c>
      <c r="B399">
        <v>28.55</v>
      </c>
      <c r="C399">
        <v>55132000</v>
      </c>
      <c r="D399">
        <v>0.56399999999999995</v>
      </c>
      <c r="E399">
        <v>39</v>
      </c>
      <c r="F399">
        <v>2.74</v>
      </c>
      <c r="G399">
        <v>0.29330000000000001</v>
      </c>
      <c r="H399">
        <v>1</v>
      </c>
      <c r="J399">
        <v>1</v>
      </c>
      <c r="K399">
        <f>YEAR(NetflixData[[#This Row],[date]])</f>
        <v>2019</v>
      </c>
      <c r="L399" t="str">
        <f>TEXT(NetflixData[[#This Row],[date]],"mmm")</f>
        <v>Oct</v>
      </c>
      <c r="M399" t="str">
        <f>TEXT(NetflixData[[#This Row],[date]],"mmm yyyy")</f>
        <v>Oct 2019</v>
      </c>
      <c r="N399" t="str">
        <f t="shared" si="18"/>
        <v>Trading Day</v>
      </c>
      <c r="O399" t="str">
        <f t="shared" si="19"/>
        <v>Positive</v>
      </c>
      <c r="P399" t="str">
        <f t="shared" si="20"/>
        <v>Positive</v>
      </c>
    </row>
    <row r="400" spans="1:16" x14ac:dyDescent="0.3">
      <c r="A400" s="1">
        <v>43753</v>
      </c>
      <c r="B400">
        <v>28.42</v>
      </c>
      <c r="C400">
        <v>76856000</v>
      </c>
      <c r="D400">
        <v>0.152</v>
      </c>
      <c r="E400">
        <v>46</v>
      </c>
      <c r="F400">
        <v>3.07</v>
      </c>
      <c r="G400">
        <v>0.1527</v>
      </c>
      <c r="H400">
        <v>4</v>
      </c>
      <c r="I400">
        <v>6.63</v>
      </c>
      <c r="J400">
        <v>1</v>
      </c>
      <c r="K400">
        <f>YEAR(NetflixData[[#This Row],[date]])</f>
        <v>2019</v>
      </c>
      <c r="L400" t="str">
        <f>TEXT(NetflixData[[#This Row],[date]],"mmm")</f>
        <v>Oct</v>
      </c>
      <c r="M400" t="str">
        <f>TEXT(NetflixData[[#This Row],[date]],"mmm yyyy")</f>
        <v>Oct 2019</v>
      </c>
      <c r="N400" t="str">
        <f t="shared" si="18"/>
        <v>Trading Day</v>
      </c>
      <c r="O400" t="str">
        <f t="shared" si="19"/>
        <v>Positive</v>
      </c>
      <c r="P400" t="str">
        <f t="shared" si="20"/>
        <v>Positive</v>
      </c>
    </row>
    <row r="401" spans="1:16" x14ac:dyDescent="0.3">
      <c r="A401" s="1">
        <v>43754</v>
      </c>
      <c r="B401">
        <v>28.63</v>
      </c>
      <c r="C401">
        <v>161759000</v>
      </c>
      <c r="D401">
        <v>1.1160000000000001</v>
      </c>
      <c r="E401">
        <v>55</v>
      </c>
      <c r="F401">
        <v>2.87</v>
      </c>
      <c r="G401">
        <v>0.19450000000000001</v>
      </c>
      <c r="H401">
        <v>7</v>
      </c>
      <c r="I401">
        <v>6.78</v>
      </c>
      <c r="J401">
        <v>1</v>
      </c>
      <c r="K401">
        <f>YEAR(NetflixData[[#This Row],[date]])</f>
        <v>2019</v>
      </c>
      <c r="L401" t="str">
        <f>TEXT(NetflixData[[#This Row],[date]],"mmm")</f>
        <v>Oct</v>
      </c>
      <c r="M401" t="str">
        <f>TEXT(NetflixData[[#This Row],[date]],"mmm yyyy")</f>
        <v>Oct 2019</v>
      </c>
      <c r="N401" t="str">
        <f t="shared" si="18"/>
        <v>Trading Day</v>
      </c>
      <c r="O401" t="str">
        <f t="shared" si="19"/>
        <v>Positive</v>
      </c>
      <c r="P401" t="str">
        <f t="shared" si="20"/>
        <v>Positive</v>
      </c>
    </row>
    <row r="402" spans="1:16" x14ac:dyDescent="0.3">
      <c r="A402" s="1">
        <v>43755</v>
      </c>
      <c r="B402">
        <v>29.33</v>
      </c>
      <c r="C402">
        <v>382589000</v>
      </c>
      <c r="D402">
        <v>-3.6589999999999998</v>
      </c>
      <c r="E402">
        <v>51</v>
      </c>
      <c r="F402">
        <v>3.43</v>
      </c>
      <c r="G402">
        <v>0.34110000000000001</v>
      </c>
      <c r="H402">
        <v>3</v>
      </c>
      <c r="I402">
        <v>6.3</v>
      </c>
      <c r="J402">
        <v>1</v>
      </c>
      <c r="K402">
        <f>YEAR(NetflixData[[#This Row],[date]])</f>
        <v>2019</v>
      </c>
      <c r="L402" t="str">
        <f>TEXT(NetflixData[[#This Row],[date]],"mmm")</f>
        <v>Oct</v>
      </c>
      <c r="M402" t="str">
        <f>TEXT(NetflixData[[#This Row],[date]],"mmm yyyy")</f>
        <v>Oct 2019</v>
      </c>
      <c r="N402" t="str">
        <f t="shared" si="18"/>
        <v>Trading Day</v>
      </c>
      <c r="O402" t="str">
        <f t="shared" si="19"/>
        <v>Negative</v>
      </c>
      <c r="P402" t="str">
        <f t="shared" si="20"/>
        <v>Positive</v>
      </c>
    </row>
    <row r="403" spans="1:16" x14ac:dyDescent="0.3">
      <c r="A403" s="1">
        <v>43756</v>
      </c>
      <c r="B403">
        <v>27.53</v>
      </c>
      <c r="C403">
        <v>234299000</v>
      </c>
      <c r="D403">
        <v>-4.859</v>
      </c>
      <c r="E403">
        <v>44</v>
      </c>
      <c r="F403">
        <v>3.3</v>
      </c>
      <c r="G403">
        <v>0.36049999999999999</v>
      </c>
      <c r="H403">
        <v>24</v>
      </c>
      <c r="I403">
        <v>6.54</v>
      </c>
      <c r="J403">
        <v>1</v>
      </c>
      <c r="K403">
        <f>YEAR(NetflixData[[#This Row],[date]])</f>
        <v>2019</v>
      </c>
      <c r="L403" t="str">
        <f>TEXT(NetflixData[[#This Row],[date]],"mmm")</f>
        <v>Oct</v>
      </c>
      <c r="M403" t="str">
        <f>TEXT(NetflixData[[#This Row],[date]],"mmm yyyy")</f>
        <v>Oct 2019</v>
      </c>
      <c r="N403" t="str">
        <f t="shared" si="18"/>
        <v>Non-Trading Day</v>
      </c>
      <c r="O403" t="str">
        <f t="shared" si="19"/>
        <v>Negative</v>
      </c>
      <c r="P403" t="str">
        <f t="shared" si="20"/>
        <v>Positive</v>
      </c>
    </row>
    <row r="404" spans="1:16" x14ac:dyDescent="0.3">
      <c r="A404" s="1">
        <v>43757</v>
      </c>
      <c r="B404">
        <v>27.53</v>
      </c>
      <c r="C404">
        <v>0</v>
      </c>
      <c r="D404">
        <v>0</v>
      </c>
      <c r="E404">
        <v>51</v>
      </c>
      <c r="F404">
        <v>3.14</v>
      </c>
      <c r="G404">
        <v>0.38890000000000002</v>
      </c>
      <c r="H404">
        <v>3</v>
      </c>
      <c r="I404">
        <v>6.95</v>
      </c>
      <c r="J404">
        <v>0</v>
      </c>
      <c r="K404">
        <f>YEAR(NetflixData[[#This Row],[date]])</f>
        <v>2019</v>
      </c>
      <c r="L404" t="str">
        <f>TEXT(NetflixData[[#This Row],[date]],"mmm")</f>
        <v>Oct</v>
      </c>
      <c r="M404" t="str">
        <f>TEXT(NetflixData[[#This Row],[date]],"mmm yyyy")</f>
        <v>Oct 2019</v>
      </c>
      <c r="N404" t="str">
        <f t="shared" si="18"/>
        <v>Non-Trading Day</v>
      </c>
      <c r="O404" t="str">
        <f t="shared" si="19"/>
        <v>No Change</v>
      </c>
      <c r="P404" t="str">
        <f t="shared" si="20"/>
        <v>Positive</v>
      </c>
    </row>
    <row r="405" spans="1:16" x14ac:dyDescent="0.3">
      <c r="A405" s="1">
        <v>43758</v>
      </c>
      <c r="B405">
        <v>27.53</v>
      </c>
      <c r="C405">
        <v>0</v>
      </c>
      <c r="D405">
        <v>0</v>
      </c>
      <c r="E405">
        <v>52</v>
      </c>
      <c r="F405">
        <v>3.27</v>
      </c>
      <c r="G405">
        <v>0.20499999999999999</v>
      </c>
      <c r="H405">
        <v>0</v>
      </c>
      <c r="J405">
        <v>0</v>
      </c>
      <c r="K405">
        <f>YEAR(NetflixData[[#This Row],[date]])</f>
        <v>2019</v>
      </c>
      <c r="L405" t="str">
        <f>TEXT(NetflixData[[#This Row],[date]],"mmm")</f>
        <v>Oct</v>
      </c>
      <c r="M405" t="str">
        <f>TEXT(NetflixData[[#This Row],[date]],"mmm yyyy")</f>
        <v>Oct 2019</v>
      </c>
      <c r="N405" t="str">
        <f t="shared" si="18"/>
        <v>Trading Day</v>
      </c>
      <c r="O405" t="str">
        <f t="shared" si="19"/>
        <v>No Change</v>
      </c>
      <c r="P405" t="str">
        <f t="shared" si="20"/>
        <v>Positive</v>
      </c>
    </row>
    <row r="406" spans="1:16" x14ac:dyDescent="0.3">
      <c r="A406" s="1">
        <v>43759</v>
      </c>
      <c r="B406">
        <v>27.81</v>
      </c>
      <c r="C406">
        <v>125992000</v>
      </c>
      <c r="D406">
        <v>1.891</v>
      </c>
      <c r="E406">
        <v>41</v>
      </c>
      <c r="F406">
        <v>3.17</v>
      </c>
      <c r="G406">
        <v>0.3417</v>
      </c>
      <c r="H406">
        <v>1</v>
      </c>
      <c r="I406">
        <v>6.3</v>
      </c>
      <c r="J406">
        <v>1</v>
      </c>
      <c r="K406">
        <f>YEAR(NetflixData[[#This Row],[date]])</f>
        <v>2019</v>
      </c>
      <c r="L406" t="str">
        <f>TEXT(NetflixData[[#This Row],[date]],"mmm")</f>
        <v>Oct</v>
      </c>
      <c r="M406" t="str">
        <f>TEXT(NetflixData[[#This Row],[date]],"mmm yyyy")</f>
        <v>Oct 2019</v>
      </c>
      <c r="N406" t="str">
        <f t="shared" si="18"/>
        <v>Trading Day</v>
      </c>
      <c r="O406" t="str">
        <f t="shared" si="19"/>
        <v>Positive</v>
      </c>
      <c r="P406" t="str">
        <f t="shared" si="20"/>
        <v>Positive</v>
      </c>
    </row>
    <row r="407" spans="1:16" x14ac:dyDescent="0.3">
      <c r="A407" s="1">
        <v>43760</v>
      </c>
      <c r="B407">
        <v>26.67</v>
      </c>
      <c r="C407">
        <v>118024000</v>
      </c>
      <c r="D407">
        <v>-1.6479999999999999</v>
      </c>
      <c r="E407">
        <v>47</v>
      </c>
      <c r="F407">
        <v>3.62</v>
      </c>
      <c r="G407">
        <v>0.45169999999999999</v>
      </c>
      <c r="H407">
        <v>6</v>
      </c>
      <c r="I407">
        <v>6.15</v>
      </c>
      <c r="J407">
        <v>1</v>
      </c>
      <c r="K407">
        <f>YEAR(NetflixData[[#This Row],[date]])</f>
        <v>2019</v>
      </c>
      <c r="L407" t="str">
        <f>TEXT(NetflixData[[#This Row],[date]],"mmm")</f>
        <v>Oct</v>
      </c>
      <c r="M407" t="str">
        <f>TEXT(NetflixData[[#This Row],[date]],"mmm yyyy")</f>
        <v>Oct 2019</v>
      </c>
      <c r="N407" t="str">
        <f t="shared" si="18"/>
        <v>Trading Day</v>
      </c>
      <c r="O407" t="str">
        <f t="shared" si="19"/>
        <v>Negative</v>
      </c>
      <c r="P407" t="str">
        <f t="shared" si="20"/>
        <v>Positive</v>
      </c>
    </row>
    <row r="408" spans="1:16" x14ac:dyDescent="0.3">
      <c r="A408" s="1">
        <v>43761</v>
      </c>
      <c r="B408">
        <v>27.13</v>
      </c>
      <c r="C408">
        <v>71335000</v>
      </c>
      <c r="D408">
        <v>1.1970000000000001</v>
      </c>
      <c r="E408">
        <v>38</v>
      </c>
      <c r="F408">
        <v>2.5299999999999998</v>
      </c>
      <c r="G408">
        <v>0.31069999999999998</v>
      </c>
      <c r="H408">
        <v>4</v>
      </c>
      <c r="I408">
        <v>6.6</v>
      </c>
      <c r="J408">
        <v>1</v>
      </c>
      <c r="K408">
        <f>YEAR(NetflixData[[#This Row],[date]])</f>
        <v>2019</v>
      </c>
      <c r="L408" t="str">
        <f>TEXT(NetflixData[[#This Row],[date]],"mmm")</f>
        <v>Oct</v>
      </c>
      <c r="M408" t="str">
        <f>TEXT(NetflixData[[#This Row],[date]],"mmm yyyy")</f>
        <v>Oct 2019</v>
      </c>
      <c r="N408" t="str">
        <f t="shared" si="18"/>
        <v>Trading Day</v>
      </c>
      <c r="O408" t="str">
        <f t="shared" si="19"/>
        <v>Positive</v>
      </c>
      <c r="P408" t="str">
        <f t="shared" si="20"/>
        <v>Positive</v>
      </c>
    </row>
    <row r="409" spans="1:16" x14ac:dyDescent="0.3">
      <c r="A409" s="1">
        <v>43762</v>
      </c>
      <c r="B409">
        <v>27.15</v>
      </c>
      <c r="C409">
        <v>48274000</v>
      </c>
      <c r="D409">
        <v>-0.114</v>
      </c>
      <c r="E409">
        <v>35</v>
      </c>
      <c r="F409">
        <v>2.94</v>
      </c>
      <c r="G409">
        <v>0.248</v>
      </c>
      <c r="H409">
        <v>3</v>
      </c>
      <c r="I409">
        <v>7</v>
      </c>
      <c r="J409">
        <v>1</v>
      </c>
      <c r="K409">
        <f>YEAR(NetflixData[[#This Row],[date]])</f>
        <v>2019</v>
      </c>
      <c r="L409" t="str">
        <f>TEXT(NetflixData[[#This Row],[date]],"mmm")</f>
        <v>Oct</v>
      </c>
      <c r="M409" t="str">
        <f>TEXT(NetflixData[[#This Row],[date]],"mmm yyyy")</f>
        <v>Oct 2019</v>
      </c>
      <c r="N409" t="str">
        <f t="shared" si="18"/>
        <v>Trading Day</v>
      </c>
      <c r="O409" t="str">
        <f t="shared" si="19"/>
        <v>Negative</v>
      </c>
      <c r="P409" t="str">
        <f t="shared" si="20"/>
        <v>Positive</v>
      </c>
    </row>
    <row r="410" spans="1:16" x14ac:dyDescent="0.3">
      <c r="A410" s="1">
        <v>43763</v>
      </c>
      <c r="B410">
        <v>27.68</v>
      </c>
      <c r="C410">
        <v>47478000</v>
      </c>
      <c r="D410">
        <v>2.2679999999999998</v>
      </c>
      <c r="E410">
        <v>38</v>
      </c>
      <c r="F410">
        <v>3.37</v>
      </c>
      <c r="G410">
        <v>0.36759999999999998</v>
      </c>
      <c r="H410">
        <v>17</v>
      </c>
      <c r="I410">
        <v>6.61</v>
      </c>
      <c r="J410">
        <v>1</v>
      </c>
      <c r="K410">
        <f>YEAR(NetflixData[[#This Row],[date]])</f>
        <v>2019</v>
      </c>
      <c r="L410" t="str">
        <f>TEXT(NetflixData[[#This Row],[date]],"mmm")</f>
        <v>Oct</v>
      </c>
      <c r="M410" t="str">
        <f>TEXT(NetflixData[[#This Row],[date]],"mmm yyyy")</f>
        <v>Oct 2019</v>
      </c>
      <c r="N410" t="str">
        <f t="shared" si="18"/>
        <v>Non-Trading Day</v>
      </c>
      <c r="O410" t="str">
        <f t="shared" si="19"/>
        <v>Positive</v>
      </c>
      <c r="P410" t="str">
        <f t="shared" si="20"/>
        <v>Positive</v>
      </c>
    </row>
    <row r="411" spans="1:16" x14ac:dyDescent="0.3">
      <c r="A411" s="1">
        <v>43764</v>
      </c>
      <c r="B411">
        <v>27.68</v>
      </c>
      <c r="C411">
        <v>0</v>
      </c>
      <c r="D411">
        <v>0</v>
      </c>
      <c r="E411">
        <v>49</v>
      </c>
      <c r="F411">
        <v>3.16</v>
      </c>
      <c r="G411">
        <v>0.19839999999999999</v>
      </c>
      <c r="H411">
        <v>2</v>
      </c>
      <c r="I411">
        <v>6.35</v>
      </c>
      <c r="J411">
        <v>0</v>
      </c>
      <c r="K411">
        <f>YEAR(NetflixData[[#This Row],[date]])</f>
        <v>2019</v>
      </c>
      <c r="L411" t="str">
        <f>TEXT(NetflixData[[#This Row],[date]],"mmm")</f>
        <v>Oct</v>
      </c>
      <c r="M411" t="str">
        <f>TEXT(NetflixData[[#This Row],[date]],"mmm yyyy")</f>
        <v>Oct 2019</v>
      </c>
      <c r="N411" t="str">
        <f t="shared" si="18"/>
        <v>Non-Trading Day</v>
      </c>
      <c r="O411" t="str">
        <f t="shared" si="19"/>
        <v>No Change</v>
      </c>
      <c r="P411" t="str">
        <f t="shared" si="20"/>
        <v>Positive</v>
      </c>
    </row>
    <row r="412" spans="1:16" x14ac:dyDescent="0.3">
      <c r="A412" s="1">
        <v>43765</v>
      </c>
      <c r="B412">
        <v>27.68</v>
      </c>
      <c r="C412">
        <v>0</v>
      </c>
      <c r="D412">
        <v>0</v>
      </c>
      <c r="E412">
        <v>52</v>
      </c>
      <c r="F412">
        <v>3.12</v>
      </c>
      <c r="G412">
        <v>0.29909999999999998</v>
      </c>
      <c r="H412">
        <v>1</v>
      </c>
      <c r="I412">
        <v>7.7</v>
      </c>
      <c r="J412">
        <v>0</v>
      </c>
      <c r="K412">
        <f>YEAR(NetflixData[[#This Row],[date]])</f>
        <v>2019</v>
      </c>
      <c r="L412" t="str">
        <f>TEXT(NetflixData[[#This Row],[date]],"mmm")</f>
        <v>Oct</v>
      </c>
      <c r="M412" t="str">
        <f>TEXT(NetflixData[[#This Row],[date]],"mmm yyyy")</f>
        <v>Oct 2019</v>
      </c>
      <c r="N412" t="str">
        <f t="shared" si="18"/>
        <v>Trading Day</v>
      </c>
      <c r="O412" t="str">
        <f t="shared" si="19"/>
        <v>No Change</v>
      </c>
      <c r="P412" t="str">
        <f t="shared" si="20"/>
        <v>Positive</v>
      </c>
    </row>
    <row r="413" spans="1:16" x14ac:dyDescent="0.3">
      <c r="A413" s="1">
        <v>43766</v>
      </c>
      <c r="B413">
        <v>28.19</v>
      </c>
      <c r="C413">
        <v>62484000</v>
      </c>
      <c r="D413">
        <v>1.37</v>
      </c>
      <c r="E413">
        <v>49</v>
      </c>
      <c r="F413">
        <v>3.24</v>
      </c>
      <c r="G413">
        <v>0.27210000000000001</v>
      </c>
      <c r="H413">
        <v>2</v>
      </c>
      <c r="J413">
        <v>1</v>
      </c>
      <c r="K413">
        <f>YEAR(NetflixData[[#This Row],[date]])</f>
        <v>2019</v>
      </c>
      <c r="L413" t="str">
        <f>TEXT(NetflixData[[#This Row],[date]],"mmm")</f>
        <v>Oct</v>
      </c>
      <c r="M413" t="str">
        <f>TEXT(NetflixData[[#This Row],[date]],"mmm yyyy")</f>
        <v>Oct 2019</v>
      </c>
      <c r="N413" t="str">
        <f t="shared" si="18"/>
        <v>Trading Day</v>
      </c>
      <c r="O413" t="str">
        <f t="shared" si="19"/>
        <v>Positive</v>
      </c>
      <c r="P413" t="str">
        <f t="shared" si="20"/>
        <v>Positive</v>
      </c>
    </row>
    <row r="414" spans="1:16" x14ac:dyDescent="0.3">
      <c r="A414" s="1">
        <v>43767</v>
      </c>
      <c r="B414">
        <v>28.12</v>
      </c>
      <c r="C414">
        <v>43562000</v>
      </c>
      <c r="D414">
        <v>-0.23400000000000001</v>
      </c>
      <c r="E414">
        <v>58</v>
      </c>
      <c r="F414">
        <v>3.62</v>
      </c>
      <c r="G414">
        <v>0.36330000000000001</v>
      </c>
      <c r="H414">
        <v>3</v>
      </c>
      <c r="I414">
        <v>7.4</v>
      </c>
      <c r="J414">
        <v>1</v>
      </c>
      <c r="K414">
        <f>YEAR(NetflixData[[#This Row],[date]])</f>
        <v>2019</v>
      </c>
      <c r="L414" t="str">
        <f>TEXT(NetflixData[[#This Row],[date]],"mmm")</f>
        <v>Oct</v>
      </c>
      <c r="M414" t="str">
        <f>TEXT(NetflixData[[#This Row],[date]],"mmm yyyy")</f>
        <v>Oct 2019</v>
      </c>
      <c r="N414" t="str">
        <f t="shared" si="18"/>
        <v>Trading Day</v>
      </c>
      <c r="O414" t="str">
        <f t="shared" si="19"/>
        <v>Negative</v>
      </c>
      <c r="P414" t="str">
        <f t="shared" si="20"/>
        <v>Positive</v>
      </c>
    </row>
    <row r="415" spans="1:16" x14ac:dyDescent="0.3">
      <c r="A415" s="1">
        <v>43768</v>
      </c>
      <c r="B415">
        <v>29.15</v>
      </c>
      <c r="C415">
        <v>93456000</v>
      </c>
      <c r="D415">
        <v>2.5009999999999999</v>
      </c>
      <c r="E415">
        <v>50</v>
      </c>
      <c r="F415">
        <v>2.88</v>
      </c>
      <c r="G415">
        <v>0.33489999999999998</v>
      </c>
      <c r="H415">
        <v>4</v>
      </c>
      <c r="I415">
        <v>7.05</v>
      </c>
      <c r="J415">
        <v>1</v>
      </c>
      <c r="K415">
        <f>YEAR(NetflixData[[#This Row],[date]])</f>
        <v>2019</v>
      </c>
      <c r="L415" t="str">
        <f>TEXT(NetflixData[[#This Row],[date]],"mmm")</f>
        <v>Oct</v>
      </c>
      <c r="M415" t="str">
        <f>TEXT(NetflixData[[#This Row],[date]],"mmm yyyy")</f>
        <v>Oct 2019</v>
      </c>
      <c r="N415" t="str">
        <f t="shared" si="18"/>
        <v>Trading Day</v>
      </c>
      <c r="O415" t="str">
        <f t="shared" si="19"/>
        <v>Positive</v>
      </c>
      <c r="P415" t="str">
        <f t="shared" si="20"/>
        <v>Positive</v>
      </c>
    </row>
    <row r="416" spans="1:16" x14ac:dyDescent="0.3">
      <c r="A416" s="1">
        <v>43769</v>
      </c>
      <c r="B416">
        <v>28.74</v>
      </c>
      <c r="C416">
        <v>50900000</v>
      </c>
      <c r="D416">
        <v>-1.234</v>
      </c>
      <c r="E416">
        <v>49</v>
      </c>
      <c r="F416">
        <v>3.31</v>
      </c>
      <c r="G416">
        <v>0.34</v>
      </c>
      <c r="H416">
        <v>5</v>
      </c>
      <c r="I416">
        <v>6.87</v>
      </c>
      <c r="J416">
        <v>1</v>
      </c>
      <c r="K416">
        <f>YEAR(NetflixData[[#This Row],[date]])</f>
        <v>2019</v>
      </c>
      <c r="L416" t="str">
        <f>TEXT(NetflixData[[#This Row],[date]],"mmm")</f>
        <v>Oct</v>
      </c>
      <c r="M416" t="str">
        <f>TEXT(NetflixData[[#This Row],[date]],"mmm yyyy")</f>
        <v>Oct 2019</v>
      </c>
      <c r="N416" t="str">
        <f t="shared" si="18"/>
        <v>Trading Day</v>
      </c>
      <c r="O416" t="str">
        <f t="shared" si="19"/>
        <v>Negative</v>
      </c>
      <c r="P416" t="str">
        <f t="shared" si="20"/>
        <v>Positive</v>
      </c>
    </row>
    <row r="417" spans="1:16" x14ac:dyDescent="0.3">
      <c r="A417" s="1">
        <v>43770</v>
      </c>
      <c r="B417">
        <v>28.68</v>
      </c>
      <c r="C417">
        <v>55943000</v>
      </c>
      <c r="D417">
        <v>-0.65500000000000003</v>
      </c>
      <c r="E417">
        <v>39</v>
      </c>
      <c r="F417">
        <v>3.15</v>
      </c>
      <c r="G417">
        <v>0.2235</v>
      </c>
      <c r="H417">
        <v>94</v>
      </c>
      <c r="I417">
        <v>6.66</v>
      </c>
      <c r="J417">
        <v>1</v>
      </c>
      <c r="K417">
        <f>YEAR(NetflixData[[#This Row],[date]])</f>
        <v>2019</v>
      </c>
      <c r="L417" t="str">
        <f>TEXT(NetflixData[[#This Row],[date]],"mmm")</f>
        <v>Nov</v>
      </c>
      <c r="M417" t="str">
        <f>TEXT(NetflixData[[#This Row],[date]],"mmm yyyy")</f>
        <v>Nov 2019</v>
      </c>
      <c r="N417" t="str">
        <f t="shared" si="18"/>
        <v>Non-Trading Day</v>
      </c>
      <c r="O417" t="str">
        <f t="shared" si="19"/>
        <v>Negative</v>
      </c>
      <c r="P417" t="str">
        <f t="shared" si="20"/>
        <v>Positive</v>
      </c>
    </row>
    <row r="418" spans="1:16" x14ac:dyDescent="0.3">
      <c r="A418" s="1">
        <v>43771</v>
      </c>
      <c r="B418">
        <v>28.68</v>
      </c>
      <c r="C418">
        <v>0</v>
      </c>
      <c r="D418">
        <v>0</v>
      </c>
      <c r="E418">
        <v>66</v>
      </c>
      <c r="F418">
        <v>3.05</v>
      </c>
      <c r="G418">
        <v>0.24360000000000001</v>
      </c>
      <c r="H418">
        <v>14</v>
      </c>
      <c r="I418">
        <v>5.32</v>
      </c>
      <c r="J418">
        <v>0</v>
      </c>
      <c r="K418">
        <f>YEAR(NetflixData[[#This Row],[date]])</f>
        <v>2019</v>
      </c>
      <c r="L418" t="str">
        <f>TEXT(NetflixData[[#This Row],[date]],"mmm")</f>
        <v>Nov</v>
      </c>
      <c r="M418" t="str">
        <f>TEXT(NetflixData[[#This Row],[date]],"mmm yyyy")</f>
        <v>Nov 2019</v>
      </c>
      <c r="N418" t="str">
        <f t="shared" si="18"/>
        <v>Non-Trading Day</v>
      </c>
      <c r="O418" t="str">
        <f t="shared" si="19"/>
        <v>No Change</v>
      </c>
      <c r="P418" t="str">
        <f t="shared" si="20"/>
        <v>Positive</v>
      </c>
    </row>
    <row r="419" spans="1:16" x14ac:dyDescent="0.3">
      <c r="A419" s="1">
        <v>43772</v>
      </c>
      <c r="B419">
        <v>28.68</v>
      </c>
      <c r="C419">
        <v>0</v>
      </c>
      <c r="D419">
        <v>0</v>
      </c>
      <c r="E419">
        <v>63</v>
      </c>
      <c r="F419">
        <v>3.56</v>
      </c>
      <c r="G419">
        <v>0.40810000000000002</v>
      </c>
      <c r="H419">
        <v>1</v>
      </c>
      <c r="I419">
        <v>6.2</v>
      </c>
      <c r="J419">
        <v>0</v>
      </c>
      <c r="K419">
        <f>YEAR(NetflixData[[#This Row],[date]])</f>
        <v>2019</v>
      </c>
      <c r="L419" t="str">
        <f>TEXT(NetflixData[[#This Row],[date]],"mmm")</f>
        <v>Nov</v>
      </c>
      <c r="M419" t="str">
        <f>TEXT(NetflixData[[#This Row],[date]],"mmm yyyy")</f>
        <v>Nov 2019</v>
      </c>
      <c r="N419" t="str">
        <f t="shared" si="18"/>
        <v>Trading Day</v>
      </c>
      <c r="O419" t="str">
        <f t="shared" si="19"/>
        <v>No Change</v>
      </c>
      <c r="P419" t="str">
        <f t="shared" si="20"/>
        <v>Positive</v>
      </c>
    </row>
    <row r="420" spans="1:16" x14ac:dyDescent="0.3">
      <c r="A420" s="1">
        <v>43773</v>
      </c>
      <c r="B420">
        <v>29.29</v>
      </c>
      <c r="C420">
        <v>55662000</v>
      </c>
      <c r="D420">
        <v>1.6879999999999999</v>
      </c>
      <c r="E420">
        <v>51</v>
      </c>
      <c r="F420">
        <v>2.5299999999999998</v>
      </c>
      <c r="G420">
        <v>0.33929999999999999</v>
      </c>
      <c r="H420">
        <v>9</v>
      </c>
      <c r="I420">
        <v>7.15</v>
      </c>
      <c r="J420">
        <v>1</v>
      </c>
      <c r="K420">
        <f>YEAR(NetflixData[[#This Row],[date]])</f>
        <v>2019</v>
      </c>
      <c r="L420" t="str">
        <f>TEXT(NetflixData[[#This Row],[date]],"mmm")</f>
        <v>Nov</v>
      </c>
      <c r="M420" t="str">
        <f>TEXT(NetflixData[[#This Row],[date]],"mmm yyyy")</f>
        <v>Nov 2019</v>
      </c>
      <c r="N420" t="str">
        <f t="shared" si="18"/>
        <v>Trading Day</v>
      </c>
      <c r="O420" t="str">
        <f t="shared" si="19"/>
        <v>Positive</v>
      </c>
      <c r="P420" t="str">
        <f t="shared" si="20"/>
        <v>Positive</v>
      </c>
    </row>
    <row r="421" spans="1:16" x14ac:dyDescent="0.3">
      <c r="A421" s="1">
        <v>43774</v>
      </c>
      <c r="B421">
        <v>28.8</v>
      </c>
      <c r="C421">
        <v>40624000</v>
      </c>
      <c r="D421">
        <v>-0.67600000000000005</v>
      </c>
      <c r="E421">
        <v>50</v>
      </c>
      <c r="F421">
        <v>3.04</v>
      </c>
      <c r="G421">
        <v>0.1484</v>
      </c>
      <c r="H421">
        <v>8</v>
      </c>
      <c r="I421">
        <v>5.34</v>
      </c>
      <c r="J421">
        <v>1</v>
      </c>
      <c r="K421">
        <f>YEAR(NetflixData[[#This Row],[date]])</f>
        <v>2019</v>
      </c>
      <c r="L421" t="str">
        <f>TEXT(NetflixData[[#This Row],[date]],"mmm")</f>
        <v>Nov</v>
      </c>
      <c r="M421" t="str">
        <f>TEXT(NetflixData[[#This Row],[date]],"mmm yyyy")</f>
        <v>Nov 2019</v>
      </c>
      <c r="N421" t="str">
        <f t="shared" si="18"/>
        <v>Trading Day</v>
      </c>
      <c r="O421" t="str">
        <f t="shared" si="19"/>
        <v>Negative</v>
      </c>
      <c r="P421" t="str">
        <f t="shared" si="20"/>
        <v>Positive</v>
      </c>
    </row>
    <row r="422" spans="1:16" x14ac:dyDescent="0.3">
      <c r="A422" s="1">
        <v>43775</v>
      </c>
      <c r="B422">
        <v>28.86</v>
      </c>
      <c r="C422">
        <v>34383000</v>
      </c>
      <c r="D422">
        <v>0.13900000000000001</v>
      </c>
      <c r="E422">
        <v>57</v>
      </c>
      <c r="F422">
        <v>3.25</v>
      </c>
      <c r="G422">
        <v>0.2838</v>
      </c>
      <c r="H422">
        <v>3</v>
      </c>
      <c r="I422">
        <v>6.27</v>
      </c>
      <c r="J422">
        <v>1</v>
      </c>
      <c r="K422">
        <f>YEAR(NetflixData[[#This Row],[date]])</f>
        <v>2019</v>
      </c>
      <c r="L422" t="str">
        <f>TEXT(NetflixData[[#This Row],[date]],"mmm")</f>
        <v>Nov</v>
      </c>
      <c r="M422" t="str">
        <f>TEXT(NetflixData[[#This Row],[date]],"mmm yyyy")</f>
        <v>Nov 2019</v>
      </c>
      <c r="N422" t="str">
        <f t="shared" si="18"/>
        <v>Trading Day</v>
      </c>
      <c r="O422" t="str">
        <f t="shared" si="19"/>
        <v>Positive</v>
      </c>
      <c r="P422" t="str">
        <f t="shared" si="20"/>
        <v>Positive</v>
      </c>
    </row>
    <row r="423" spans="1:16" x14ac:dyDescent="0.3">
      <c r="A423" s="1">
        <v>43776</v>
      </c>
      <c r="B423">
        <v>28.96</v>
      </c>
      <c r="C423">
        <v>59285000</v>
      </c>
      <c r="D423">
        <v>-0.38900000000000001</v>
      </c>
      <c r="E423">
        <v>36</v>
      </c>
      <c r="F423">
        <v>3.31</v>
      </c>
      <c r="G423">
        <v>0.40839999999999999</v>
      </c>
      <c r="H423">
        <v>1</v>
      </c>
      <c r="I423">
        <v>7.4</v>
      </c>
      <c r="J423">
        <v>1</v>
      </c>
      <c r="K423">
        <f>YEAR(NetflixData[[#This Row],[date]])</f>
        <v>2019</v>
      </c>
      <c r="L423" t="str">
        <f>TEXT(NetflixData[[#This Row],[date]],"mmm")</f>
        <v>Nov</v>
      </c>
      <c r="M423" t="str">
        <f>TEXT(NetflixData[[#This Row],[date]],"mmm yyyy")</f>
        <v>Nov 2019</v>
      </c>
      <c r="N423" t="str">
        <f t="shared" si="18"/>
        <v>Trading Day</v>
      </c>
      <c r="O423" t="str">
        <f t="shared" si="19"/>
        <v>Negative</v>
      </c>
      <c r="P423" t="str">
        <f t="shared" si="20"/>
        <v>Positive</v>
      </c>
    </row>
    <row r="424" spans="1:16" x14ac:dyDescent="0.3">
      <c r="A424" s="1">
        <v>43777</v>
      </c>
      <c r="B424">
        <v>29.16</v>
      </c>
      <c r="C424">
        <v>45090000</v>
      </c>
      <c r="D424">
        <v>0.98399999999999999</v>
      </c>
      <c r="E424">
        <v>48</v>
      </c>
      <c r="F424">
        <v>3.12</v>
      </c>
      <c r="G424">
        <v>0.31480000000000002</v>
      </c>
      <c r="H424">
        <v>7</v>
      </c>
      <c r="I424">
        <v>7.18</v>
      </c>
      <c r="J424">
        <v>1</v>
      </c>
      <c r="K424">
        <f>YEAR(NetflixData[[#This Row],[date]])</f>
        <v>2019</v>
      </c>
      <c r="L424" t="str">
        <f>TEXT(NetflixData[[#This Row],[date]],"mmm")</f>
        <v>Nov</v>
      </c>
      <c r="M424" t="str">
        <f>TEXT(NetflixData[[#This Row],[date]],"mmm yyyy")</f>
        <v>Nov 2019</v>
      </c>
      <c r="N424" t="str">
        <f t="shared" si="18"/>
        <v>Non-Trading Day</v>
      </c>
      <c r="O424" t="str">
        <f t="shared" si="19"/>
        <v>Positive</v>
      </c>
      <c r="P424" t="str">
        <f t="shared" si="20"/>
        <v>Positive</v>
      </c>
    </row>
    <row r="425" spans="1:16" x14ac:dyDescent="0.3">
      <c r="A425" s="1">
        <v>43778</v>
      </c>
      <c r="B425">
        <v>29.16</v>
      </c>
      <c r="C425">
        <v>0</v>
      </c>
      <c r="D425">
        <v>0</v>
      </c>
      <c r="E425">
        <v>71</v>
      </c>
      <c r="F425">
        <v>2.82</v>
      </c>
      <c r="G425">
        <v>0.2853</v>
      </c>
      <c r="H425">
        <v>1</v>
      </c>
      <c r="J425">
        <v>0</v>
      </c>
      <c r="K425">
        <f>YEAR(NetflixData[[#This Row],[date]])</f>
        <v>2019</v>
      </c>
      <c r="L425" t="str">
        <f>TEXT(NetflixData[[#This Row],[date]],"mmm")</f>
        <v>Nov</v>
      </c>
      <c r="M425" t="str">
        <f>TEXT(NetflixData[[#This Row],[date]],"mmm yyyy")</f>
        <v>Nov 2019</v>
      </c>
      <c r="N425" t="str">
        <f t="shared" si="18"/>
        <v>Non-Trading Day</v>
      </c>
      <c r="O425" t="str">
        <f t="shared" si="19"/>
        <v>No Change</v>
      </c>
      <c r="P425" t="str">
        <f t="shared" si="20"/>
        <v>Positive</v>
      </c>
    </row>
    <row r="426" spans="1:16" x14ac:dyDescent="0.3">
      <c r="A426" s="1">
        <v>43779</v>
      </c>
      <c r="B426">
        <v>29.16</v>
      </c>
      <c r="C426">
        <v>0</v>
      </c>
      <c r="D426">
        <v>0</v>
      </c>
      <c r="E426">
        <v>54</v>
      </c>
      <c r="F426">
        <v>3.3</v>
      </c>
      <c r="G426">
        <v>0.21959999999999999</v>
      </c>
      <c r="H426">
        <v>0</v>
      </c>
      <c r="J426">
        <v>0</v>
      </c>
      <c r="K426">
        <f>YEAR(NetflixData[[#This Row],[date]])</f>
        <v>2019</v>
      </c>
      <c r="L426" t="str">
        <f>TEXT(NetflixData[[#This Row],[date]],"mmm")</f>
        <v>Nov</v>
      </c>
      <c r="M426" t="str">
        <f>TEXT(NetflixData[[#This Row],[date]],"mmm yyyy")</f>
        <v>Nov 2019</v>
      </c>
      <c r="N426" t="str">
        <f t="shared" si="18"/>
        <v>Trading Day</v>
      </c>
      <c r="O426" t="str">
        <f t="shared" si="19"/>
        <v>No Change</v>
      </c>
      <c r="P426" t="str">
        <f t="shared" si="20"/>
        <v>Positive</v>
      </c>
    </row>
    <row r="427" spans="1:16" x14ac:dyDescent="0.3">
      <c r="A427" s="1">
        <v>43780</v>
      </c>
      <c r="B427">
        <v>29.42</v>
      </c>
      <c r="C427">
        <v>39443000</v>
      </c>
      <c r="D427">
        <v>1.736</v>
      </c>
      <c r="E427">
        <v>47</v>
      </c>
      <c r="F427">
        <v>3.28</v>
      </c>
      <c r="G427">
        <v>0.31419999999999998</v>
      </c>
      <c r="H427">
        <v>4</v>
      </c>
      <c r="I427">
        <v>7.3</v>
      </c>
      <c r="J427">
        <v>1</v>
      </c>
      <c r="K427">
        <f>YEAR(NetflixData[[#This Row],[date]])</f>
        <v>2019</v>
      </c>
      <c r="L427" t="str">
        <f>TEXT(NetflixData[[#This Row],[date]],"mmm")</f>
        <v>Nov</v>
      </c>
      <c r="M427" t="str">
        <f>TEXT(NetflixData[[#This Row],[date]],"mmm yyyy")</f>
        <v>Nov 2019</v>
      </c>
      <c r="N427" t="str">
        <f t="shared" si="18"/>
        <v>Trading Day</v>
      </c>
      <c r="O427" t="str">
        <f t="shared" si="19"/>
        <v>Positive</v>
      </c>
      <c r="P427" t="str">
        <f t="shared" si="20"/>
        <v>Positive</v>
      </c>
    </row>
    <row r="428" spans="1:16" x14ac:dyDescent="0.3">
      <c r="A428" s="1">
        <v>43781</v>
      </c>
      <c r="B428">
        <v>29.2</v>
      </c>
      <c r="C428">
        <v>57728000</v>
      </c>
      <c r="D428">
        <v>-1.121</v>
      </c>
      <c r="E428">
        <v>47</v>
      </c>
      <c r="F428">
        <v>3.06</v>
      </c>
      <c r="G428">
        <v>0.31309999999999999</v>
      </c>
      <c r="H428">
        <v>2</v>
      </c>
      <c r="I428">
        <v>7.7</v>
      </c>
      <c r="J428">
        <v>1</v>
      </c>
      <c r="K428">
        <f>YEAR(NetflixData[[#This Row],[date]])</f>
        <v>2019</v>
      </c>
      <c r="L428" t="str">
        <f>TEXT(NetflixData[[#This Row],[date]],"mmm")</f>
        <v>Nov</v>
      </c>
      <c r="M428" t="str">
        <f>TEXT(NetflixData[[#This Row],[date]],"mmm yyyy")</f>
        <v>Nov 2019</v>
      </c>
      <c r="N428" t="str">
        <f t="shared" si="18"/>
        <v>Trading Day</v>
      </c>
      <c r="O428" t="str">
        <f t="shared" si="19"/>
        <v>Negative</v>
      </c>
      <c r="P428" t="str">
        <f t="shared" si="20"/>
        <v>Positive</v>
      </c>
    </row>
    <row r="429" spans="1:16" x14ac:dyDescent="0.3">
      <c r="A429" s="1">
        <v>43782</v>
      </c>
      <c r="B429">
        <v>28.31</v>
      </c>
      <c r="C429">
        <v>91589000</v>
      </c>
      <c r="D429">
        <v>-2.7210000000000001</v>
      </c>
      <c r="E429">
        <v>51</v>
      </c>
      <c r="F429">
        <v>3.49</v>
      </c>
      <c r="G429">
        <v>0.34229999999999999</v>
      </c>
      <c r="H429">
        <v>1</v>
      </c>
      <c r="I429">
        <v>7.2</v>
      </c>
      <c r="J429">
        <v>1</v>
      </c>
      <c r="K429">
        <f>YEAR(NetflixData[[#This Row],[date]])</f>
        <v>2019</v>
      </c>
      <c r="L429" t="str">
        <f>TEXT(NetflixData[[#This Row],[date]],"mmm")</f>
        <v>Nov</v>
      </c>
      <c r="M429" t="str">
        <f>TEXT(NetflixData[[#This Row],[date]],"mmm yyyy")</f>
        <v>Nov 2019</v>
      </c>
      <c r="N429" t="str">
        <f t="shared" si="18"/>
        <v>Trading Day</v>
      </c>
      <c r="O429" t="str">
        <f t="shared" si="19"/>
        <v>Negative</v>
      </c>
      <c r="P429" t="str">
        <f t="shared" si="20"/>
        <v>Positive</v>
      </c>
    </row>
    <row r="430" spans="1:16" x14ac:dyDescent="0.3">
      <c r="A430" s="1">
        <v>43783</v>
      </c>
      <c r="B430">
        <v>28.96</v>
      </c>
      <c r="C430">
        <v>65290000</v>
      </c>
      <c r="D430">
        <v>2.2490000000000001</v>
      </c>
      <c r="E430">
        <v>47</v>
      </c>
      <c r="F430">
        <v>3.64</v>
      </c>
      <c r="G430">
        <v>0.35630000000000001</v>
      </c>
      <c r="H430">
        <v>3</v>
      </c>
      <c r="I430">
        <v>5.4</v>
      </c>
      <c r="J430">
        <v>1</v>
      </c>
      <c r="K430">
        <f>YEAR(NetflixData[[#This Row],[date]])</f>
        <v>2019</v>
      </c>
      <c r="L430" t="str">
        <f>TEXT(NetflixData[[#This Row],[date]],"mmm")</f>
        <v>Nov</v>
      </c>
      <c r="M430" t="str">
        <f>TEXT(NetflixData[[#This Row],[date]],"mmm yyyy")</f>
        <v>Nov 2019</v>
      </c>
      <c r="N430" t="str">
        <f t="shared" si="18"/>
        <v>Trading Day</v>
      </c>
      <c r="O430" t="str">
        <f t="shared" si="19"/>
        <v>Positive</v>
      </c>
      <c r="P430" t="str">
        <f t="shared" si="20"/>
        <v>Positive</v>
      </c>
    </row>
    <row r="431" spans="1:16" x14ac:dyDescent="0.3">
      <c r="A431" s="1">
        <v>43784</v>
      </c>
      <c r="B431">
        <v>29.5</v>
      </c>
      <c r="C431">
        <v>63338000</v>
      </c>
      <c r="D431">
        <v>1.528</v>
      </c>
      <c r="E431">
        <v>37</v>
      </c>
      <c r="F431">
        <v>3.81</v>
      </c>
      <c r="G431">
        <v>0.47539999999999999</v>
      </c>
      <c r="H431">
        <v>24</v>
      </c>
      <c r="I431">
        <v>6.78</v>
      </c>
      <c r="J431">
        <v>1</v>
      </c>
      <c r="K431">
        <f>YEAR(NetflixData[[#This Row],[date]])</f>
        <v>2019</v>
      </c>
      <c r="L431" t="str">
        <f>TEXT(NetflixData[[#This Row],[date]],"mmm")</f>
        <v>Nov</v>
      </c>
      <c r="M431" t="str">
        <f>TEXT(NetflixData[[#This Row],[date]],"mmm yyyy")</f>
        <v>Nov 2019</v>
      </c>
      <c r="N431" t="str">
        <f t="shared" si="18"/>
        <v>Non-Trading Day</v>
      </c>
      <c r="O431" t="str">
        <f t="shared" si="19"/>
        <v>Positive</v>
      </c>
      <c r="P431" t="str">
        <f t="shared" si="20"/>
        <v>Positive</v>
      </c>
    </row>
    <row r="432" spans="1:16" x14ac:dyDescent="0.3">
      <c r="A432" s="1">
        <v>43785</v>
      </c>
      <c r="B432">
        <v>29.5</v>
      </c>
      <c r="C432">
        <v>0</v>
      </c>
      <c r="D432">
        <v>0</v>
      </c>
      <c r="E432">
        <v>56</v>
      </c>
      <c r="F432">
        <v>3.21</v>
      </c>
      <c r="G432">
        <v>0.31530000000000002</v>
      </c>
      <c r="H432">
        <v>4</v>
      </c>
      <c r="I432">
        <v>5.77</v>
      </c>
      <c r="J432">
        <v>0</v>
      </c>
      <c r="K432">
        <f>YEAR(NetflixData[[#This Row],[date]])</f>
        <v>2019</v>
      </c>
      <c r="L432" t="str">
        <f>TEXT(NetflixData[[#This Row],[date]],"mmm")</f>
        <v>Nov</v>
      </c>
      <c r="M432" t="str">
        <f>TEXT(NetflixData[[#This Row],[date]],"mmm yyyy")</f>
        <v>Nov 2019</v>
      </c>
      <c r="N432" t="str">
        <f t="shared" si="18"/>
        <v>Non-Trading Day</v>
      </c>
      <c r="O432" t="str">
        <f t="shared" si="19"/>
        <v>No Change</v>
      </c>
      <c r="P432" t="str">
        <f t="shared" si="20"/>
        <v>Positive</v>
      </c>
    </row>
    <row r="433" spans="1:16" x14ac:dyDescent="0.3">
      <c r="A433" s="1">
        <v>43786</v>
      </c>
      <c r="B433">
        <v>29.5</v>
      </c>
      <c r="C433">
        <v>0</v>
      </c>
      <c r="D433">
        <v>0</v>
      </c>
      <c r="E433">
        <v>41</v>
      </c>
      <c r="F433">
        <v>3.59</v>
      </c>
      <c r="G433">
        <v>0.23219999999999999</v>
      </c>
      <c r="H433">
        <v>1</v>
      </c>
      <c r="I433">
        <v>5.5</v>
      </c>
      <c r="J433">
        <v>0</v>
      </c>
      <c r="K433">
        <f>YEAR(NetflixData[[#This Row],[date]])</f>
        <v>2019</v>
      </c>
      <c r="L433" t="str">
        <f>TEXT(NetflixData[[#This Row],[date]],"mmm")</f>
        <v>Nov</v>
      </c>
      <c r="M433" t="str">
        <f>TEXT(NetflixData[[#This Row],[date]],"mmm yyyy")</f>
        <v>Nov 2019</v>
      </c>
      <c r="N433" t="str">
        <f t="shared" si="18"/>
        <v>Trading Day</v>
      </c>
      <c r="O433" t="str">
        <f t="shared" si="19"/>
        <v>No Change</v>
      </c>
      <c r="P433" t="str">
        <f t="shared" si="20"/>
        <v>Positive</v>
      </c>
    </row>
    <row r="434" spans="1:16" x14ac:dyDescent="0.3">
      <c r="A434" s="1">
        <v>43787</v>
      </c>
      <c r="B434">
        <v>30.26</v>
      </c>
      <c r="C434">
        <v>86166000</v>
      </c>
      <c r="D434">
        <v>2.2200000000000002</v>
      </c>
      <c r="E434">
        <v>42</v>
      </c>
      <c r="F434">
        <v>3.33</v>
      </c>
      <c r="G434">
        <v>0.32379999999999998</v>
      </c>
      <c r="H434">
        <v>0</v>
      </c>
      <c r="J434">
        <v>1</v>
      </c>
      <c r="K434">
        <f>YEAR(NetflixData[[#This Row],[date]])</f>
        <v>2019</v>
      </c>
      <c r="L434" t="str">
        <f>TEXT(NetflixData[[#This Row],[date]],"mmm")</f>
        <v>Nov</v>
      </c>
      <c r="M434" t="str">
        <f>TEXT(NetflixData[[#This Row],[date]],"mmm yyyy")</f>
        <v>Nov 2019</v>
      </c>
      <c r="N434" t="str">
        <f t="shared" si="18"/>
        <v>Trading Day</v>
      </c>
      <c r="O434" t="str">
        <f t="shared" si="19"/>
        <v>Positive</v>
      </c>
      <c r="P434" t="str">
        <f t="shared" si="20"/>
        <v>Positive</v>
      </c>
    </row>
    <row r="435" spans="1:16" x14ac:dyDescent="0.3">
      <c r="A435" s="1">
        <v>43788</v>
      </c>
      <c r="B435">
        <v>30.26</v>
      </c>
      <c r="C435">
        <v>59180000</v>
      </c>
      <c r="D435">
        <v>-0.46400000000000002</v>
      </c>
      <c r="E435">
        <v>40</v>
      </c>
      <c r="F435">
        <v>3.45</v>
      </c>
      <c r="G435">
        <v>0.41670000000000001</v>
      </c>
      <c r="H435">
        <v>3</v>
      </c>
      <c r="I435">
        <v>6.35</v>
      </c>
      <c r="J435">
        <v>1</v>
      </c>
      <c r="K435">
        <f>YEAR(NetflixData[[#This Row],[date]])</f>
        <v>2019</v>
      </c>
      <c r="L435" t="str">
        <f>TEXT(NetflixData[[#This Row],[date]],"mmm")</f>
        <v>Nov</v>
      </c>
      <c r="M435" t="str">
        <f>TEXT(NetflixData[[#This Row],[date]],"mmm yyyy")</f>
        <v>Nov 2019</v>
      </c>
      <c r="N435" t="str">
        <f t="shared" si="18"/>
        <v>Trading Day</v>
      </c>
      <c r="O435" t="str">
        <f t="shared" si="19"/>
        <v>Negative</v>
      </c>
      <c r="P435" t="str">
        <f t="shared" si="20"/>
        <v>Positive</v>
      </c>
    </row>
    <row r="436" spans="1:16" x14ac:dyDescent="0.3">
      <c r="A436" s="1">
        <v>43789</v>
      </c>
      <c r="B436">
        <v>30.52</v>
      </c>
      <c r="C436">
        <v>51118000</v>
      </c>
      <c r="D436">
        <v>1.379</v>
      </c>
      <c r="E436">
        <v>41</v>
      </c>
      <c r="F436">
        <v>3.54</v>
      </c>
      <c r="G436">
        <v>0.41739999999999999</v>
      </c>
      <c r="H436">
        <v>32</v>
      </c>
      <c r="I436">
        <v>6.48</v>
      </c>
      <c r="J436">
        <v>1</v>
      </c>
      <c r="K436">
        <f>YEAR(NetflixData[[#This Row],[date]])</f>
        <v>2019</v>
      </c>
      <c r="L436" t="str">
        <f>TEXT(NetflixData[[#This Row],[date]],"mmm")</f>
        <v>Nov</v>
      </c>
      <c r="M436" t="str">
        <f>TEXT(NetflixData[[#This Row],[date]],"mmm yyyy")</f>
        <v>Nov 2019</v>
      </c>
      <c r="N436" t="str">
        <f t="shared" si="18"/>
        <v>Trading Day</v>
      </c>
      <c r="O436" t="str">
        <f t="shared" si="19"/>
        <v>Positive</v>
      </c>
      <c r="P436" t="str">
        <f t="shared" si="20"/>
        <v>Positive</v>
      </c>
    </row>
    <row r="437" spans="1:16" x14ac:dyDescent="0.3">
      <c r="A437" s="1">
        <v>43790</v>
      </c>
      <c r="B437">
        <v>31.17</v>
      </c>
      <c r="C437">
        <v>74884000</v>
      </c>
      <c r="D437">
        <v>1.859</v>
      </c>
      <c r="E437">
        <v>88</v>
      </c>
      <c r="F437">
        <v>2.56</v>
      </c>
      <c r="G437">
        <v>0.1221</v>
      </c>
      <c r="H437">
        <v>3</v>
      </c>
      <c r="I437">
        <v>6.27</v>
      </c>
      <c r="J437">
        <v>1</v>
      </c>
      <c r="K437">
        <f>YEAR(NetflixData[[#This Row],[date]])</f>
        <v>2019</v>
      </c>
      <c r="L437" t="str">
        <f>TEXT(NetflixData[[#This Row],[date]],"mmm")</f>
        <v>Nov</v>
      </c>
      <c r="M437" t="str">
        <f>TEXT(NetflixData[[#This Row],[date]],"mmm yyyy")</f>
        <v>Nov 2019</v>
      </c>
      <c r="N437" t="str">
        <f t="shared" si="18"/>
        <v>Trading Day</v>
      </c>
      <c r="O437" t="str">
        <f t="shared" si="19"/>
        <v>Positive</v>
      </c>
      <c r="P437" t="str">
        <f t="shared" si="20"/>
        <v>Positive</v>
      </c>
    </row>
    <row r="438" spans="1:16" x14ac:dyDescent="0.3">
      <c r="A438" s="1">
        <v>43791</v>
      </c>
      <c r="B438">
        <v>31.05</v>
      </c>
      <c r="C438">
        <v>59701000</v>
      </c>
      <c r="D438">
        <v>0.44600000000000001</v>
      </c>
      <c r="E438">
        <v>51</v>
      </c>
      <c r="F438">
        <v>3.33</v>
      </c>
      <c r="G438">
        <v>0.2389</v>
      </c>
      <c r="H438">
        <v>11</v>
      </c>
      <c r="I438">
        <v>6.93</v>
      </c>
      <c r="J438">
        <v>1</v>
      </c>
      <c r="K438">
        <f>YEAR(NetflixData[[#This Row],[date]])</f>
        <v>2019</v>
      </c>
      <c r="L438" t="str">
        <f>TEXT(NetflixData[[#This Row],[date]],"mmm")</f>
        <v>Nov</v>
      </c>
      <c r="M438" t="str">
        <f>TEXT(NetflixData[[#This Row],[date]],"mmm yyyy")</f>
        <v>Nov 2019</v>
      </c>
      <c r="N438" t="str">
        <f t="shared" si="18"/>
        <v>Non-Trading Day</v>
      </c>
      <c r="O438" t="str">
        <f t="shared" si="19"/>
        <v>Positive</v>
      </c>
      <c r="P438" t="str">
        <f t="shared" si="20"/>
        <v>Positive</v>
      </c>
    </row>
    <row r="439" spans="1:16" x14ac:dyDescent="0.3">
      <c r="A439" s="1">
        <v>43792</v>
      </c>
      <c r="B439">
        <v>31.05</v>
      </c>
      <c r="C439">
        <v>0</v>
      </c>
      <c r="D439">
        <v>0</v>
      </c>
      <c r="E439">
        <v>47</v>
      </c>
      <c r="F439">
        <v>3.34</v>
      </c>
      <c r="G439">
        <v>0.26579999999999998</v>
      </c>
      <c r="H439">
        <v>5</v>
      </c>
      <c r="I439">
        <v>6.86</v>
      </c>
      <c r="J439">
        <v>0</v>
      </c>
      <c r="K439">
        <f>YEAR(NetflixData[[#This Row],[date]])</f>
        <v>2019</v>
      </c>
      <c r="L439" t="str">
        <f>TEXT(NetflixData[[#This Row],[date]],"mmm")</f>
        <v>Nov</v>
      </c>
      <c r="M439" t="str">
        <f>TEXT(NetflixData[[#This Row],[date]],"mmm yyyy")</f>
        <v>Nov 2019</v>
      </c>
      <c r="N439" t="str">
        <f t="shared" si="18"/>
        <v>Non-Trading Day</v>
      </c>
      <c r="O439" t="str">
        <f t="shared" si="19"/>
        <v>No Change</v>
      </c>
      <c r="P439" t="str">
        <f t="shared" si="20"/>
        <v>Positive</v>
      </c>
    </row>
    <row r="440" spans="1:16" x14ac:dyDescent="0.3">
      <c r="A440" s="1">
        <v>43793</v>
      </c>
      <c r="B440">
        <v>31.05</v>
      </c>
      <c r="C440">
        <v>0</v>
      </c>
      <c r="D440">
        <v>0</v>
      </c>
      <c r="E440">
        <v>57</v>
      </c>
      <c r="F440">
        <v>3.96</v>
      </c>
      <c r="G440">
        <v>0.44779999999999998</v>
      </c>
      <c r="H440">
        <v>4</v>
      </c>
      <c r="I440">
        <v>6.45</v>
      </c>
      <c r="J440">
        <v>0</v>
      </c>
      <c r="K440">
        <f>YEAR(NetflixData[[#This Row],[date]])</f>
        <v>2019</v>
      </c>
      <c r="L440" t="str">
        <f>TEXT(NetflixData[[#This Row],[date]],"mmm")</f>
        <v>Nov</v>
      </c>
      <c r="M440" t="str">
        <f>TEXT(NetflixData[[#This Row],[date]],"mmm yyyy")</f>
        <v>Nov 2019</v>
      </c>
      <c r="N440" t="str">
        <f t="shared" si="18"/>
        <v>Trading Day</v>
      </c>
      <c r="O440" t="str">
        <f t="shared" si="19"/>
        <v>No Change</v>
      </c>
      <c r="P440" t="str">
        <f t="shared" si="20"/>
        <v>Positive</v>
      </c>
    </row>
    <row r="441" spans="1:16" x14ac:dyDescent="0.3">
      <c r="A441" s="1">
        <v>43794</v>
      </c>
      <c r="B441">
        <v>31.56</v>
      </c>
      <c r="C441">
        <v>78739000</v>
      </c>
      <c r="D441">
        <v>2.1760000000000002</v>
      </c>
      <c r="E441">
        <v>48</v>
      </c>
      <c r="F441">
        <v>2.96</v>
      </c>
      <c r="G441">
        <v>0.28649999999999998</v>
      </c>
      <c r="H441">
        <v>3</v>
      </c>
      <c r="I441">
        <v>5.8</v>
      </c>
      <c r="J441">
        <v>1</v>
      </c>
      <c r="K441">
        <f>YEAR(NetflixData[[#This Row],[date]])</f>
        <v>2019</v>
      </c>
      <c r="L441" t="str">
        <f>TEXT(NetflixData[[#This Row],[date]],"mmm")</f>
        <v>Nov</v>
      </c>
      <c r="M441" t="str">
        <f>TEXT(NetflixData[[#This Row],[date]],"mmm yyyy")</f>
        <v>Nov 2019</v>
      </c>
      <c r="N441" t="str">
        <f t="shared" si="18"/>
        <v>Trading Day</v>
      </c>
      <c r="O441" t="str">
        <f t="shared" si="19"/>
        <v>Positive</v>
      </c>
      <c r="P441" t="str">
        <f t="shared" si="20"/>
        <v>Positive</v>
      </c>
    </row>
    <row r="442" spans="1:16" x14ac:dyDescent="0.3">
      <c r="A442" s="1">
        <v>43795</v>
      </c>
      <c r="B442">
        <v>31.25</v>
      </c>
      <c r="C442">
        <v>53210000</v>
      </c>
      <c r="D442">
        <v>-0.79700000000000004</v>
      </c>
      <c r="E442">
        <v>57</v>
      </c>
      <c r="F442">
        <v>3.25</v>
      </c>
      <c r="G442">
        <v>0.28760000000000002</v>
      </c>
      <c r="H442">
        <v>5</v>
      </c>
      <c r="I442">
        <v>5.5</v>
      </c>
      <c r="J442">
        <v>1</v>
      </c>
      <c r="K442">
        <f>YEAR(NetflixData[[#This Row],[date]])</f>
        <v>2019</v>
      </c>
      <c r="L442" t="str">
        <f>TEXT(NetflixData[[#This Row],[date]],"mmm")</f>
        <v>Nov</v>
      </c>
      <c r="M442" t="str">
        <f>TEXT(NetflixData[[#This Row],[date]],"mmm yyyy")</f>
        <v>Nov 2019</v>
      </c>
      <c r="N442" t="str">
        <f t="shared" si="18"/>
        <v>Trading Day</v>
      </c>
      <c r="O442" t="str">
        <f t="shared" si="19"/>
        <v>Negative</v>
      </c>
      <c r="P442" t="str">
        <f t="shared" si="20"/>
        <v>Positive</v>
      </c>
    </row>
    <row r="443" spans="1:16" x14ac:dyDescent="0.3">
      <c r="A443" s="1">
        <v>43796</v>
      </c>
      <c r="B443">
        <v>31.59</v>
      </c>
      <c r="C443">
        <v>40969000</v>
      </c>
      <c r="D443">
        <v>0.63700000000000001</v>
      </c>
      <c r="E443">
        <v>54</v>
      </c>
      <c r="F443">
        <v>3.17</v>
      </c>
      <c r="G443">
        <v>0.28160000000000002</v>
      </c>
      <c r="H443">
        <v>6</v>
      </c>
      <c r="I443">
        <v>7.16</v>
      </c>
      <c r="J443">
        <v>1</v>
      </c>
      <c r="K443">
        <f>YEAR(NetflixData[[#This Row],[date]])</f>
        <v>2019</v>
      </c>
      <c r="L443" t="str">
        <f>TEXT(NetflixData[[#This Row],[date]],"mmm")</f>
        <v>Nov</v>
      </c>
      <c r="M443" t="str">
        <f>TEXT(NetflixData[[#This Row],[date]],"mmm yyyy")</f>
        <v>Nov 2019</v>
      </c>
      <c r="N443" t="str">
        <f t="shared" si="18"/>
        <v>Non-Trading Day</v>
      </c>
      <c r="O443" t="str">
        <f t="shared" si="19"/>
        <v>Positive</v>
      </c>
      <c r="P443" t="str">
        <f t="shared" si="20"/>
        <v>Positive</v>
      </c>
    </row>
    <row r="444" spans="1:16" x14ac:dyDescent="0.3">
      <c r="A444" s="1">
        <v>43797</v>
      </c>
      <c r="B444">
        <v>31.59</v>
      </c>
      <c r="C444">
        <v>0</v>
      </c>
      <c r="D444">
        <v>0</v>
      </c>
      <c r="E444">
        <v>42</v>
      </c>
      <c r="F444">
        <v>3.02</v>
      </c>
      <c r="G444">
        <v>0.27589999999999998</v>
      </c>
      <c r="H444">
        <v>6</v>
      </c>
      <c r="I444">
        <v>6.08</v>
      </c>
      <c r="J444">
        <v>0</v>
      </c>
      <c r="K444">
        <f>YEAR(NetflixData[[#This Row],[date]])</f>
        <v>2019</v>
      </c>
      <c r="L444" t="str">
        <f>TEXT(NetflixData[[#This Row],[date]],"mmm")</f>
        <v>Nov</v>
      </c>
      <c r="M444" t="str">
        <f>TEXT(NetflixData[[#This Row],[date]],"mmm yyyy")</f>
        <v>Nov 2019</v>
      </c>
      <c r="N444" t="str">
        <f t="shared" si="18"/>
        <v>Trading Day</v>
      </c>
      <c r="O444" t="str">
        <f t="shared" si="19"/>
        <v>No Change</v>
      </c>
      <c r="P444" t="str">
        <f t="shared" si="20"/>
        <v>Positive</v>
      </c>
    </row>
    <row r="445" spans="1:16" x14ac:dyDescent="0.3">
      <c r="A445" s="1">
        <v>43798</v>
      </c>
      <c r="B445">
        <v>31.47</v>
      </c>
      <c r="C445">
        <v>24117000</v>
      </c>
      <c r="D445">
        <v>-0.35499999999999998</v>
      </c>
      <c r="E445">
        <v>44</v>
      </c>
      <c r="F445">
        <v>3.16</v>
      </c>
      <c r="G445">
        <v>0.28789999999999999</v>
      </c>
      <c r="H445">
        <v>12</v>
      </c>
      <c r="I445">
        <v>6.16</v>
      </c>
      <c r="J445">
        <v>1</v>
      </c>
      <c r="K445">
        <f>YEAR(NetflixData[[#This Row],[date]])</f>
        <v>2019</v>
      </c>
      <c r="L445" t="str">
        <f>TEXT(NetflixData[[#This Row],[date]],"mmm")</f>
        <v>Nov</v>
      </c>
      <c r="M445" t="str">
        <f>TEXT(NetflixData[[#This Row],[date]],"mmm yyyy")</f>
        <v>Nov 2019</v>
      </c>
      <c r="N445" t="str">
        <f t="shared" si="18"/>
        <v>Non-Trading Day</v>
      </c>
      <c r="O445" t="str">
        <f t="shared" si="19"/>
        <v>Negative</v>
      </c>
      <c r="P445" t="str">
        <f t="shared" si="20"/>
        <v>Positive</v>
      </c>
    </row>
    <row r="446" spans="1:16" x14ac:dyDescent="0.3">
      <c r="A446" s="1">
        <v>43799</v>
      </c>
      <c r="B446">
        <v>31.47</v>
      </c>
      <c r="C446">
        <v>0</v>
      </c>
      <c r="D446">
        <v>0</v>
      </c>
      <c r="E446">
        <v>53</v>
      </c>
      <c r="F446">
        <v>3.77</v>
      </c>
      <c r="G446">
        <v>0.4859</v>
      </c>
      <c r="H446">
        <v>3</v>
      </c>
      <c r="I446">
        <v>6.17</v>
      </c>
      <c r="J446">
        <v>0</v>
      </c>
      <c r="K446">
        <f>YEAR(NetflixData[[#This Row],[date]])</f>
        <v>2019</v>
      </c>
      <c r="L446" t="str">
        <f>TEXT(NetflixData[[#This Row],[date]],"mmm")</f>
        <v>Nov</v>
      </c>
      <c r="M446" t="str">
        <f>TEXT(NetflixData[[#This Row],[date]],"mmm yyyy")</f>
        <v>Nov 2019</v>
      </c>
      <c r="N446" t="str">
        <f t="shared" si="18"/>
        <v>Non-Trading Day</v>
      </c>
      <c r="O446" t="str">
        <f t="shared" si="19"/>
        <v>No Change</v>
      </c>
      <c r="P446" t="str">
        <f t="shared" si="20"/>
        <v>Positive</v>
      </c>
    </row>
    <row r="447" spans="1:16" x14ac:dyDescent="0.3">
      <c r="A447" s="1">
        <v>43800</v>
      </c>
      <c r="B447">
        <v>31.47</v>
      </c>
      <c r="C447">
        <v>0</v>
      </c>
      <c r="D447">
        <v>0</v>
      </c>
      <c r="E447">
        <v>55</v>
      </c>
      <c r="F447">
        <v>3.31</v>
      </c>
      <c r="G447">
        <v>0.35460000000000003</v>
      </c>
      <c r="H447">
        <v>28</v>
      </c>
      <c r="I447">
        <v>6.7</v>
      </c>
      <c r="J447">
        <v>0</v>
      </c>
      <c r="K447">
        <f>YEAR(NetflixData[[#This Row],[date]])</f>
        <v>2019</v>
      </c>
      <c r="L447" t="str">
        <f>TEXT(NetflixData[[#This Row],[date]],"mmm")</f>
        <v>Dec</v>
      </c>
      <c r="M447" t="str">
        <f>TEXT(NetflixData[[#This Row],[date]],"mmm yyyy")</f>
        <v>Dec 2019</v>
      </c>
      <c r="N447" t="str">
        <f t="shared" si="18"/>
        <v>Trading Day</v>
      </c>
      <c r="O447" t="str">
        <f t="shared" si="19"/>
        <v>No Change</v>
      </c>
      <c r="P447" t="str">
        <f t="shared" si="20"/>
        <v>Positive</v>
      </c>
    </row>
    <row r="448" spans="1:16" x14ac:dyDescent="0.3">
      <c r="A448" s="1">
        <v>43801</v>
      </c>
      <c r="B448">
        <v>31</v>
      </c>
      <c r="C448">
        <v>62188000</v>
      </c>
      <c r="D448">
        <v>-1.4</v>
      </c>
      <c r="E448">
        <v>35</v>
      </c>
      <c r="F448">
        <v>3.03</v>
      </c>
      <c r="G448">
        <v>0.23980000000000001</v>
      </c>
      <c r="H448">
        <v>1</v>
      </c>
      <c r="I448">
        <v>5.8</v>
      </c>
      <c r="J448">
        <v>1</v>
      </c>
      <c r="K448">
        <f>YEAR(NetflixData[[#This Row],[date]])</f>
        <v>2019</v>
      </c>
      <c r="L448" t="str">
        <f>TEXT(NetflixData[[#This Row],[date]],"mmm")</f>
        <v>Dec</v>
      </c>
      <c r="M448" t="str">
        <f>TEXT(NetflixData[[#This Row],[date]],"mmm yyyy")</f>
        <v>Dec 2019</v>
      </c>
      <c r="N448" t="str">
        <f t="shared" si="18"/>
        <v>Trading Day</v>
      </c>
      <c r="O448" t="str">
        <f t="shared" si="19"/>
        <v>Negative</v>
      </c>
      <c r="P448" t="str">
        <f t="shared" si="20"/>
        <v>Positive</v>
      </c>
    </row>
    <row r="449" spans="1:16" x14ac:dyDescent="0.3">
      <c r="A449" s="1">
        <v>43802</v>
      </c>
      <c r="B449">
        <v>30.62</v>
      </c>
      <c r="C449">
        <v>49928000</v>
      </c>
      <c r="D449">
        <v>1.304</v>
      </c>
      <c r="E449">
        <v>41</v>
      </c>
      <c r="F449">
        <v>3.27</v>
      </c>
      <c r="G449">
        <v>0.3523</v>
      </c>
      <c r="H449">
        <v>4</v>
      </c>
      <c r="I449">
        <v>5.93</v>
      </c>
      <c r="J449">
        <v>1</v>
      </c>
      <c r="K449">
        <f>YEAR(NetflixData[[#This Row],[date]])</f>
        <v>2019</v>
      </c>
      <c r="L449" t="str">
        <f>TEXT(NetflixData[[#This Row],[date]],"mmm")</f>
        <v>Dec</v>
      </c>
      <c r="M449" t="str">
        <f>TEXT(NetflixData[[#This Row],[date]],"mmm yyyy")</f>
        <v>Dec 2019</v>
      </c>
      <c r="N449" t="str">
        <f t="shared" si="18"/>
        <v>Trading Day</v>
      </c>
      <c r="O449" t="str">
        <f t="shared" si="19"/>
        <v>Positive</v>
      </c>
      <c r="P449" t="str">
        <f t="shared" si="20"/>
        <v>Positive</v>
      </c>
    </row>
    <row r="450" spans="1:16" x14ac:dyDescent="0.3">
      <c r="A450" s="1">
        <v>43803</v>
      </c>
      <c r="B450">
        <v>30.43</v>
      </c>
      <c r="C450">
        <v>35121000</v>
      </c>
      <c r="D450">
        <v>-1.333</v>
      </c>
      <c r="E450">
        <v>43</v>
      </c>
      <c r="F450">
        <v>3.23</v>
      </c>
      <c r="G450">
        <v>0.24</v>
      </c>
      <c r="H450">
        <v>3</v>
      </c>
      <c r="I450">
        <v>7</v>
      </c>
      <c r="J450">
        <v>1</v>
      </c>
      <c r="K450">
        <f>YEAR(NetflixData[[#This Row],[date]])</f>
        <v>2019</v>
      </c>
      <c r="L450" t="str">
        <f>TEXT(NetflixData[[#This Row],[date]],"mmm")</f>
        <v>Dec</v>
      </c>
      <c r="M450" t="str">
        <f>TEXT(NetflixData[[#This Row],[date]],"mmm yyyy")</f>
        <v>Dec 2019</v>
      </c>
      <c r="N450" t="str">
        <f t="shared" ref="N450:N513" si="21">IF(J451=1,"Trading Day","Non-Trading Day")</f>
        <v>Trading Day</v>
      </c>
      <c r="O450" t="str">
        <f t="shared" ref="O450:O513" si="22">IF(D450&gt;0,"Positive",IF(D450&lt;0,"Negative","No Change"))</f>
        <v>Negative</v>
      </c>
      <c r="P450" t="str">
        <f t="shared" ref="P450:P513" si="23">IF(G450&gt;0.1,"Positive",IF(G450&lt;-0.1,"Negative","Neutral"))</f>
        <v>Positive</v>
      </c>
    </row>
    <row r="451" spans="1:16" x14ac:dyDescent="0.3">
      <c r="A451" s="1">
        <v>43804</v>
      </c>
      <c r="B451">
        <v>30.29</v>
      </c>
      <c r="C451">
        <v>46155000</v>
      </c>
      <c r="D451">
        <v>-0.78900000000000003</v>
      </c>
      <c r="E451">
        <v>66</v>
      </c>
      <c r="F451">
        <v>3.27</v>
      </c>
      <c r="G451">
        <v>0.3634</v>
      </c>
      <c r="H451">
        <v>3</v>
      </c>
      <c r="I451">
        <v>5.4</v>
      </c>
      <c r="J451">
        <v>1</v>
      </c>
      <c r="K451">
        <f>YEAR(NetflixData[[#This Row],[date]])</f>
        <v>2019</v>
      </c>
      <c r="L451" t="str">
        <f>TEXT(NetflixData[[#This Row],[date]],"mmm")</f>
        <v>Dec</v>
      </c>
      <c r="M451" t="str">
        <f>TEXT(NetflixData[[#This Row],[date]],"mmm yyyy")</f>
        <v>Dec 2019</v>
      </c>
      <c r="N451" t="str">
        <f t="shared" si="21"/>
        <v>Trading Day</v>
      </c>
      <c r="O451" t="str">
        <f t="shared" si="22"/>
        <v>Negative</v>
      </c>
      <c r="P451" t="str">
        <f t="shared" si="23"/>
        <v>Positive</v>
      </c>
    </row>
    <row r="452" spans="1:16" x14ac:dyDescent="0.3">
      <c r="A452" s="1">
        <v>43805</v>
      </c>
      <c r="B452">
        <v>30.74</v>
      </c>
      <c r="C452">
        <v>44578000</v>
      </c>
      <c r="D452">
        <v>0.87</v>
      </c>
      <c r="E452">
        <v>62</v>
      </c>
      <c r="F452">
        <v>3.32</v>
      </c>
      <c r="G452">
        <v>0.26600000000000001</v>
      </c>
      <c r="H452">
        <v>16</v>
      </c>
      <c r="I452">
        <v>6.76</v>
      </c>
      <c r="J452">
        <v>1</v>
      </c>
      <c r="K452">
        <f>YEAR(NetflixData[[#This Row],[date]])</f>
        <v>2019</v>
      </c>
      <c r="L452" t="str">
        <f>TEXT(NetflixData[[#This Row],[date]],"mmm")</f>
        <v>Dec</v>
      </c>
      <c r="M452" t="str">
        <f>TEXT(NetflixData[[#This Row],[date]],"mmm yyyy")</f>
        <v>Dec 2019</v>
      </c>
      <c r="N452" t="str">
        <f t="shared" si="21"/>
        <v>Non-Trading Day</v>
      </c>
      <c r="O452" t="str">
        <f t="shared" si="22"/>
        <v>Positive</v>
      </c>
      <c r="P452" t="str">
        <f t="shared" si="23"/>
        <v>Positive</v>
      </c>
    </row>
    <row r="453" spans="1:16" x14ac:dyDescent="0.3">
      <c r="A453" s="1">
        <v>43806</v>
      </c>
      <c r="B453">
        <v>30.74</v>
      </c>
      <c r="C453">
        <v>0</v>
      </c>
      <c r="D453">
        <v>0</v>
      </c>
      <c r="E453">
        <v>69</v>
      </c>
      <c r="F453">
        <v>3.07</v>
      </c>
      <c r="G453">
        <v>0.27150000000000002</v>
      </c>
      <c r="H453">
        <v>2</v>
      </c>
      <c r="I453">
        <v>4.4000000000000004</v>
      </c>
      <c r="J453">
        <v>0</v>
      </c>
      <c r="K453">
        <f>YEAR(NetflixData[[#This Row],[date]])</f>
        <v>2019</v>
      </c>
      <c r="L453" t="str">
        <f>TEXT(NetflixData[[#This Row],[date]],"mmm")</f>
        <v>Dec</v>
      </c>
      <c r="M453" t="str">
        <f>TEXT(NetflixData[[#This Row],[date]],"mmm yyyy")</f>
        <v>Dec 2019</v>
      </c>
      <c r="N453" t="str">
        <f t="shared" si="21"/>
        <v>Non-Trading Day</v>
      </c>
      <c r="O453" t="str">
        <f t="shared" si="22"/>
        <v>No Change</v>
      </c>
      <c r="P453" t="str">
        <f t="shared" si="23"/>
        <v>Positive</v>
      </c>
    </row>
    <row r="454" spans="1:16" x14ac:dyDescent="0.3">
      <c r="A454" s="1">
        <v>43807</v>
      </c>
      <c r="B454">
        <v>30.74</v>
      </c>
      <c r="C454">
        <v>0</v>
      </c>
      <c r="D454">
        <v>0</v>
      </c>
      <c r="E454">
        <v>56</v>
      </c>
      <c r="F454">
        <v>3.3</v>
      </c>
      <c r="G454">
        <v>0.41639999999999999</v>
      </c>
      <c r="H454">
        <v>1</v>
      </c>
      <c r="I454">
        <v>5.0999999999999996</v>
      </c>
      <c r="J454">
        <v>0</v>
      </c>
      <c r="K454">
        <f>YEAR(NetflixData[[#This Row],[date]])</f>
        <v>2019</v>
      </c>
      <c r="L454" t="str">
        <f>TEXT(NetflixData[[#This Row],[date]],"mmm")</f>
        <v>Dec</v>
      </c>
      <c r="M454" t="str">
        <f>TEXT(NetflixData[[#This Row],[date]],"mmm yyyy")</f>
        <v>Dec 2019</v>
      </c>
      <c r="N454" t="str">
        <f t="shared" si="21"/>
        <v>Trading Day</v>
      </c>
      <c r="O454" t="str">
        <f t="shared" si="22"/>
        <v>No Change</v>
      </c>
      <c r="P454" t="str">
        <f t="shared" si="23"/>
        <v>Positive</v>
      </c>
    </row>
    <row r="455" spans="1:16" x14ac:dyDescent="0.3">
      <c r="A455" s="1">
        <v>43808</v>
      </c>
      <c r="B455">
        <v>30.25</v>
      </c>
      <c r="C455">
        <v>57484000</v>
      </c>
      <c r="D455">
        <v>-1.5780000000000001</v>
      </c>
      <c r="E455">
        <v>44</v>
      </c>
      <c r="F455">
        <v>3.43</v>
      </c>
      <c r="G455">
        <v>0.32329999999999998</v>
      </c>
      <c r="H455">
        <v>2</v>
      </c>
      <c r="I455">
        <v>6.1</v>
      </c>
      <c r="J455">
        <v>1</v>
      </c>
      <c r="K455">
        <f>YEAR(NetflixData[[#This Row],[date]])</f>
        <v>2019</v>
      </c>
      <c r="L455" t="str">
        <f>TEXT(NetflixData[[#This Row],[date]],"mmm")</f>
        <v>Dec</v>
      </c>
      <c r="M455" t="str">
        <f>TEXT(NetflixData[[#This Row],[date]],"mmm yyyy")</f>
        <v>Dec 2019</v>
      </c>
      <c r="N455" t="str">
        <f t="shared" si="21"/>
        <v>Trading Day</v>
      </c>
      <c r="O455" t="str">
        <f t="shared" si="22"/>
        <v>Negative</v>
      </c>
      <c r="P455" t="str">
        <f t="shared" si="23"/>
        <v>Positive</v>
      </c>
    </row>
    <row r="456" spans="1:16" x14ac:dyDescent="0.3">
      <c r="A456" s="1">
        <v>43809</v>
      </c>
      <c r="B456">
        <v>29.31</v>
      </c>
      <c r="C456">
        <v>104761000</v>
      </c>
      <c r="D456">
        <v>-1.0129999999999999</v>
      </c>
      <c r="E456">
        <v>51</v>
      </c>
      <c r="F456">
        <v>2.98</v>
      </c>
      <c r="G456">
        <v>0.245</v>
      </c>
      <c r="H456">
        <v>3</v>
      </c>
      <c r="I456">
        <v>4</v>
      </c>
      <c r="J456">
        <v>1</v>
      </c>
      <c r="K456">
        <f>YEAR(NetflixData[[#This Row],[date]])</f>
        <v>2019</v>
      </c>
      <c r="L456" t="str">
        <f>TEXT(NetflixData[[#This Row],[date]],"mmm")</f>
        <v>Dec</v>
      </c>
      <c r="M456" t="str">
        <f>TEXT(NetflixData[[#This Row],[date]],"mmm yyyy")</f>
        <v>Dec 2019</v>
      </c>
      <c r="N456" t="str">
        <f t="shared" si="21"/>
        <v>Trading Day</v>
      </c>
      <c r="O456" t="str">
        <f t="shared" si="22"/>
        <v>Negative</v>
      </c>
      <c r="P456" t="str">
        <f t="shared" si="23"/>
        <v>Positive</v>
      </c>
    </row>
    <row r="457" spans="1:16" x14ac:dyDescent="0.3">
      <c r="A457" s="1">
        <v>43810</v>
      </c>
      <c r="B457">
        <v>29.89</v>
      </c>
      <c r="C457">
        <v>55898000</v>
      </c>
      <c r="D457">
        <v>1.508</v>
      </c>
      <c r="E457">
        <v>46</v>
      </c>
      <c r="F457">
        <v>3.09</v>
      </c>
      <c r="G457">
        <v>0.36849999999999999</v>
      </c>
      <c r="H457">
        <v>1</v>
      </c>
      <c r="I457">
        <v>7.6</v>
      </c>
      <c r="J457">
        <v>1</v>
      </c>
      <c r="K457">
        <f>YEAR(NetflixData[[#This Row],[date]])</f>
        <v>2019</v>
      </c>
      <c r="L457" t="str">
        <f>TEXT(NetflixData[[#This Row],[date]],"mmm")</f>
        <v>Dec</v>
      </c>
      <c r="M457" t="str">
        <f>TEXT(NetflixData[[#This Row],[date]],"mmm yyyy")</f>
        <v>Dec 2019</v>
      </c>
      <c r="N457" t="str">
        <f t="shared" si="21"/>
        <v>Trading Day</v>
      </c>
      <c r="O457" t="str">
        <f t="shared" si="22"/>
        <v>Positive</v>
      </c>
      <c r="P457" t="str">
        <f t="shared" si="23"/>
        <v>Positive</v>
      </c>
    </row>
    <row r="458" spans="1:16" x14ac:dyDescent="0.3">
      <c r="A458" s="1">
        <v>43811</v>
      </c>
      <c r="B458">
        <v>29.84</v>
      </c>
      <c r="C458">
        <v>47666000</v>
      </c>
      <c r="D458">
        <v>0.93700000000000006</v>
      </c>
      <c r="E458">
        <v>45</v>
      </c>
      <c r="F458">
        <v>3.73</v>
      </c>
      <c r="G458">
        <v>0.42430000000000001</v>
      </c>
      <c r="H458">
        <v>1</v>
      </c>
      <c r="J458">
        <v>1</v>
      </c>
      <c r="K458">
        <f>YEAR(NetflixData[[#This Row],[date]])</f>
        <v>2019</v>
      </c>
      <c r="L458" t="str">
        <f>TEXT(NetflixData[[#This Row],[date]],"mmm")</f>
        <v>Dec</v>
      </c>
      <c r="M458" t="str">
        <f>TEXT(NetflixData[[#This Row],[date]],"mmm yyyy")</f>
        <v>Dec 2019</v>
      </c>
      <c r="N458" t="str">
        <f t="shared" si="21"/>
        <v>Trading Day</v>
      </c>
      <c r="O458" t="str">
        <f t="shared" si="22"/>
        <v>Positive</v>
      </c>
      <c r="P458" t="str">
        <f t="shared" si="23"/>
        <v>Positive</v>
      </c>
    </row>
    <row r="459" spans="1:16" x14ac:dyDescent="0.3">
      <c r="A459" s="1">
        <v>43812</v>
      </c>
      <c r="B459">
        <v>29.85</v>
      </c>
      <c r="C459">
        <v>38797000</v>
      </c>
      <c r="D459">
        <v>0</v>
      </c>
      <c r="E459">
        <v>51</v>
      </c>
      <c r="F459">
        <v>3.39</v>
      </c>
      <c r="G459">
        <v>0.33929999999999999</v>
      </c>
      <c r="H459">
        <v>8</v>
      </c>
      <c r="I459">
        <v>4.97</v>
      </c>
      <c r="J459">
        <v>1</v>
      </c>
      <c r="K459">
        <f>YEAR(NetflixData[[#This Row],[date]])</f>
        <v>2019</v>
      </c>
      <c r="L459" t="str">
        <f>TEXT(NetflixData[[#This Row],[date]],"mmm")</f>
        <v>Dec</v>
      </c>
      <c r="M459" t="str">
        <f>TEXT(NetflixData[[#This Row],[date]],"mmm yyyy")</f>
        <v>Dec 2019</v>
      </c>
      <c r="N459" t="str">
        <f t="shared" si="21"/>
        <v>Non-Trading Day</v>
      </c>
      <c r="O459" t="str">
        <f t="shared" si="22"/>
        <v>No Change</v>
      </c>
      <c r="P459" t="str">
        <f t="shared" si="23"/>
        <v>Positive</v>
      </c>
    </row>
    <row r="460" spans="1:16" x14ac:dyDescent="0.3">
      <c r="A460" s="1">
        <v>43813</v>
      </c>
      <c r="B460">
        <v>29.85</v>
      </c>
      <c r="C460">
        <v>0</v>
      </c>
      <c r="D460">
        <v>0</v>
      </c>
      <c r="E460">
        <v>39</v>
      </c>
      <c r="F460">
        <v>3.23</v>
      </c>
      <c r="G460">
        <v>0.39369999999999999</v>
      </c>
      <c r="H460">
        <v>0</v>
      </c>
      <c r="J460">
        <v>0</v>
      </c>
      <c r="K460">
        <f>YEAR(NetflixData[[#This Row],[date]])</f>
        <v>2019</v>
      </c>
      <c r="L460" t="str">
        <f>TEXT(NetflixData[[#This Row],[date]],"mmm")</f>
        <v>Dec</v>
      </c>
      <c r="M460" t="str">
        <f>TEXT(NetflixData[[#This Row],[date]],"mmm yyyy")</f>
        <v>Dec 2019</v>
      </c>
      <c r="N460" t="str">
        <f t="shared" si="21"/>
        <v>Non-Trading Day</v>
      </c>
      <c r="O460" t="str">
        <f t="shared" si="22"/>
        <v>No Change</v>
      </c>
      <c r="P460" t="str">
        <f t="shared" si="23"/>
        <v>Positive</v>
      </c>
    </row>
    <row r="461" spans="1:16" x14ac:dyDescent="0.3">
      <c r="A461" s="1">
        <v>43814</v>
      </c>
      <c r="B461">
        <v>29.85</v>
      </c>
      <c r="C461">
        <v>0</v>
      </c>
      <c r="D461">
        <v>0</v>
      </c>
      <c r="E461">
        <v>48</v>
      </c>
      <c r="F461">
        <v>3.31</v>
      </c>
      <c r="G461">
        <v>0.19159999999999999</v>
      </c>
      <c r="H461">
        <v>29</v>
      </c>
      <c r="I461">
        <v>6.81</v>
      </c>
      <c r="J461">
        <v>0</v>
      </c>
      <c r="K461">
        <f>YEAR(NetflixData[[#This Row],[date]])</f>
        <v>2019</v>
      </c>
      <c r="L461" t="str">
        <f>TEXT(NetflixData[[#This Row],[date]],"mmm")</f>
        <v>Dec</v>
      </c>
      <c r="M461" t="str">
        <f>TEXT(NetflixData[[#This Row],[date]],"mmm yyyy")</f>
        <v>Dec 2019</v>
      </c>
      <c r="N461" t="str">
        <f t="shared" si="21"/>
        <v>Trading Day</v>
      </c>
      <c r="O461" t="str">
        <f t="shared" si="22"/>
        <v>No Change</v>
      </c>
      <c r="P461" t="str">
        <f t="shared" si="23"/>
        <v>Positive</v>
      </c>
    </row>
    <row r="462" spans="1:16" x14ac:dyDescent="0.3">
      <c r="A462" s="1">
        <v>43815</v>
      </c>
      <c r="B462">
        <v>30.42</v>
      </c>
      <c r="C462">
        <v>46589000</v>
      </c>
      <c r="D462">
        <v>1.117</v>
      </c>
      <c r="E462">
        <v>48</v>
      </c>
      <c r="F462">
        <v>3.58</v>
      </c>
      <c r="G462">
        <v>0.36930000000000002</v>
      </c>
      <c r="H462">
        <v>3</v>
      </c>
      <c r="I462">
        <v>6.83</v>
      </c>
      <c r="J462">
        <v>1</v>
      </c>
      <c r="K462">
        <f>YEAR(NetflixData[[#This Row],[date]])</f>
        <v>2019</v>
      </c>
      <c r="L462" t="str">
        <f>TEXT(NetflixData[[#This Row],[date]],"mmm")</f>
        <v>Dec</v>
      </c>
      <c r="M462" t="str">
        <f>TEXT(NetflixData[[#This Row],[date]],"mmm yyyy")</f>
        <v>Dec 2019</v>
      </c>
      <c r="N462" t="str">
        <f t="shared" si="21"/>
        <v>Trading Day</v>
      </c>
      <c r="O462" t="str">
        <f t="shared" si="22"/>
        <v>Positive</v>
      </c>
      <c r="P462" t="str">
        <f t="shared" si="23"/>
        <v>Positive</v>
      </c>
    </row>
    <row r="463" spans="1:16" x14ac:dyDescent="0.3">
      <c r="A463" s="1">
        <v>43816</v>
      </c>
      <c r="B463">
        <v>31.55</v>
      </c>
      <c r="C463">
        <v>104271000</v>
      </c>
      <c r="D463">
        <v>2.6419999999999999</v>
      </c>
      <c r="E463">
        <v>47</v>
      </c>
      <c r="F463">
        <v>3.23</v>
      </c>
      <c r="G463">
        <v>0.30869999999999997</v>
      </c>
      <c r="H463">
        <v>1</v>
      </c>
      <c r="J463">
        <v>1</v>
      </c>
      <c r="K463">
        <f>YEAR(NetflixData[[#This Row],[date]])</f>
        <v>2019</v>
      </c>
      <c r="L463" t="str">
        <f>TEXT(NetflixData[[#This Row],[date]],"mmm")</f>
        <v>Dec</v>
      </c>
      <c r="M463" t="str">
        <f>TEXT(NetflixData[[#This Row],[date]],"mmm yyyy")</f>
        <v>Dec 2019</v>
      </c>
      <c r="N463" t="str">
        <f t="shared" si="21"/>
        <v>Trading Day</v>
      </c>
      <c r="O463" t="str">
        <f t="shared" si="22"/>
        <v>Positive</v>
      </c>
      <c r="P463" t="str">
        <f t="shared" si="23"/>
        <v>Positive</v>
      </c>
    </row>
    <row r="464" spans="1:16" x14ac:dyDescent="0.3">
      <c r="A464" s="1">
        <v>43817</v>
      </c>
      <c r="B464">
        <v>32.08</v>
      </c>
      <c r="C464">
        <v>112074000</v>
      </c>
      <c r="D464">
        <v>1.4359999999999999</v>
      </c>
      <c r="E464">
        <v>30</v>
      </c>
      <c r="F464">
        <v>3.47</v>
      </c>
      <c r="G464">
        <v>0.36199999999999999</v>
      </c>
      <c r="H464">
        <v>2</v>
      </c>
      <c r="I464">
        <v>7.4</v>
      </c>
      <c r="J464">
        <v>1</v>
      </c>
      <c r="K464">
        <f>YEAR(NetflixData[[#This Row],[date]])</f>
        <v>2019</v>
      </c>
      <c r="L464" t="str">
        <f>TEXT(NetflixData[[#This Row],[date]],"mmm")</f>
        <v>Dec</v>
      </c>
      <c r="M464" t="str">
        <f>TEXT(NetflixData[[#This Row],[date]],"mmm yyyy")</f>
        <v>Dec 2019</v>
      </c>
      <c r="N464" t="str">
        <f t="shared" si="21"/>
        <v>Trading Day</v>
      </c>
      <c r="O464" t="str">
        <f t="shared" si="22"/>
        <v>Positive</v>
      </c>
      <c r="P464" t="str">
        <f t="shared" si="23"/>
        <v>Positive</v>
      </c>
    </row>
    <row r="465" spans="1:16" x14ac:dyDescent="0.3">
      <c r="A465" s="1">
        <v>43818</v>
      </c>
      <c r="B465">
        <v>33.22</v>
      </c>
      <c r="C465">
        <v>98223000</v>
      </c>
      <c r="D465">
        <v>2.379</v>
      </c>
      <c r="E465">
        <v>51</v>
      </c>
      <c r="F465">
        <v>3.31</v>
      </c>
      <c r="G465">
        <v>0.39069999999999999</v>
      </c>
      <c r="H465">
        <v>3</v>
      </c>
      <c r="I465">
        <v>6.2</v>
      </c>
      <c r="J465">
        <v>1</v>
      </c>
      <c r="K465">
        <f>YEAR(NetflixData[[#This Row],[date]])</f>
        <v>2019</v>
      </c>
      <c r="L465" t="str">
        <f>TEXT(NetflixData[[#This Row],[date]],"mmm")</f>
        <v>Dec</v>
      </c>
      <c r="M465" t="str">
        <f>TEXT(NetflixData[[#This Row],[date]],"mmm yyyy")</f>
        <v>Dec 2019</v>
      </c>
      <c r="N465" t="str">
        <f t="shared" si="21"/>
        <v>Trading Day</v>
      </c>
      <c r="O465" t="str">
        <f t="shared" si="22"/>
        <v>Positive</v>
      </c>
      <c r="P465" t="str">
        <f t="shared" si="23"/>
        <v>Positive</v>
      </c>
    </row>
    <row r="466" spans="1:16" x14ac:dyDescent="0.3">
      <c r="A466" s="1">
        <v>43819</v>
      </c>
      <c r="B466">
        <v>33.69</v>
      </c>
      <c r="C466">
        <v>99149000</v>
      </c>
      <c r="D466">
        <v>0.56699999999999995</v>
      </c>
      <c r="E466">
        <v>47</v>
      </c>
      <c r="F466">
        <v>3.09</v>
      </c>
      <c r="G466">
        <v>8.3199999999999996E-2</v>
      </c>
      <c r="H466">
        <v>7</v>
      </c>
      <c r="I466">
        <v>7.56</v>
      </c>
      <c r="J466">
        <v>1</v>
      </c>
      <c r="K466">
        <f>YEAR(NetflixData[[#This Row],[date]])</f>
        <v>2019</v>
      </c>
      <c r="L466" t="str">
        <f>TEXT(NetflixData[[#This Row],[date]],"mmm")</f>
        <v>Dec</v>
      </c>
      <c r="M466" t="str">
        <f>TEXT(NetflixData[[#This Row],[date]],"mmm yyyy")</f>
        <v>Dec 2019</v>
      </c>
      <c r="N466" t="str">
        <f t="shared" si="21"/>
        <v>Non-Trading Day</v>
      </c>
      <c r="O466" t="str">
        <f t="shared" si="22"/>
        <v>Positive</v>
      </c>
      <c r="P466" t="str">
        <f t="shared" si="23"/>
        <v>Neutral</v>
      </c>
    </row>
    <row r="467" spans="1:16" x14ac:dyDescent="0.3">
      <c r="A467" s="1">
        <v>43820</v>
      </c>
      <c r="B467">
        <v>33.69</v>
      </c>
      <c r="C467">
        <v>0</v>
      </c>
      <c r="D467">
        <v>0</v>
      </c>
      <c r="E467">
        <v>57</v>
      </c>
      <c r="F467">
        <v>3.14</v>
      </c>
      <c r="G467">
        <v>0.22720000000000001</v>
      </c>
      <c r="H467">
        <v>2</v>
      </c>
      <c r="I467">
        <v>5.7</v>
      </c>
      <c r="J467">
        <v>0</v>
      </c>
      <c r="K467">
        <f>YEAR(NetflixData[[#This Row],[date]])</f>
        <v>2019</v>
      </c>
      <c r="L467" t="str">
        <f>TEXT(NetflixData[[#This Row],[date]],"mmm")</f>
        <v>Dec</v>
      </c>
      <c r="M467" t="str">
        <f>TEXT(NetflixData[[#This Row],[date]],"mmm yyyy")</f>
        <v>Dec 2019</v>
      </c>
      <c r="N467" t="str">
        <f t="shared" si="21"/>
        <v>Non-Trading Day</v>
      </c>
      <c r="O467" t="str">
        <f t="shared" si="22"/>
        <v>No Change</v>
      </c>
      <c r="P467" t="str">
        <f t="shared" si="23"/>
        <v>Positive</v>
      </c>
    </row>
    <row r="468" spans="1:16" x14ac:dyDescent="0.3">
      <c r="A468" s="1">
        <v>43821</v>
      </c>
      <c r="B468">
        <v>33.69</v>
      </c>
      <c r="C468">
        <v>0</v>
      </c>
      <c r="D468">
        <v>0</v>
      </c>
      <c r="E468">
        <v>55</v>
      </c>
      <c r="F468">
        <v>3.13</v>
      </c>
      <c r="G468">
        <v>0.1394</v>
      </c>
      <c r="H468">
        <v>2</v>
      </c>
      <c r="I468">
        <v>3.6</v>
      </c>
      <c r="J468">
        <v>0</v>
      </c>
      <c r="K468">
        <f>YEAR(NetflixData[[#This Row],[date]])</f>
        <v>2019</v>
      </c>
      <c r="L468" t="str">
        <f>TEXT(NetflixData[[#This Row],[date]],"mmm")</f>
        <v>Dec</v>
      </c>
      <c r="M468" t="str">
        <f>TEXT(NetflixData[[#This Row],[date]],"mmm yyyy")</f>
        <v>Dec 2019</v>
      </c>
      <c r="N468" t="str">
        <f t="shared" si="21"/>
        <v>Trading Day</v>
      </c>
      <c r="O468" t="str">
        <f t="shared" si="22"/>
        <v>No Change</v>
      </c>
      <c r="P468" t="str">
        <f t="shared" si="23"/>
        <v>Positive</v>
      </c>
    </row>
    <row r="469" spans="1:16" x14ac:dyDescent="0.3">
      <c r="A469" s="1">
        <v>43822</v>
      </c>
      <c r="B469">
        <v>33.31</v>
      </c>
      <c r="C469">
        <v>57653000</v>
      </c>
      <c r="D469">
        <v>-1.38</v>
      </c>
      <c r="E469">
        <v>69</v>
      </c>
      <c r="F469">
        <v>3.17</v>
      </c>
      <c r="G469">
        <v>0.32679999999999998</v>
      </c>
      <c r="H469">
        <v>0</v>
      </c>
      <c r="J469">
        <v>1</v>
      </c>
      <c r="K469">
        <f>YEAR(NetflixData[[#This Row],[date]])</f>
        <v>2019</v>
      </c>
      <c r="L469" t="str">
        <f>TEXT(NetflixData[[#This Row],[date]],"mmm")</f>
        <v>Dec</v>
      </c>
      <c r="M469" t="str">
        <f>TEXT(NetflixData[[#This Row],[date]],"mmm yyyy")</f>
        <v>Dec 2019</v>
      </c>
      <c r="N469" t="str">
        <f t="shared" si="21"/>
        <v>Trading Day</v>
      </c>
      <c r="O469" t="str">
        <f t="shared" si="22"/>
        <v>Negative</v>
      </c>
      <c r="P469" t="str">
        <f t="shared" si="23"/>
        <v>Positive</v>
      </c>
    </row>
    <row r="470" spans="1:16" x14ac:dyDescent="0.3">
      <c r="A470" s="1">
        <v>43823</v>
      </c>
      <c r="B470">
        <v>33.32</v>
      </c>
      <c r="C470">
        <v>20193000</v>
      </c>
      <c r="D470">
        <v>-0.24299999999999999</v>
      </c>
      <c r="E470">
        <v>43</v>
      </c>
      <c r="F470">
        <v>3.37</v>
      </c>
      <c r="G470">
        <v>0.37569999999999998</v>
      </c>
      <c r="H470">
        <v>4</v>
      </c>
      <c r="I470">
        <v>7.33</v>
      </c>
      <c r="J470">
        <v>1</v>
      </c>
      <c r="K470">
        <f>YEAR(NetflixData[[#This Row],[date]])</f>
        <v>2019</v>
      </c>
      <c r="L470" t="str">
        <f>TEXT(NetflixData[[#This Row],[date]],"mmm")</f>
        <v>Dec</v>
      </c>
      <c r="M470" t="str">
        <f>TEXT(NetflixData[[#This Row],[date]],"mmm yyyy")</f>
        <v>Dec 2019</v>
      </c>
      <c r="N470" t="str">
        <f t="shared" si="21"/>
        <v>Non-Trading Day</v>
      </c>
      <c r="O470" t="str">
        <f t="shared" si="22"/>
        <v>Negative</v>
      </c>
      <c r="P470" t="str">
        <f t="shared" si="23"/>
        <v>Positive</v>
      </c>
    </row>
    <row r="471" spans="1:16" x14ac:dyDescent="0.3">
      <c r="A471" s="1">
        <v>43824</v>
      </c>
      <c r="B471">
        <v>33.32</v>
      </c>
      <c r="C471">
        <v>0</v>
      </c>
      <c r="D471">
        <v>0</v>
      </c>
      <c r="E471">
        <v>65</v>
      </c>
      <c r="F471">
        <v>3.31</v>
      </c>
      <c r="G471">
        <v>0.31469999999999998</v>
      </c>
      <c r="H471">
        <v>6</v>
      </c>
      <c r="I471">
        <v>5.38</v>
      </c>
      <c r="J471">
        <v>0</v>
      </c>
      <c r="K471">
        <f>YEAR(NetflixData[[#This Row],[date]])</f>
        <v>2019</v>
      </c>
      <c r="L471" t="str">
        <f>TEXT(NetflixData[[#This Row],[date]],"mmm")</f>
        <v>Dec</v>
      </c>
      <c r="M471" t="str">
        <f>TEXT(NetflixData[[#This Row],[date]],"mmm yyyy")</f>
        <v>Dec 2019</v>
      </c>
      <c r="N471" t="str">
        <f t="shared" si="21"/>
        <v>Trading Day</v>
      </c>
      <c r="O471" t="str">
        <f t="shared" si="22"/>
        <v>No Change</v>
      </c>
      <c r="P471" t="str">
        <f t="shared" si="23"/>
        <v>Positive</v>
      </c>
    </row>
    <row r="472" spans="1:16" x14ac:dyDescent="0.3">
      <c r="A472" s="1">
        <v>43825</v>
      </c>
      <c r="B472">
        <v>33.26</v>
      </c>
      <c r="C472">
        <v>35899000</v>
      </c>
      <c r="D472">
        <v>-0.58899999999999997</v>
      </c>
      <c r="E472">
        <v>55</v>
      </c>
      <c r="F472">
        <v>3.4</v>
      </c>
      <c r="G472">
        <v>0.36720000000000003</v>
      </c>
      <c r="H472">
        <v>3</v>
      </c>
      <c r="I472">
        <v>6.2</v>
      </c>
      <c r="J472">
        <v>1</v>
      </c>
      <c r="K472">
        <f>YEAR(NetflixData[[#This Row],[date]])</f>
        <v>2019</v>
      </c>
      <c r="L472" t="str">
        <f>TEXT(NetflixData[[#This Row],[date]],"mmm")</f>
        <v>Dec</v>
      </c>
      <c r="M472" t="str">
        <f>TEXT(NetflixData[[#This Row],[date]],"mmm yyyy")</f>
        <v>Dec 2019</v>
      </c>
      <c r="N472" t="str">
        <f t="shared" si="21"/>
        <v>Trading Day</v>
      </c>
      <c r="O472" t="str">
        <f t="shared" si="22"/>
        <v>Negative</v>
      </c>
      <c r="P472" t="str">
        <f t="shared" si="23"/>
        <v>Positive</v>
      </c>
    </row>
    <row r="473" spans="1:16" x14ac:dyDescent="0.3">
      <c r="A473" s="1">
        <v>43826</v>
      </c>
      <c r="B473">
        <v>32.909999999999997</v>
      </c>
      <c r="C473">
        <v>50361000</v>
      </c>
      <c r="D473">
        <v>-1.1619999999999999</v>
      </c>
      <c r="E473">
        <v>63</v>
      </c>
      <c r="F473">
        <v>3.27</v>
      </c>
      <c r="G473">
        <v>0.31169999999999998</v>
      </c>
      <c r="H473">
        <v>5</v>
      </c>
      <c r="I473">
        <v>5.62</v>
      </c>
      <c r="J473">
        <v>1</v>
      </c>
      <c r="K473">
        <f>YEAR(NetflixData[[#This Row],[date]])</f>
        <v>2019</v>
      </c>
      <c r="L473" t="str">
        <f>TEXT(NetflixData[[#This Row],[date]],"mmm")</f>
        <v>Dec</v>
      </c>
      <c r="M473" t="str">
        <f>TEXT(NetflixData[[#This Row],[date]],"mmm yyyy")</f>
        <v>Dec 2019</v>
      </c>
      <c r="N473" t="str">
        <f t="shared" si="21"/>
        <v>Non-Trading Day</v>
      </c>
      <c r="O473" t="str">
        <f t="shared" si="22"/>
        <v>Negative</v>
      </c>
      <c r="P473" t="str">
        <f t="shared" si="23"/>
        <v>Positive</v>
      </c>
    </row>
    <row r="474" spans="1:16" x14ac:dyDescent="0.3">
      <c r="A474" s="1">
        <v>43827</v>
      </c>
      <c r="B474">
        <v>32.909999999999997</v>
      </c>
      <c r="C474">
        <v>0</v>
      </c>
      <c r="D474">
        <v>0</v>
      </c>
      <c r="E474">
        <v>64</v>
      </c>
      <c r="F474">
        <v>3.25</v>
      </c>
      <c r="G474">
        <v>0.37190000000000001</v>
      </c>
      <c r="H474">
        <v>1</v>
      </c>
      <c r="I474">
        <v>4.4000000000000004</v>
      </c>
      <c r="J474">
        <v>0</v>
      </c>
      <c r="K474">
        <f>YEAR(NetflixData[[#This Row],[date]])</f>
        <v>2019</v>
      </c>
      <c r="L474" t="str">
        <f>TEXT(NetflixData[[#This Row],[date]],"mmm")</f>
        <v>Dec</v>
      </c>
      <c r="M474" t="str">
        <f>TEXT(NetflixData[[#This Row],[date]],"mmm yyyy")</f>
        <v>Dec 2019</v>
      </c>
      <c r="N474" t="str">
        <f t="shared" si="21"/>
        <v>Non-Trading Day</v>
      </c>
      <c r="O474" t="str">
        <f t="shared" si="22"/>
        <v>No Change</v>
      </c>
      <c r="P474" t="str">
        <f t="shared" si="23"/>
        <v>Positive</v>
      </c>
    </row>
    <row r="475" spans="1:16" x14ac:dyDescent="0.3">
      <c r="A475" s="1">
        <v>43828</v>
      </c>
      <c r="B475">
        <v>32.909999999999997</v>
      </c>
      <c r="C475">
        <v>0</v>
      </c>
      <c r="D475">
        <v>0</v>
      </c>
      <c r="E475">
        <v>59</v>
      </c>
      <c r="F475">
        <v>3.46</v>
      </c>
      <c r="G475">
        <v>0.46739999999999998</v>
      </c>
      <c r="H475">
        <v>1</v>
      </c>
      <c r="I475">
        <v>7.2</v>
      </c>
      <c r="J475">
        <v>0</v>
      </c>
      <c r="K475">
        <f>YEAR(NetflixData[[#This Row],[date]])</f>
        <v>2019</v>
      </c>
      <c r="L475" t="str">
        <f>TEXT(NetflixData[[#This Row],[date]],"mmm")</f>
        <v>Dec</v>
      </c>
      <c r="M475" t="str">
        <f>TEXT(NetflixData[[#This Row],[date]],"mmm yyyy")</f>
        <v>Dec 2019</v>
      </c>
      <c r="N475" t="str">
        <f t="shared" si="21"/>
        <v>Trading Day</v>
      </c>
      <c r="O475" t="str">
        <f t="shared" si="22"/>
        <v>No Change</v>
      </c>
      <c r="P475" t="str">
        <f t="shared" si="23"/>
        <v>Positive</v>
      </c>
    </row>
    <row r="476" spans="1:16" x14ac:dyDescent="0.3">
      <c r="A476" s="1">
        <v>43829</v>
      </c>
      <c r="B476">
        <v>32.33</v>
      </c>
      <c r="C476">
        <v>43115000</v>
      </c>
      <c r="D476">
        <v>-1.7529999999999999</v>
      </c>
      <c r="E476">
        <v>59</v>
      </c>
      <c r="F476">
        <v>3.46</v>
      </c>
      <c r="G476">
        <v>0.4073</v>
      </c>
      <c r="H476">
        <v>1</v>
      </c>
      <c r="I476">
        <v>7.9</v>
      </c>
      <c r="J476">
        <v>1</v>
      </c>
      <c r="K476">
        <f>YEAR(NetflixData[[#This Row],[date]])</f>
        <v>2019</v>
      </c>
      <c r="L476" t="str">
        <f>TEXT(NetflixData[[#This Row],[date]],"mmm")</f>
        <v>Dec</v>
      </c>
      <c r="M476" t="str">
        <f>TEXT(NetflixData[[#This Row],[date]],"mmm yyyy")</f>
        <v>Dec 2019</v>
      </c>
      <c r="N476" t="str">
        <f t="shared" si="21"/>
        <v>Trading Day</v>
      </c>
      <c r="O476" t="str">
        <f t="shared" si="22"/>
        <v>Negative</v>
      </c>
      <c r="P476" t="str">
        <f t="shared" si="23"/>
        <v>Positive</v>
      </c>
    </row>
    <row r="477" spans="1:16" x14ac:dyDescent="0.3">
      <c r="A477" s="1">
        <v>43830</v>
      </c>
      <c r="B477">
        <v>32.36</v>
      </c>
      <c r="C477">
        <v>37133000</v>
      </c>
      <c r="D477">
        <v>0.48799999999999999</v>
      </c>
      <c r="E477">
        <v>56</v>
      </c>
      <c r="F477">
        <v>3.41</v>
      </c>
      <c r="G477">
        <v>0.43459999999999999</v>
      </c>
      <c r="H477">
        <v>76</v>
      </c>
      <c r="I477">
        <v>6.57</v>
      </c>
      <c r="J477">
        <v>1</v>
      </c>
      <c r="K477">
        <f>YEAR(NetflixData[[#This Row],[date]])</f>
        <v>2019</v>
      </c>
      <c r="L477" t="str">
        <f>TEXT(NetflixData[[#This Row],[date]],"mmm")</f>
        <v>Dec</v>
      </c>
      <c r="M477" t="str">
        <f>TEXT(NetflixData[[#This Row],[date]],"mmm yyyy")</f>
        <v>Dec 2019</v>
      </c>
      <c r="N477" t="str">
        <f t="shared" si="21"/>
        <v>Non-Trading Day</v>
      </c>
      <c r="O477" t="str">
        <f t="shared" si="22"/>
        <v>Positive</v>
      </c>
      <c r="P477" t="str">
        <f t="shared" si="23"/>
        <v>Positive</v>
      </c>
    </row>
    <row r="478" spans="1:16" x14ac:dyDescent="0.3">
      <c r="A478" s="1">
        <v>43831</v>
      </c>
      <c r="B478">
        <v>32.36</v>
      </c>
      <c r="C478">
        <v>0</v>
      </c>
      <c r="D478">
        <v>0</v>
      </c>
      <c r="E478">
        <v>54</v>
      </c>
      <c r="F478">
        <v>3.5</v>
      </c>
      <c r="G478">
        <v>0.38279999999999997</v>
      </c>
      <c r="H478">
        <v>118</v>
      </c>
      <c r="I478">
        <v>6.76</v>
      </c>
      <c r="J478">
        <v>0</v>
      </c>
      <c r="K478">
        <f>YEAR(NetflixData[[#This Row],[date]])</f>
        <v>2020</v>
      </c>
      <c r="L478" t="str">
        <f>TEXT(NetflixData[[#This Row],[date]],"mmm")</f>
        <v>Jan</v>
      </c>
      <c r="M478" t="str">
        <f>TEXT(NetflixData[[#This Row],[date]],"mmm yyyy")</f>
        <v>Jan 2020</v>
      </c>
      <c r="N478" t="str">
        <f t="shared" si="21"/>
        <v>Trading Day</v>
      </c>
      <c r="O478" t="str">
        <f t="shared" si="22"/>
        <v>No Change</v>
      </c>
      <c r="P478" t="str">
        <f t="shared" si="23"/>
        <v>Positive</v>
      </c>
    </row>
    <row r="479" spans="1:16" x14ac:dyDescent="0.3">
      <c r="A479" s="1">
        <v>43832</v>
      </c>
      <c r="B479">
        <v>32.979999999999997</v>
      </c>
      <c r="C479">
        <v>44858000</v>
      </c>
      <c r="D479">
        <v>1.1379999999999999</v>
      </c>
      <c r="E479">
        <v>71</v>
      </c>
      <c r="F479">
        <v>3.72</v>
      </c>
      <c r="G479">
        <v>0.55200000000000005</v>
      </c>
      <c r="H479">
        <v>3</v>
      </c>
      <c r="I479">
        <v>6.13</v>
      </c>
      <c r="J479">
        <v>1</v>
      </c>
      <c r="K479">
        <f>YEAR(NetflixData[[#This Row],[date]])</f>
        <v>2020</v>
      </c>
      <c r="L479" t="str">
        <f>TEXT(NetflixData[[#This Row],[date]],"mmm")</f>
        <v>Jan</v>
      </c>
      <c r="M479" t="str">
        <f>TEXT(NetflixData[[#This Row],[date]],"mmm yyyy")</f>
        <v>Jan 2020</v>
      </c>
      <c r="N479" t="str">
        <f t="shared" si="21"/>
        <v>Trading Day</v>
      </c>
      <c r="O479" t="str">
        <f t="shared" si="22"/>
        <v>Positive</v>
      </c>
      <c r="P479" t="str">
        <f t="shared" si="23"/>
        <v>Positive</v>
      </c>
    </row>
    <row r="480" spans="1:16" x14ac:dyDescent="0.3">
      <c r="A480" s="1">
        <v>43833</v>
      </c>
      <c r="B480">
        <v>32.590000000000003</v>
      </c>
      <c r="C480">
        <v>38069000</v>
      </c>
      <c r="D480">
        <v>-0.26900000000000002</v>
      </c>
      <c r="E480">
        <v>75</v>
      </c>
      <c r="F480">
        <v>3.56</v>
      </c>
      <c r="G480">
        <v>0.4602</v>
      </c>
      <c r="H480">
        <v>4</v>
      </c>
      <c r="I480">
        <v>6.5</v>
      </c>
      <c r="J480">
        <v>1</v>
      </c>
      <c r="K480">
        <f>YEAR(NetflixData[[#This Row],[date]])</f>
        <v>2020</v>
      </c>
      <c r="L480" t="str">
        <f>TEXT(NetflixData[[#This Row],[date]],"mmm")</f>
        <v>Jan</v>
      </c>
      <c r="M480" t="str">
        <f>TEXT(NetflixData[[#This Row],[date]],"mmm yyyy")</f>
        <v>Jan 2020</v>
      </c>
      <c r="N480" t="str">
        <f t="shared" si="21"/>
        <v>Non-Trading Day</v>
      </c>
      <c r="O480" t="str">
        <f t="shared" si="22"/>
        <v>Negative</v>
      </c>
      <c r="P480" t="str">
        <f t="shared" si="23"/>
        <v>Positive</v>
      </c>
    </row>
    <row r="481" spans="1:16" x14ac:dyDescent="0.3">
      <c r="A481" s="1">
        <v>43834</v>
      </c>
      <c r="B481">
        <v>32.590000000000003</v>
      </c>
      <c r="C481">
        <v>0</v>
      </c>
      <c r="D481">
        <v>0</v>
      </c>
      <c r="E481">
        <v>58</v>
      </c>
      <c r="F481">
        <v>3.28</v>
      </c>
      <c r="G481">
        <v>0.25369999999999998</v>
      </c>
      <c r="H481">
        <v>1</v>
      </c>
      <c r="I481">
        <v>6.8</v>
      </c>
      <c r="J481">
        <v>0</v>
      </c>
      <c r="K481">
        <f>YEAR(NetflixData[[#This Row],[date]])</f>
        <v>2020</v>
      </c>
      <c r="L481" t="str">
        <f>TEXT(NetflixData[[#This Row],[date]],"mmm")</f>
        <v>Jan</v>
      </c>
      <c r="M481" t="str">
        <f>TEXT(NetflixData[[#This Row],[date]],"mmm yyyy")</f>
        <v>Jan 2020</v>
      </c>
      <c r="N481" t="str">
        <f t="shared" si="21"/>
        <v>Non-Trading Day</v>
      </c>
      <c r="O481" t="str">
        <f t="shared" si="22"/>
        <v>No Change</v>
      </c>
      <c r="P481" t="str">
        <f t="shared" si="23"/>
        <v>Positive</v>
      </c>
    </row>
    <row r="482" spans="1:16" x14ac:dyDescent="0.3">
      <c r="A482" s="1">
        <v>43835</v>
      </c>
      <c r="B482">
        <v>32.590000000000003</v>
      </c>
      <c r="C482">
        <v>0</v>
      </c>
      <c r="D482">
        <v>0</v>
      </c>
      <c r="E482">
        <v>58</v>
      </c>
      <c r="F482">
        <v>3.22</v>
      </c>
      <c r="G482">
        <v>0.31900000000000001</v>
      </c>
      <c r="H482">
        <v>0</v>
      </c>
      <c r="J482">
        <v>0</v>
      </c>
      <c r="K482">
        <f>YEAR(NetflixData[[#This Row],[date]])</f>
        <v>2020</v>
      </c>
      <c r="L482" t="str">
        <f>TEXT(NetflixData[[#This Row],[date]],"mmm")</f>
        <v>Jan</v>
      </c>
      <c r="M482" t="str">
        <f>TEXT(NetflixData[[#This Row],[date]],"mmm yyyy")</f>
        <v>Jan 2020</v>
      </c>
      <c r="N482" t="str">
        <f t="shared" si="21"/>
        <v>Trading Day</v>
      </c>
      <c r="O482" t="str">
        <f t="shared" si="22"/>
        <v>No Change</v>
      </c>
      <c r="P482" t="str">
        <f t="shared" si="23"/>
        <v>Positive</v>
      </c>
    </row>
    <row r="483" spans="1:16" x14ac:dyDescent="0.3">
      <c r="A483" s="1">
        <v>43836</v>
      </c>
      <c r="B483">
        <v>33.58</v>
      </c>
      <c r="C483">
        <v>56631000</v>
      </c>
      <c r="D483">
        <v>3.9340000000000002</v>
      </c>
      <c r="E483">
        <v>49</v>
      </c>
      <c r="F483">
        <v>3.43</v>
      </c>
      <c r="G483">
        <v>0.32740000000000002</v>
      </c>
      <c r="H483">
        <v>0</v>
      </c>
      <c r="J483">
        <v>1</v>
      </c>
      <c r="K483">
        <f>YEAR(NetflixData[[#This Row],[date]])</f>
        <v>2020</v>
      </c>
      <c r="L483" t="str">
        <f>TEXT(NetflixData[[#This Row],[date]],"mmm")</f>
        <v>Jan</v>
      </c>
      <c r="M483" t="str">
        <f>TEXT(NetflixData[[#This Row],[date]],"mmm yyyy")</f>
        <v>Jan 2020</v>
      </c>
      <c r="N483" t="str">
        <f t="shared" si="21"/>
        <v>Trading Day</v>
      </c>
      <c r="O483" t="str">
        <f t="shared" si="22"/>
        <v>Positive</v>
      </c>
      <c r="P483" t="str">
        <f t="shared" si="23"/>
        <v>Positive</v>
      </c>
    </row>
    <row r="484" spans="1:16" x14ac:dyDescent="0.3">
      <c r="A484" s="1">
        <v>43837</v>
      </c>
      <c r="B484">
        <v>33.08</v>
      </c>
      <c r="C484">
        <v>47032000</v>
      </c>
      <c r="D484">
        <v>-1.7</v>
      </c>
      <c r="E484">
        <v>37</v>
      </c>
      <c r="F484">
        <v>2.78</v>
      </c>
      <c r="G484">
        <v>0.248</v>
      </c>
      <c r="H484">
        <v>3</v>
      </c>
      <c r="I484">
        <v>6.67</v>
      </c>
      <c r="J484">
        <v>1</v>
      </c>
      <c r="K484">
        <f>YEAR(NetflixData[[#This Row],[date]])</f>
        <v>2020</v>
      </c>
      <c r="L484" t="str">
        <f>TEXT(NetflixData[[#This Row],[date]],"mmm")</f>
        <v>Jan</v>
      </c>
      <c r="M484" t="str">
        <f>TEXT(NetflixData[[#This Row],[date]],"mmm yyyy")</f>
        <v>Jan 2020</v>
      </c>
      <c r="N484" t="str">
        <f t="shared" si="21"/>
        <v>Trading Day</v>
      </c>
      <c r="O484" t="str">
        <f t="shared" si="22"/>
        <v>Negative</v>
      </c>
      <c r="P484" t="str">
        <f t="shared" si="23"/>
        <v>Positive</v>
      </c>
    </row>
    <row r="485" spans="1:16" x14ac:dyDescent="0.3">
      <c r="A485" s="1">
        <v>43838</v>
      </c>
      <c r="B485">
        <v>33.93</v>
      </c>
      <c r="C485">
        <v>71045000</v>
      </c>
      <c r="D485">
        <v>2.3439999999999999</v>
      </c>
      <c r="E485">
        <v>26</v>
      </c>
      <c r="F485">
        <v>3.08</v>
      </c>
      <c r="G485">
        <v>0.39510000000000001</v>
      </c>
      <c r="H485">
        <v>1</v>
      </c>
      <c r="I485">
        <v>8</v>
      </c>
      <c r="J485">
        <v>1</v>
      </c>
      <c r="K485">
        <f>YEAR(NetflixData[[#This Row],[date]])</f>
        <v>2020</v>
      </c>
      <c r="L485" t="str">
        <f>TEXT(NetflixData[[#This Row],[date]],"mmm")</f>
        <v>Jan</v>
      </c>
      <c r="M485" t="str">
        <f>TEXT(NetflixData[[#This Row],[date]],"mmm yyyy")</f>
        <v>Jan 2020</v>
      </c>
      <c r="N485" t="str">
        <f t="shared" si="21"/>
        <v>Trading Day</v>
      </c>
      <c r="O485" t="str">
        <f t="shared" si="22"/>
        <v>Positive</v>
      </c>
      <c r="P485" t="str">
        <f t="shared" si="23"/>
        <v>Positive</v>
      </c>
    </row>
    <row r="486" spans="1:16" x14ac:dyDescent="0.3">
      <c r="A486" s="1">
        <v>43839</v>
      </c>
      <c r="B486">
        <v>33.57</v>
      </c>
      <c r="C486">
        <v>47093000</v>
      </c>
      <c r="D486">
        <v>-1.8540000000000001</v>
      </c>
      <c r="E486">
        <v>50</v>
      </c>
      <c r="F486">
        <v>3.1</v>
      </c>
      <c r="G486">
        <v>0.1767</v>
      </c>
      <c r="H486">
        <v>2</v>
      </c>
      <c r="I486">
        <v>4.8499999999999996</v>
      </c>
      <c r="J486">
        <v>1</v>
      </c>
      <c r="K486">
        <f>YEAR(NetflixData[[#This Row],[date]])</f>
        <v>2020</v>
      </c>
      <c r="L486" t="str">
        <f>TEXT(NetflixData[[#This Row],[date]],"mmm")</f>
        <v>Jan</v>
      </c>
      <c r="M486" t="str">
        <f>TEXT(NetflixData[[#This Row],[date]],"mmm yyyy")</f>
        <v>Jan 2020</v>
      </c>
      <c r="N486" t="str">
        <f t="shared" si="21"/>
        <v>Trading Day</v>
      </c>
      <c r="O486" t="str">
        <f t="shared" si="22"/>
        <v>Negative</v>
      </c>
      <c r="P486" t="str">
        <f t="shared" si="23"/>
        <v>Positive</v>
      </c>
    </row>
    <row r="487" spans="1:16" x14ac:dyDescent="0.3">
      <c r="A487" s="1">
        <v>43840</v>
      </c>
      <c r="B487">
        <v>32.9</v>
      </c>
      <c r="C487">
        <v>47183000</v>
      </c>
      <c r="D487">
        <v>-2.3969999999999998</v>
      </c>
      <c r="E487">
        <v>43</v>
      </c>
      <c r="F487">
        <v>3.44</v>
      </c>
      <c r="G487">
        <v>0.32879999999999998</v>
      </c>
      <c r="H487">
        <v>11</v>
      </c>
      <c r="I487">
        <v>5.64</v>
      </c>
      <c r="J487">
        <v>1</v>
      </c>
      <c r="K487">
        <f>YEAR(NetflixData[[#This Row],[date]])</f>
        <v>2020</v>
      </c>
      <c r="L487" t="str">
        <f>TEXT(NetflixData[[#This Row],[date]],"mmm")</f>
        <v>Jan</v>
      </c>
      <c r="M487" t="str">
        <f>TEXT(NetflixData[[#This Row],[date]],"mmm yyyy")</f>
        <v>Jan 2020</v>
      </c>
      <c r="N487" t="str">
        <f t="shared" si="21"/>
        <v>Non-Trading Day</v>
      </c>
      <c r="O487" t="str">
        <f t="shared" si="22"/>
        <v>Negative</v>
      </c>
      <c r="P487" t="str">
        <f t="shared" si="23"/>
        <v>Positive</v>
      </c>
    </row>
    <row r="488" spans="1:16" x14ac:dyDescent="0.3">
      <c r="A488" s="1">
        <v>43841</v>
      </c>
      <c r="B488">
        <v>32.9</v>
      </c>
      <c r="C488">
        <v>0</v>
      </c>
      <c r="D488">
        <v>0</v>
      </c>
      <c r="E488">
        <v>63</v>
      </c>
      <c r="F488">
        <v>3.1</v>
      </c>
      <c r="G488">
        <v>0.3881</v>
      </c>
      <c r="H488">
        <v>1</v>
      </c>
      <c r="I488">
        <v>4.4000000000000004</v>
      </c>
      <c r="J488">
        <v>0</v>
      </c>
      <c r="K488">
        <f>YEAR(NetflixData[[#This Row],[date]])</f>
        <v>2020</v>
      </c>
      <c r="L488" t="str">
        <f>TEXT(NetflixData[[#This Row],[date]],"mmm")</f>
        <v>Jan</v>
      </c>
      <c r="M488" t="str">
        <f>TEXT(NetflixData[[#This Row],[date]],"mmm yyyy")</f>
        <v>Jan 2020</v>
      </c>
      <c r="N488" t="str">
        <f t="shared" si="21"/>
        <v>Non-Trading Day</v>
      </c>
      <c r="O488" t="str">
        <f t="shared" si="22"/>
        <v>No Change</v>
      </c>
      <c r="P488" t="str">
        <f t="shared" si="23"/>
        <v>Positive</v>
      </c>
    </row>
    <row r="489" spans="1:16" x14ac:dyDescent="0.3">
      <c r="A489" s="1">
        <v>43842</v>
      </c>
      <c r="B489">
        <v>32.9</v>
      </c>
      <c r="C489">
        <v>0</v>
      </c>
      <c r="D489">
        <v>0</v>
      </c>
      <c r="E489">
        <v>50</v>
      </c>
      <c r="F489">
        <v>3.16</v>
      </c>
      <c r="G489">
        <v>0.2427</v>
      </c>
      <c r="H489">
        <v>2</v>
      </c>
      <c r="I489">
        <v>6.3</v>
      </c>
      <c r="J489">
        <v>0</v>
      </c>
      <c r="K489">
        <f>YEAR(NetflixData[[#This Row],[date]])</f>
        <v>2020</v>
      </c>
      <c r="L489" t="str">
        <f>TEXT(NetflixData[[#This Row],[date]],"mmm")</f>
        <v>Jan</v>
      </c>
      <c r="M489" t="str">
        <f>TEXT(NetflixData[[#This Row],[date]],"mmm yyyy")</f>
        <v>Jan 2020</v>
      </c>
      <c r="N489" t="str">
        <f t="shared" si="21"/>
        <v>Trading Day</v>
      </c>
      <c r="O489" t="str">
        <f t="shared" si="22"/>
        <v>No Change</v>
      </c>
      <c r="P489" t="str">
        <f t="shared" si="23"/>
        <v>Positive</v>
      </c>
    </row>
    <row r="490" spans="1:16" x14ac:dyDescent="0.3">
      <c r="A490" s="1">
        <v>43843</v>
      </c>
      <c r="B490">
        <v>33.89</v>
      </c>
      <c r="C490">
        <v>62900000</v>
      </c>
      <c r="D490">
        <v>2.1459999999999999</v>
      </c>
      <c r="E490">
        <v>51</v>
      </c>
      <c r="F490">
        <v>3.14</v>
      </c>
      <c r="G490">
        <v>0.29299999999999998</v>
      </c>
      <c r="H490">
        <v>2</v>
      </c>
      <c r="I490">
        <v>5.9</v>
      </c>
      <c r="J490">
        <v>1</v>
      </c>
      <c r="K490">
        <f>YEAR(NetflixData[[#This Row],[date]])</f>
        <v>2020</v>
      </c>
      <c r="L490" t="str">
        <f>TEXT(NetflixData[[#This Row],[date]],"mmm")</f>
        <v>Jan</v>
      </c>
      <c r="M490" t="str">
        <f>TEXT(NetflixData[[#This Row],[date]],"mmm yyyy")</f>
        <v>Jan 2020</v>
      </c>
      <c r="N490" t="str">
        <f t="shared" si="21"/>
        <v>Trading Day</v>
      </c>
      <c r="O490" t="str">
        <f t="shared" si="22"/>
        <v>Positive</v>
      </c>
      <c r="P490" t="str">
        <f t="shared" si="23"/>
        <v>Positive</v>
      </c>
    </row>
    <row r="491" spans="1:16" x14ac:dyDescent="0.3">
      <c r="A491" s="1">
        <v>43844</v>
      </c>
      <c r="B491">
        <v>33.869999999999997</v>
      </c>
      <c r="C491">
        <v>71994000</v>
      </c>
      <c r="D491">
        <v>-1.6579999999999999</v>
      </c>
      <c r="E491">
        <v>57</v>
      </c>
      <c r="F491">
        <v>3.4</v>
      </c>
      <c r="G491">
        <v>0.34649999999999997</v>
      </c>
      <c r="H491">
        <v>4</v>
      </c>
      <c r="I491">
        <v>6.47</v>
      </c>
      <c r="J491">
        <v>1</v>
      </c>
      <c r="K491">
        <f>YEAR(NetflixData[[#This Row],[date]])</f>
        <v>2020</v>
      </c>
      <c r="L491" t="str">
        <f>TEXT(NetflixData[[#This Row],[date]],"mmm")</f>
        <v>Jan</v>
      </c>
      <c r="M491" t="str">
        <f>TEXT(NetflixData[[#This Row],[date]],"mmm yyyy")</f>
        <v>Jan 2020</v>
      </c>
      <c r="N491" t="str">
        <f t="shared" si="21"/>
        <v>Trading Day</v>
      </c>
      <c r="O491" t="str">
        <f t="shared" si="22"/>
        <v>Negative</v>
      </c>
      <c r="P491" t="str">
        <f t="shared" si="23"/>
        <v>Positive</v>
      </c>
    </row>
    <row r="492" spans="1:16" x14ac:dyDescent="0.3">
      <c r="A492" s="1">
        <v>43845</v>
      </c>
      <c r="B492">
        <v>33.909999999999997</v>
      </c>
      <c r="C492">
        <v>51580000</v>
      </c>
      <c r="D492">
        <v>0.115</v>
      </c>
      <c r="E492">
        <v>72</v>
      </c>
      <c r="F492">
        <v>3.71</v>
      </c>
      <c r="G492">
        <v>0.34989999999999999</v>
      </c>
      <c r="H492">
        <v>10</v>
      </c>
      <c r="I492">
        <v>6.19</v>
      </c>
      <c r="J492">
        <v>1</v>
      </c>
      <c r="K492">
        <f>YEAR(NetflixData[[#This Row],[date]])</f>
        <v>2020</v>
      </c>
      <c r="L492" t="str">
        <f>TEXT(NetflixData[[#This Row],[date]],"mmm")</f>
        <v>Jan</v>
      </c>
      <c r="M492" t="str">
        <f>TEXT(NetflixData[[#This Row],[date]],"mmm yyyy")</f>
        <v>Jan 2020</v>
      </c>
      <c r="N492" t="str">
        <f t="shared" si="21"/>
        <v>Trading Day</v>
      </c>
      <c r="O492" t="str">
        <f t="shared" si="22"/>
        <v>Positive</v>
      </c>
      <c r="P492" t="str">
        <f t="shared" si="23"/>
        <v>Positive</v>
      </c>
    </row>
    <row r="493" spans="1:16" x14ac:dyDescent="0.3">
      <c r="A493" s="1">
        <v>43846</v>
      </c>
      <c r="B493">
        <v>33.86</v>
      </c>
      <c r="C493">
        <v>50160000</v>
      </c>
      <c r="D493">
        <v>-1.421</v>
      </c>
      <c r="E493">
        <v>51</v>
      </c>
      <c r="F493">
        <v>2.96</v>
      </c>
      <c r="G493">
        <v>0.2379</v>
      </c>
      <c r="H493">
        <v>10</v>
      </c>
      <c r="I493">
        <v>6.22</v>
      </c>
      <c r="J493">
        <v>1</v>
      </c>
      <c r="K493">
        <f>YEAR(NetflixData[[#This Row],[date]])</f>
        <v>2020</v>
      </c>
      <c r="L493" t="str">
        <f>TEXT(NetflixData[[#This Row],[date]],"mmm")</f>
        <v>Jan</v>
      </c>
      <c r="M493" t="str">
        <f>TEXT(NetflixData[[#This Row],[date]],"mmm yyyy")</f>
        <v>Jan 2020</v>
      </c>
      <c r="N493" t="str">
        <f t="shared" si="21"/>
        <v>Trading Day</v>
      </c>
      <c r="O493" t="str">
        <f t="shared" si="22"/>
        <v>Negative</v>
      </c>
      <c r="P493" t="str">
        <f t="shared" si="23"/>
        <v>Positive</v>
      </c>
    </row>
    <row r="494" spans="1:16" x14ac:dyDescent="0.3">
      <c r="A494" s="1">
        <v>43847</v>
      </c>
      <c r="B494">
        <v>33.97</v>
      </c>
      <c r="C494">
        <v>60665000</v>
      </c>
      <c r="D494">
        <v>-0.39</v>
      </c>
      <c r="E494">
        <v>53</v>
      </c>
      <c r="F494">
        <v>2.92</v>
      </c>
      <c r="G494">
        <v>0.34300000000000003</v>
      </c>
      <c r="H494">
        <v>6</v>
      </c>
      <c r="I494">
        <v>6.38</v>
      </c>
      <c r="J494">
        <v>1</v>
      </c>
      <c r="K494">
        <f>YEAR(NetflixData[[#This Row],[date]])</f>
        <v>2020</v>
      </c>
      <c r="L494" t="str">
        <f>TEXT(NetflixData[[#This Row],[date]],"mmm")</f>
        <v>Jan</v>
      </c>
      <c r="M494" t="str">
        <f>TEXT(NetflixData[[#This Row],[date]],"mmm yyyy")</f>
        <v>Jan 2020</v>
      </c>
      <c r="N494" t="str">
        <f t="shared" si="21"/>
        <v>Non-Trading Day</v>
      </c>
      <c r="O494" t="str">
        <f t="shared" si="22"/>
        <v>Negative</v>
      </c>
      <c r="P494" t="str">
        <f t="shared" si="23"/>
        <v>Positive</v>
      </c>
    </row>
    <row r="495" spans="1:16" x14ac:dyDescent="0.3">
      <c r="A495" s="1">
        <v>43848</v>
      </c>
      <c r="B495">
        <v>33.97</v>
      </c>
      <c r="C495">
        <v>0</v>
      </c>
      <c r="D495">
        <v>0</v>
      </c>
      <c r="E495">
        <v>51</v>
      </c>
      <c r="F495">
        <v>3.08</v>
      </c>
      <c r="G495">
        <v>0.26600000000000001</v>
      </c>
      <c r="H495">
        <v>1</v>
      </c>
      <c r="I495">
        <v>5.6</v>
      </c>
      <c r="J495">
        <v>0</v>
      </c>
      <c r="K495">
        <f>YEAR(NetflixData[[#This Row],[date]])</f>
        <v>2020</v>
      </c>
      <c r="L495" t="str">
        <f>TEXT(NetflixData[[#This Row],[date]],"mmm")</f>
        <v>Jan</v>
      </c>
      <c r="M495" t="str">
        <f>TEXT(NetflixData[[#This Row],[date]],"mmm yyyy")</f>
        <v>Jan 2020</v>
      </c>
      <c r="N495" t="str">
        <f t="shared" si="21"/>
        <v>Non-Trading Day</v>
      </c>
      <c r="O495" t="str">
        <f t="shared" si="22"/>
        <v>No Change</v>
      </c>
      <c r="P495" t="str">
        <f t="shared" si="23"/>
        <v>Positive</v>
      </c>
    </row>
    <row r="496" spans="1:16" x14ac:dyDescent="0.3">
      <c r="A496" s="1">
        <v>43849</v>
      </c>
      <c r="B496">
        <v>33.97</v>
      </c>
      <c r="C496">
        <v>0</v>
      </c>
      <c r="D496">
        <v>0</v>
      </c>
      <c r="E496">
        <v>66</v>
      </c>
      <c r="F496">
        <v>2.89</v>
      </c>
      <c r="G496">
        <v>0.3236</v>
      </c>
      <c r="H496">
        <v>0</v>
      </c>
      <c r="J496">
        <v>0</v>
      </c>
      <c r="K496">
        <f>YEAR(NetflixData[[#This Row],[date]])</f>
        <v>2020</v>
      </c>
      <c r="L496" t="str">
        <f>TEXT(NetflixData[[#This Row],[date]],"mmm")</f>
        <v>Jan</v>
      </c>
      <c r="M496" t="str">
        <f>TEXT(NetflixData[[#This Row],[date]],"mmm yyyy")</f>
        <v>Jan 2020</v>
      </c>
      <c r="N496" t="str">
        <f t="shared" si="21"/>
        <v>Non-Trading Day</v>
      </c>
      <c r="O496" t="str">
        <f t="shared" si="22"/>
        <v>No Change</v>
      </c>
      <c r="P496" t="str">
        <f t="shared" si="23"/>
        <v>Positive</v>
      </c>
    </row>
    <row r="497" spans="1:16" x14ac:dyDescent="0.3">
      <c r="A497" s="1">
        <v>43850</v>
      </c>
      <c r="B497">
        <v>33.97</v>
      </c>
      <c r="C497">
        <v>0</v>
      </c>
      <c r="D497">
        <v>0</v>
      </c>
      <c r="E497">
        <v>58</v>
      </c>
      <c r="F497">
        <v>3.28</v>
      </c>
      <c r="G497">
        <v>0.35730000000000001</v>
      </c>
      <c r="H497">
        <v>4</v>
      </c>
      <c r="I497">
        <v>6.6</v>
      </c>
      <c r="J497">
        <v>0</v>
      </c>
      <c r="K497">
        <f>YEAR(NetflixData[[#This Row],[date]])</f>
        <v>2020</v>
      </c>
      <c r="L497" t="str">
        <f>TEXT(NetflixData[[#This Row],[date]],"mmm")</f>
        <v>Jan</v>
      </c>
      <c r="M497" t="str">
        <f>TEXT(NetflixData[[#This Row],[date]],"mmm yyyy")</f>
        <v>Jan 2020</v>
      </c>
      <c r="N497" t="str">
        <f t="shared" si="21"/>
        <v>Trading Day</v>
      </c>
      <c r="O497" t="str">
        <f t="shared" si="22"/>
        <v>No Change</v>
      </c>
      <c r="P497" t="str">
        <f t="shared" si="23"/>
        <v>Positive</v>
      </c>
    </row>
    <row r="498" spans="1:16" x14ac:dyDescent="0.3">
      <c r="A498" s="1">
        <v>43851</v>
      </c>
      <c r="B498">
        <v>33.81</v>
      </c>
      <c r="C498">
        <v>143503000</v>
      </c>
      <c r="D498">
        <v>-0.55600000000000005</v>
      </c>
      <c r="E498">
        <v>67</v>
      </c>
      <c r="F498">
        <v>3.09</v>
      </c>
      <c r="G498">
        <v>0.24640000000000001</v>
      </c>
      <c r="H498">
        <v>3</v>
      </c>
      <c r="I498">
        <v>8.4</v>
      </c>
      <c r="J498">
        <v>1</v>
      </c>
      <c r="K498">
        <f>YEAR(NetflixData[[#This Row],[date]])</f>
        <v>2020</v>
      </c>
      <c r="L498" t="str">
        <f>TEXT(NetflixData[[#This Row],[date]],"mmm")</f>
        <v>Jan</v>
      </c>
      <c r="M498" t="str">
        <f>TEXT(NetflixData[[#This Row],[date]],"mmm yyyy")</f>
        <v>Jan 2020</v>
      </c>
      <c r="N498" t="str">
        <f t="shared" si="21"/>
        <v>Trading Day</v>
      </c>
      <c r="O498" t="str">
        <f t="shared" si="22"/>
        <v>Negative</v>
      </c>
      <c r="P498" t="str">
        <f t="shared" si="23"/>
        <v>Positive</v>
      </c>
    </row>
    <row r="499" spans="1:16" x14ac:dyDescent="0.3">
      <c r="A499" s="1">
        <v>43852</v>
      </c>
      <c r="B499">
        <v>32.6</v>
      </c>
      <c r="C499">
        <v>217300000</v>
      </c>
      <c r="D499">
        <v>-1.97</v>
      </c>
      <c r="E499">
        <v>62</v>
      </c>
      <c r="F499">
        <v>3.45</v>
      </c>
      <c r="G499">
        <v>0.33910000000000001</v>
      </c>
      <c r="H499">
        <v>3</v>
      </c>
      <c r="I499">
        <v>6.23</v>
      </c>
      <c r="J499">
        <v>1</v>
      </c>
      <c r="K499">
        <f>YEAR(NetflixData[[#This Row],[date]])</f>
        <v>2020</v>
      </c>
      <c r="L499" t="str">
        <f>TEXT(NetflixData[[#This Row],[date]],"mmm")</f>
        <v>Jan</v>
      </c>
      <c r="M499" t="str">
        <f>TEXT(NetflixData[[#This Row],[date]],"mmm yyyy")</f>
        <v>Jan 2020</v>
      </c>
      <c r="N499" t="str">
        <f t="shared" si="21"/>
        <v>Trading Day</v>
      </c>
      <c r="O499" t="str">
        <f t="shared" si="22"/>
        <v>Negative</v>
      </c>
      <c r="P499" t="str">
        <f t="shared" si="23"/>
        <v>Positive</v>
      </c>
    </row>
    <row r="500" spans="1:16" x14ac:dyDescent="0.3">
      <c r="A500" s="1">
        <v>43853</v>
      </c>
      <c r="B500">
        <v>34.96</v>
      </c>
      <c r="C500">
        <v>182003000</v>
      </c>
      <c r="D500">
        <v>7.226</v>
      </c>
      <c r="E500">
        <v>59</v>
      </c>
      <c r="F500">
        <v>3</v>
      </c>
      <c r="G500">
        <v>0.26889999999999997</v>
      </c>
      <c r="H500">
        <v>7</v>
      </c>
      <c r="I500">
        <v>5.84</v>
      </c>
      <c r="J500">
        <v>1</v>
      </c>
      <c r="K500">
        <f>YEAR(NetflixData[[#This Row],[date]])</f>
        <v>2020</v>
      </c>
      <c r="L500" t="str">
        <f>TEXT(NetflixData[[#This Row],[date]],"mmm")</f>
        <v>Jan</v>
      </c>
      <c r="M500" t="str">
        <f>TEXT(NetflixData[[#This Row],[date]],"mmm yyyy")</f>
        <v>Jan 2020</v>
      </c>
      <c r="N500" t="str">
        <f t="shared" si="21"/>
        <v>Trading Day</v>
      </c>
      <c r="O500" t="str">
        <f t="shared" si="22"/>
        <v>Positive</v>
      </c>
      <c r="P500" t="str">
        <f t="shared" si="23"/>
        <v>Positive</v>
      </c>
    </row>
    <row r="501" spans="1:16" x14ac:dyDescent="0.3">
      <c r="A501" s="1">
        <v>43854</v>
      </c>
      <c r="B501">
        <v>35.32</v>
      </c>
      <c r="C501">
        <v>179397000</v>
      </c>
      <c r="D501">
        <v>1.349</v>
      </c>
      <c r="E501">
        <v>48</v>
      </c>
      <c r="F501">
        <v>3.15</v>
      </c>
      <c r="G501">
        <v>0.24</v>
      </c>
      <c r="H501">
        <v>6</v>
      </c>
      <c r="I501">
        <v>7</v>
      </c>
      <c r="J501">
        <v>1</v>
      </c>
      <c r="K501">
        <f>YEAR(NetflixData[[#This Row],[date]])</f>
        <v>2020</v>
      </c>
      <c r="L501" t="str">
        <f>TEXT(NetflixData[[#This Row],[date]],"mmm")</f>
        <v>Jan</v>
      </c>
      <c r="M501" t="str">
        <f>TEXT(NetflixData[[#This Row],[date]],"mmm yyyy")</f>
        <v>Jan 2020</v>
      </c>
      <c r="N501" t="str">
        <f t="shared" si="21"/>
        <v>Non-Trading Day</v>
      </c>
      <c r="O501" t="str">
        <f t="shared" si="22"/>
        <v>Positive</v>
      </c>
      <c r="P501" t="str">
        <f t="shared" si="23"/>
        <v>Positive</v>
      </c>
    </row>
    <row r="502" spans="1:16" x14ac:dyDescent="0.3">
      <c r="A502" s="1">
        <v>43855</v>
      </c>
      <c r="B502">
        <v>35.32</v>
      </c>
      <c r="C502">
        <v>0</v>
      </c>
      <c r="D502">
        <v>0</v>
      </c>
      <c r="E502">
        <v>57</v>
      </c>
      <c r="F502">
        <v>3.11</v>
      </c>
      <c r="G502">
        <v>0.26819999999999999</v>
      </c>
      <c r="H502">
        <v>1</v>
      </c>
      <c r="I502">
        <v>6.6</v>
      </c>
      <c r="J502">
        <v>0</v>
      </c>
      <c r="K502">
        <f>YEAR(NetflixData[[#This Row],[date]])</f>
        <v>2020</v>
      </c>
      <c r="L502" t="str">
        <f>TEXT(NetflixData[[#This Row],[date]],"mmm")</f>
        <v>Jan</v>
      </c>
      <c r="M502" t="str">
        <f>TEXT(NetflixData[[#This Row],[date]],"mmm yyyy")</f>
        <v>Jan 2020</v>
      </c>
      <c r="N502" t="str">
        <f t="shared" si="21"/>
        <v>Non-Trading Day</v>
      </c>
      <c r="O502" t="str">
        <f t="shared" si="22"/>
        <v>No Change</v>
      </c>
      <c r="P502" t="str">
        <f t="shared" si="23"/>
        <v>Positive</v>
      </c>
    </row>
    <row r="503" spans="1:16" x14ac:dyDescent="0.3">
      <c r="A503" s="1">
        <v>43856</v>
      </c>
      <c r="B503">
        <v>35.32</v>
      </c>
      <c r="C503">
        <v>0</v>
      </c>
      <c r="D503">
        <v>0</v>
      </c>
      <c r="E503">
        <v>45</v>
      </c>
      <c r="F503">
        <v>2.96</v>
      </c>
      <c r="G503">
        <v>0.29049999999999998</v>
      </c>
      <c r="H503">
        <v>2</v>
      </c>
      <c r="I503">
        <v>7.9</v>
      </c>
      <c r="J503">
        <v>0</v>
      </c>
      <c r="K503">
        <f>YEAR(NetflixData[[#This Row],[date]])</f>
        <v>2020</v>
      </c>
      <c r="L503" t="str">
        <f>TEXT(NetflixData[[#This Row],[date]],"mmm")</f>
        <v>Jan</v>
      </c>
      <c r="M503" t="str">
        <f>TEXT(NetflixData[[#This Row],[date]],"mmm yyyy")</f>
        <v>Jan 2020</v>
      </c>
      <c r="N503" t="str">
        <f t="shared" si="21"/>
        <v>Trading Day</v>
      </c>
      <c r="O503" t="str">
        <f t="shared" si="22"/>
        <v>No Change</v>
      </c>
      <c r="P503" t="str">
        <f t="shared" si="23"/>
        <v>Positive</v>
      </c>
    </row>
    <row r="504" spans="1:16" x14ac:dyDescent="0.3">
      <c r="A504" s="1">
        <v>43857</v>
      </c>
      <c r="B504">
        <v>34.29</v>
      </c>
      <c r="C504">
        <v>77095000</v>
      </c>
      <c r="D504">
        <v>-0.88700000000000001</v>
      </c>
      <c r="E504">
        <v>54</v>
      </c>
      <c r="F504">
        <v>3.2</v>
      </c>
      <c r="G504">
        <v>0.36499999999999999</v>
      </c>
      <c r="H504">
        <v>2</v>
      </c>
      <c r="I504">
        <v>5.45</v>
      </c>
      <c r="J504">
        <v>1</v>
      </c>
      <c r="K504">
        <f>YEAR(NetflixData[[#This Row],[date]])</f>
        <v>2020</v>
      </c>
      <c r="L504" t="str">
        <f>TEXT(NetflixData[[#This Row],[date]],"mmm")</f>
        <v>Jan</v>
      </c>
      <c r="M504" t="str">
        <f>TEXT(NetflixData[[#This Row],[date]],"mmm yyyy")</f>
        <v>Jan 2020</v>
      </c>
      <c r="N504" t="str">
        <f t="shared" si="21"/>
        <v>Trading Day</v>
      </c>
      <c r="O504" t="str">
        <f t="shared" si="22"/>
        <v>Negative</v>
      </c>
      <c r="P504" t="str">
        <f t="shared" si="23"/>
        <v>Positive</v>
      </c>
    </row>
    <row r="505" spans="1:16" x14ac:dyDescent="0.3">
      <c r="A505" s="1">
        <v>43858</v>
      </c>
      <c r="B505">
        <v>34.85</v>
      </c>
      <c r="C505">
        <v>68216000</v>
      </c>
      <c r="D505">
        <v>0.76300000000000001</v>
      </c>
      <c r="E505">
        <v>47</v>
      </c>
      <c r="F505">
        <v>2.36</v>
      </c>
      <c r="G505">
        <v>0.13800000000000001</v>
      </c>
      <c r="H505">
        <v>0</v>
      </c>
      <c r="J505">
        <v>1</v>
      </c>
      <c r="K505">
        <f>YEAR(NetflixData[[#This Row],[date]])</f>
        <v>2020</v>
      </c>
      <c r="L505" t="str">
        <f>TEXT(NetflixData[[#This Row],[date]],"mmm")</f>
        <v>Jan</v>
      </c>
      <c r="M505" t="str">
        <f>TEXT(NetflixData[[#This Row],[date]],"mmm yyyy")</f>
        <v>Jan 2020</v>
      </c>
      <c r="N505" t="str">
        <f t="shared" si="21"/>
        <v>Trading Day</v>
      </c>
      <c r="O505" t="str">
        <f t="shared" si="22"/>
        <v>Positive</v>
      </c>
      <c r="P505" t="str">
        <f t="shared" si="23"/>
        <v>Positive</v>
      </c>
    </row>
    <row r="506" spans="1:16" x14ac:dyDescent="0.3">
      <c r="A506" s="1">
        <v>43859</v>
      </c>
      <c r="B506">
        <v>34.32</v>
      </c>
      <c r="C506">
        <v>76435000</v>
      </c>
      <c r="D506">
        <v>-1.673</v>
      </c>
      <c r="E506">
        <v>49</v>
      </c>
      <c r="F506">
        <v>3</v>
      </c>
      <c r="G506">
        <v>0.3286</v>
      </c>
      <c r="H506">
        <v>6</v>
      </c>
      <c r="I506">
        <v>7.02</v>
      </c>
      <c r="J506">
        <v>1</v>
      </c>
      <c r="K506">
        <f>YEAR(NetflixData[[#This Row],[date]])</f>
        <v>2020</v>
      </c>
      <c r="L506" t="str">
        <f>TEXT(NetflixData[[#This Row],[date]],"mmm")</f>
        <v>Jan</v>
      </c>
      <c r="M506" t="str">
        <f>TEXT(NetflixData[[#This Row],[date]],"mmm yyyy")</f>
        <v>Jan 2020</v>
      </c>
      <c r="N506" t="str">
        <f t="shared" si="21"/>
        <v>Trading Day</v>
      </c>
      <c r="O506" t="str">
        <f t="shared" si="22"/>
        <v>Negative</v>
      </c>
      <c r="P506" t="str">
        <f t="shared" si="23"/>
        <v>Positive</v>
      </c>
    </row>
    <row r="507" spans="1:16" x14ac:dyDescent="0.3">
      <c r="A507" s="1">
        <v>43860</v>
      </c>
      <c r="B507">
        <v>34.770000000000003</v>
      </c>
      <c r="C507">
        <v>53281000</v>
      </c>
      <c r="D507">
        <v>1.9470000000000001</v>
      </c>
      <c r="E507">
        <v>59</v>
      </c>
      <c r="F507">
        <v>3.07</v>
      </c>
      <c r="G507">
        <v>0.31879999999999997</v>
      </c>
      <c r="H507">
        <v>4</v>
      </c>
      <c r="I507">
        <v>6.13</v>
      </c>
      <c r="J507">
        <v>1</v>
      </c>
      <c r="K507">
        <f>YEAR(NetflixData[[#This Row],[date]])</f>
        <v>2020</v>
      </c>
      <c r="L507" t="str">
        <f>TEXT(NetflixData[[#This Row],[date]],"mmm")</f>
        <v>Jan</v>
      </c>
      <c r="M507" t="str">
        <f>TEXT(NetflixData[[#This Row],[date]],"mmm yyyy")</f>
        <v>Jan 2020</v>
      </c>
      <c r="N507" t="str">
        <f t="shared" si="21"/>
        <v>Trading Day</v>
      </c>
      <c r="O507" t="str">
        <f t="shared" si="22"/>
        <v>Positive</v>
      </c>
      <c r="P507" t="str">
        <f t="shared" si="23"/>
        <v>Positive</v>
      </c>
    </row>
    <row r="508" spans="1:16" x14ac:dyDescent="0.3">
      <c r="A508" s="1">
        <v>43861</v>
      </c>
      <c r="B508">
        <v>34.51</v>
      </c>
      <c r="C508">
        <v>52300000</v>
      </c>
      <c r="D508">
        <v>-0.66200000000000003</v>
      </c>
      <c r="E508">
        <v>38</v>
      </c>
      <c r="F508">
        <v>3.32</v>
      </c>
      <c r="G508">
        <v>0.44600000000000001</v>
      </c>
      <c r="H508">
        <v>10</v>
      </c>
      <c r="I508">
        <v>6.39</v>
      </c>
      <c r="J508">
        <v>1</v>
      </c>
      <c r="K508">
        <f>YEAR(NetflixData[[#This Row],[date]])</f>
        <v>2020</v>
      </c>
      <c r="L508" t="str">
        <f>TEXT(NetflixData[[#This Row],[date]],"mmm")</f>
        <v>Jan</v>
      </c>
      <c r="M508" t="str">
        <f>TEXT(NetflixData[[#This Row],[date]],"mmm yyyy")</f>
        <v>Jan 2020</v>
      </c>
      <c r="N508" t="str">
        <f t="shared" si="21"/>
        <v>Non-Trading Day</v>
      </c>
      <c r="O508" t="str">
        <f t="shared" si="22"/>
        <v>Negative</v>
      </c>
      <c r="P508" t="str">
        <f t="shared" si="23"/>
        <v>Positive</v>
      </c>
    </row>
    <row r="509" spans="1:16" x14ac:dyDescent="0.3">
      <c r="A509" s="1">
        <v>43862</v>
      </c>
      <c r="B509">
        <v>34.51</v>
      </c>
      <c r="C509">
        <v>0</v>
      </c>
      <c r="D509">
        <v>0</v>
      </c>
      <c r="E509">
        <v>53</v>
      </c>
      <c r="F509">
        <v>3</v>
      </c>
      <c r="G509">
        <v>0.27339999999999998</v>
      </c>
      <c r="H509">
        <v>15</v>
      </c>
      <c r="I509">
        <v>6.47</v>
      </c>
      <c r="J509">
        <v>0</v>
      </c>
      <c r="K509">
        <f>YEAR(NetflixData[[#This Row],[date]])</f>
        <v>2020</v>
      </c>
      <c r="L509" t="str">
        <f>TEXT(NetflixData[[#This Row],[date]],"mmm")</f>
        <v>Feb</v>
      </c>
      <c r="M509" t="str">
        <f>TEXT(NetflixData[[#This Row],[date]],"mmm yyyy")</f>
        <v>Feb 2020</v>
      </c>
      <c r="N509" t="str">
        <f t="shared" si="21"/>
        <v>Non-Trading Day</v>
      </c>
      <c r="O509" t="str">
        <f t="shared" si="22"/>
        <v>No Change</v>
      </c>
      <c r="P509" t="str">
        <f t="shared" si="23"/>
        <v>Positive</v>
      </c>
    </row>
    <row r="510" spans="1:16" x14ac:dyDescent="0.3">
      <c r="A510" s="1">
        <v>43863</v>
      </c>
      <c r="B510">
        <v>34.51</v>
      </c>
      <c r="C510">
        <v>0</v>
      </c>
      <c r="D510">
        <v>0</v>
      </c>
      <c r="E510">
        <v>54</v>
      </c>
      <c r="F510">
        <v>3.19</v>
      </c>
      <c r="G510">
        <v>0.30859999999999999</v>
      </c>
      <c r="H510">
        <v>0</v>
      </c>
      <c r="J510">
        <v>0</v>
      </c>
      <c r="K510">
        <f>YEAR(NetflixData[[#This Row],[date]])</f>
        <v>2020</v>
      </c>
      <c r="L510" t="str">
        <f>TEXT(NetflixData[[#This Row],[date]],"mmm")</f>
        <v>Feb</v>
      </c>
      <c r="M510" t="str">
        <f>TEXT(NetflixData[[#This Row],[date]],"mmm yyyy")</f>
        <v>Feb 2020</v>
      </c>
      <c r="N510" t="str">
        <f t="shared" si="21"/>
        <v>Trading Day</v>
      </c>
      <c r="O510" t="str">
        <f t="shared" si="22"/>
        <v>No Change</v>
      </c>
      <c r="P510" t="str">
        <f t="shared" si="23"/>
        <v>Positive</v>
      </c>
    </row>
    <row r="511" spans="1:16" x14ac:dyDescent="0.3">
      <c r="A511" s="1">
        <v>43864</v>
      </c>
      <c r="B511">
        <v>35.799999999999997</v>
      </c>
      <c r="C511">
        <v>66706000</v>
      </c>
      <c r="D511">
        <v>3.0990000000000002</v>
      </c>
      <c r="E511">
        <v>52</v>
      </c>
      <c r="F511">
        <v>3.33</v>
      </c>
      <c r="G511">
        <v>0.32050000000000001</v>
      </c>
      <c r="H511">
        <v>3</v>
      </c>
      <c r="I511">
        <v>5.7</v>
      </c>
      <c r="J511">
        <v>1</v>
      </c>
      <c r="K511">
        <f>YEAR(NetflixData[[#This Row],[date]])</f>
        <v>2020</v>
      </c>
      <c r="L511" t="str">
        <f>TEXT(NetflixData[[#This Row],[date]],"mmm")</f>
        <v>Feb</v>
      </c>
      <c r="M511" t="str">
        <f>TEXT(NetflixData[[#This Row],[date]],"mmm yyyy")</f>
        <v>Feb 2020</v>
      </c>
      <c r="N511" t="str">
        <f t="shared" si="21"/>
        <v>Trading Day</v>
      </c>
      <c r="O511" t="str">
        <f t="shared" si="22"/>
        <v>Positive</v>
      </c>
      <c r="P511" t="str">
        <f t="shared" si="23"/>
        <v>Positive</v>
      </c>
    </row>
    <row r="512" spans="1:16" x14ac:dyDescent="0.3">
      <c r="A512" s="1">
        <v>43865</v>
      </c>
      <c r="B512">
        <v>36.9</v>
      </c>
      <c r="C512">
        <v>71615000</v>
      </c>
      <c r="D512">
        <v>2.2189999999999999</v>
      </c>
      <c r="E512">
        <v>52</v>
      </c>
      <c r="F512">
        <v>3.65</v>
      </c>
      <c r="G512">
        <v>0.4723</v>
      </c>
      <c r="H512">
        <v>4</v>
      </c>
      <c r="I512">
        <v>6.4</v>
      </c>
      <c r="J512">
        <v>1</v>
      </c>
      <c r="K512">
        <f>YEAR(NetflixData[[#This Row],[date]])</f>
        <v>2020</v>
      </c>
      <c r="L512" t="str">
        <f>TEXT(NetflixData[[#This Row],[date]],"mmm")</f>
        <v>Feb</v>
      </c>
      <c r="M512" t="str">
        <f>TEXT(NetflixData[[#This Row],[date]],"mmm yyyy")</f>
        <v>Feb 2020</v>
      </c>
      <c r="N512" t="str">
        <f t="shared" si="21"/>
        <v>Trading Day</v>
      </c>
      <c r="O512" t="str">
        <f t="shared" si="22"/>
        <v>Positive</v>
      </c>
      <c r="P512" t="str">
        <f t="shared" si="23"/>
        <v>Positive</v>
      </c>
    </row>
    <row r="513" spans="1:16" x14ac:dyDescent="0.3">
      <c r="A513" s="1">
        <v>43866</v>
      </c>
      <c r="B513">
        <v>36.97</v>
      </c>
      <c r="C513">
        <v>64370000</v>
      </c>
      <c r="D513">
        <v>-1.4550000000000001</v>
      </c>
      <c r="E513">
        <v>48</v>
      </c>
      <c r="F513">
        <v>2.83</v>
      </c>
      <c r="G513">
        <v>0.24759999999999999</v>
      </c>
      <c r="H513">
        <v>5</v>
      </c>
      <c r="I513">
        <v>7.18</v>
      </c>
      <c r="J513">
        <v>1</v>
      </c>
      <c r="K513">
        <f>YEAR(NetflixData[[#This Row],[date]])</f>
        <v>2020</v>
      </c>
      <c r="L513" t="str">
        <f>TEXT(NetflixData[[#This Row],[date]],"mmm")</f>
        <v>Feb</v>
      </c>
      <c r="M513" t="str">
        <f>TEXT(NetflixData[[#This Row],[date]],"mmm yyyy")</f>
        <v>Feb 2020</v>
      </c>
      <c r="N513" t="str">
        <f t="shared" si="21"/>
        <v>Trading Day</v>
      </c>
      <c r="O513" t="str">
        <f t="shared" si="22"/>
        <v>Negative</v>
      </c>
      <c r="P513" t="str">
        <f t="shared" si="23"/>
        <v>Positive</v>
      </c>
    </row>
    <row r="514" spans="1:16" x14ac:dyDescent="0.3">
      <c r="A514" s="1">
        <v>43867</v>
      </c>
      <c r="B514">
        <v>36.69</v>
      </c>
      <c r="C514">
        <v>39204000</v>
      </c>
      <c r="D514">
        <v>-0.71699999999999997</v>
      </c>
      <c r="E514">
        <v>32</v>
      </c>
      <c r="F514">
        <v>3.22</v>
      </c>
      <c r="G514">
        <v>0.20449999999999999</v>
      </c>
      <c r="H514">
        <v>3</v>
      </c>
      <c r="I514">
        <v>6.37</v>
      </c>
      <c r="J514">
        <v>1</v>
      </c>
      <c r="K514">
        <f>YEAR(NetflixData[[#This Row],[date]])</f>
        <v>2020</v>
      </c>
      <c r="L514" t="str">
        <f>TEXT(NetflixData[[#This Row],[date]],"mmm")</f>
        <v>Feb</v>
      </c>
      <c r="M514" t="str">
        <f>TEXT(NetflixData[[#This Row],[date]],"mmm yyyy")</f>
        <v>Feb 2020</v>
      </c>
      <c r="N514" t="str">
        <f t="shared" ref="N514:N577" si="24">IF(J515=1,"Trading Day","Non-Trading Day")</f>
        <v>Trading Day</v>
      </c>
      <c r="O514" t="str">
        <f t="shared" ref="O514:O577" si="25">IF(D514&gt;0,"Positive",IF(D514&lt;0,"Negative","No Change"))</f>
        <v>Negative</v>
      </c>
      <c r="P514" t="str">
        <f t="shared" ref="P514:P577" si="26">IF(G514&gt;0.1,"Positive",IF(G514&lt;-0.1,"Negative","Neutral"))</f>
        <v>Positive</v>
      </c>
    </row>
    <row r="515" spans="1:16" x14ac:dyDescent="0.3">
      <c r="A515" s="1">
        <v>43868</v>
      </c>
      <c r="B515">
        <v>36.68</v>
      </c>
      <c r="C515">
        <v>43852000</v>
      </c>
      <c r="D515">
        <v>0.47399999999999998</v>
      </c>
      <c r="E515">
        <v>50</v>
      </c>
      <c r="F515">
        <v>3.08</v>
      </c>
      <c r="G515">
        <v>0.29089999999999999</v>
      </c>
      <c r="H515">
        <v>9</v>
      </c>
      <c r="I515">
        <v>6.46</v>
      </c>
      <c r="J515">
        <v>1</v>
      </c>
      <c r="K515">
        <f>YEAR(NetflixData[[#This Row],[date]])</f>
        <v>2020</v>
      </c>
      <c r="L515" t="str">
        <f>TEXT(NetflixData[[#This Row],[date]],"mmm")</f>
        <v>Feb</v>
      </c>
      <c r="M515" t="str">
        <f>TEXT(NetflixData[[#This Row],[date]],"mmm yyyy")</f>
        <v>Feb 2020</v>
      </c>
      <c r="N515" t="str">
        <f t="shared" si="24"/>
        <v>Non-Trading Day</v>
      </c>
      <c r="O515" t="str">
        <f t="shared" si="25"/>
        <v>Positive</v>
      </c>
      <c r="P515" t="str">
        <f t="shared" si="26"/>
        <v>Positive</v>
      </c>
    </row>
    <row r="516" spans="1:16" x14ac:dyDescent="0.3">
      <c r="A516" s="1">
        <v>43869</v>
      </c>
      <c r="B516">
        <v>36.68</v>
      </c>
      <c r="C516">
        <v>0</v>
      </c>
      <c r="D516">
        <v>0</v>
      </c>
      <c r="E516">
        <v>54</v>
      </c>
      <c r="F516">
        <v>3.46</v>
      </c>
      <c r="G516">
        <v>0.29630000000000001</v>
      </c>
      <c r="H516">
        <v>2</v>
      </c>
      <c r="I516">
        <v>6.5</v>
      </c>
      <c r="J516">
        <v>0</v>
      </c>
      <c r="K516">
        <f>YEAR(NetflixData[[#This Row],[date]])</f>
        <v>2020</v>
      </c>
      <c r="L516" t="str">
        <f>TEXT(NetflixData[[#This Row],[date]],"mmm")</f>
        <v>Feb</v>
      </c>
      <c r="M516" t="str">
        <f>TEXT(NetflixData[[#This Row],[date]],"mmm yyyy")</f>
        <v>Feb 2020</v>
      </c>
      <c r="N516" t="str">
        <f t="shared" si="24"/>
        <v>Non-Trading Day</v>
      </c>
      <c r="O516" t="str">
        <f t="shared" si="25"/>
        <v>No Change</v>
      </c>
      <c r="P516" t="str">
        <f t="shared" si="26"/>
        <v>Positive</v>
      </c>
    </row>
    <row r="517" spans="1:16" x14ac:dyDescent="0.3">
      <c r="A517" s="1">
        <v>43870</v>
      </c>
      <c r="B517">
        <v>36.68</v>
      </c>
      <c r="C517">
        <v>0</v>
      </c>
      <c r="D517">
        <v>0</v>
      </c>
      <c r="E517">
        <v>44</v>
      </c>
      <c r="F517">
        <v>2.89</v>
      </c>
      <c r="G517">
        <v>0.3261</v>
      </c>
      <c r="H517">
        <v>3</v>
      </c>
      <c r="I517">
        <v>4.5999999999999996</v>
      </c>
      <c r="J517">
        <v>0</v>
      </c>
      <c r="K517">
        <f>YEAR(NetflixData[[#This Row],[date]])</f>
        <v>2020</v>
      </c>
      <c r="L517" t="str">
        <f>TEXT(NetflixData[[#This Row],[date]],"mmm")</f>
        <v>Feb</v>
      </c>
      <c r="M517" t="str">
        <f>TEXT(NetflixData[[#This Row],[date]],"mmm yyyy")</f>
        <v>Feb 2020</v>
      </c>
      <c r="N517" t="str">
        <f t="shared" si="24"/>
        <v>Trading Day</v>
      </c>
      <c r="O517" t="str">
        <f t="shared" si="25"/>
        <v>No Change</v>
      </c>
      <c r="P517" t="str">
        <f t="shared" si="26"/>
        <v>Positive</v>
      </c>
    </row>
    <row r="518" spans="1:16" x14ac:dyDescent="0.3">
      <c r="A518" s="1">
        <v>43871</v>
      </c>
      <c r="B518">
        <v>37.11</v>
      </c>
      <c r="C518">
        <v>52941000</v>
      </c>
      <c r="D518">
        <v>1.663</v>
      </c>
      <c r="E518">
        <v>49</v>
      </c>
      <c r="F518">
        <v>3.04</v>
      </c>
      <c r="G518">
        <v>0.22270000000000001</v>
      </c>
      <c r="H518">
        <v>1</v>
      </c>
      <c r="I518">
        <v>6.9</v>
      </c>
      <c r="J518">
        <v>1</v>
      </c>
      <c r="K518">
        <f>YEAR(NetflixData[[#This Row],[date]])</f>
        <v>2020</v>
      </c>
      <c r="L518" t="str">
        <f>TEXT(NetflixData[[#This Row],[date]],"mmm")</f>
        <v>Feb</v>
      </c>
      <c r="M518" t="str">
        <f>TEXT(NetflixData[[#This Row],[date]],"mmm yyyy")</f>
        <v>Feb 2020</v>
      </c>
      <c r="N518" t="str">
        <f t="shared" si="24"/>
        <v>Trading Day</v>
      </c>
      <c r="O518" t="str">
        <f t="shared" si="25"/>
        <v>Positive</v>
      </c>
      <c r="P518" t="str">
        <f t="shared" si="26"/>
        <v>Positive</v>
      </c>
    </row>
    <row r="519" spans="1:16" x14ac:dyDescent="0.3">
      <c r="A519" s="1">
        <v>43872</v>
      </c>
      <c r="B519">
        <v>37.369999999999997</v>
      </c>
      <c r="C519">
        <v>47729000</v>
      </c>
      <c r="D519">
        <v>-1.6E-2</v>
      </c>
      <c r="E519">
        <v>52</v>
      </c>
      <c r="F519">
        <v>3.44</v>
      </c>
      <c r="G519">
        <v>0.39710000000000001</v>
      </c>
      <c r="H519">
        <v>3</v>
      </c>
      <c r="I519">
        <v>7.5</v>
      </c>
      <c r="J519">
        <v>1</v>
      </c>
      <c r="K519">
        <f>YEAR(NetflixData[[#This Row],[date]])</f>
        <v>2020</v>
      </c>
      <c r="L519" t="str">
        <f>TEXT(NetflixData[[#This Row],[date]],"mmm")</f>
        <v>Feb</v>
      </c>
      <c r="M519" t="str">
        <f>TEXT(NetflixData[[#This Row],[date]],"mmm yyyy")</f>
        <v>Feb 2020</v>
      </c>
      <c r="N519" t="str">
        <f t="shared" si="24"/>
        <v>Trading Day</v>
      </c>
      <c r="O519" t="str">
        <f t="shared" si="25"/>
        <v>Negative</v>
      </c>
      <c r="P519" t="str">
        <f t="shared" si="26"/>
        <v>Positive</v>
      </c>
    </row>
    <row r="520" spans="1:16" x14ac:dyDescent="0.3">
      <c r="A520" s="1">
        <v>43873</v>
      </c>
      <c r="B520">
        <v>38</v>
      </c>
      <c r="C520">
        <v>46248000</v>
      </c>
      <c r="D520">
        <v>0.75</v>
      </c>
      <c r="E520">
        <v>60</v>
      </c>
      <c r="F520">
        <v>3.37</v>
      </c>
      <c r="G520">
        <v>0.29820000000000002</v>
      </c>
      <c r="H520">
        <v>3</v>
      </c>
      <c r="I520">
        <v>5.9</v>
      </c>
      <c r="J520">
        <v>1</v>
      </c>
      <c r="K520">
        <f>YEAR(NetflixData[[#This Row],[date]])</f>
        <v>2020</v>
      </c>
      <c r="L520" t="str">
        <f>TEXT(NetflixData[[#This Row],[date]],"mmm")</f>
        <v>Feb</v>
      </c>
      <c r="M520" t="str">
        <f>TEXT(NetflixData[[#This Row],[date]],"mmm yyyy")</f>
        <v>Feb 2020</v>
      </c>
      <c r="N520" t="str">
        <f t="shared" si="24"/>
        <v>Trading Day</v>
      </c>
      <c r="O520" t="str">
        <f t="shared" si="25"/>
        <v>Positive</v>
      </c>
      <c r="P520" t="str">
        <f t="shared" si="26"/>
        <v>Positive</v>
      </c>
    </row>
    <row r="521" spans="1:16" x14ac:dyDescent="0.3">
      <c r="A521" s="1">
        <v>43874</v>
      </c>
      <c r="B521">
        <v>38.14</v>
      </c>
      <c r="C521">
        <v>44854000</v>
      </c>
      <c r="D521">
        <v>1.1779999999999999</v>
      </c>
      <c r="E521">
        <v>95</v>
      </c>
      <c r="F521">
        <v>2.75</v>
      </c>
      <c r="G521">
        <v>0.15790000000000001</v>
      </c>
      <c r="H521">
        <v>4</v>
      </c>
      <c r="I521">
        <v>6.9</v>
      </c>
      <c r="J521">
        <v>1</v>
      </c>
      <c r="K521">
        <f>YEAR(NetflixData[[#This Row],[date]])</f>
        <v>2020</v>
      </c>
      <c r="L521" t="str">
        <f>TEXT(NetflixData[[#This Row],[date]],"mmm")</f>
        <v>Feb</v>
      </c>
      <c r="M521" t="str">
        <f>TEXT(NetflixData[[#This Row],[date]],"mmm yyyy")</f>
        <v>Feb 2020</v>
      </c>
      <c r="N521" t="str">
        <f t="shared" si="24"/>
        <v>Trading Day</v>
      </c>
      <c r="O521" t="str">
        <f t="shared" si="25"/>
        <v>Positive</v>
      </c>
      <c r="P521" t="str">
        <f t="shared" si="26"/>
        <v>Positive</v>
      </c>
    </row>
    <row r="522" spans="1:16" x14ac:dyDescent="0.3">
      <c r="A522" s="1">
        <v>43875</v>
      </c>
      <c r="B522">
        <v>38.04</v>
      </c>
      <c r="C522">
        <v>37363000</v>
      </c>
      <c r="D522">
        <v>-0.28000000000000003</v>
      </c>
      <c r="E522">
        <v>42</v>
      </c>
      <c r="F522">
        <v>3.64</v>
      </c>
      <c r="G522">
        <v>0.37509999999999999</v>
      </c>
      <c r="H522">
        <v>11</v>
      </c>
      <c r="I522">
        <v>5.92</v>
      </c>
      <c r="J522">
        <v>1</v>
      </c>
      <c r="K522">
        <f>YEAR(NetflixData[[#This Row],[date]])</f>
        <v>2020</v>
      </c>
      <c r="L522" t="str">
        <f>TEXT(NetflixData[[#This Row],[date]],"mmm")</f>
        <v>Feb</v>
      </c>
      <c r="M522" t="str">
        <f>TEXT(NetflixData[[#This Row],[date]],"mmm yyyy")</f>
        <v>Feb 2020</v>
      </c>
      <c r="N522" t="str">
        <f t="shared" si="24"/>
        <v>Non-Trading Day</v>
      </c>
      <c r="O522" t="str">
        <f t="shared" si="25"/>
        <v>Negative</v>
      </c>
      <c r="P522" t="str">
        <f t="shared" si="26"/>
        <v>Positive</v>
      </c>
    </row>
    <row r="523" spans="1:16" x14ac:dyDescent="0.3">
      <c r="A523" s="1">
        <v>43876</v>
      </c>
      <c r="B523">
        <v>38.04</v>
      </c>
      <c r="C523">
        <v>0</v>
      </c>
      <c r="D523">
        <v>0</v>
      </c>
      <c r="E523">
        <v>47</v>
      </c>
      <c r="F523">
        <v>3.3</v>
      </c>
      <c r="G523">
        <v>0.33900000000000002</v>
      </c>
      <c r="H523">
        <v>3</v>
      </c>
      <c r="J523">
        <v>0</v>
      </c>
      <c r="K523">
        <f>YEAR(NetflixData[[#This Row],[date]])</f>
        <v>2020</v>
      </c>
      <c r="L523" t="str">
        <f>TEXT(NetflixData[[#This Row],[date]],"mmm")</f>
        <v>Feb</v>
      </c>
      <c r="M523" t="str">
        <f>TEXT(NetflixData[[#This Row],[date]],"mmm yyyy")</f>
        <v>Feb 2020</v>
      </c>
      <c r="N523" t="str">
        <f t="shared" si="24"/>
        <v>Non-Trading Day</v>
      </c>
      <c r="O523" t="str">
        <f t="shared" si="25"/>
        <v>No Change</v>
      </c>
      <c r="P523" t="str">
        <f t="shared" si="26"/>
        <v>Positive</v>
      </c>
    </row>
    <row r="524" spans="1:16" x14ac:dyDescent="0.3">
      <c r="A524" s="1">
        <v>43877</v>
      </c>
      <c r="B524">
        <v>38.04</v>
      </c>
      <c r="C524">
        <v>0</v>
      </c>
      <c r="D524">
        <v>0</v>
      </c>
      <c r="E524">
        <v>65</v>
      </c>
      <c r="F524">
        <v>3.08</v>
      </c>
      <c r="G524">
        <v>0.3579</v>
      </c>
      <c r="H524">
        <v>6</v>
      </c>
      <c r="I524">
        <v>6.38</v>
      </c>
      <c r="J524">
        <v>0</v>
      </c>
      <c r="K524">
        <f>YEAR(NetflixData[[#This Row],[date]])</f>
        <v>2020</v>
      </c>
      <c r="L524" t="str">
        <f>TEXT(NetflixData[[#This Row],[date]],"mmm")</f>
        <v>Feb</v>
      </c>
      <c r="M524" t="str">
        <f>TEXT(NetflixData[[#This Row],[date]],"mmm yyyy")</f>
        <v>Feb 2020</v>
      </c>
      <c r="N524" t="str">
        <f t="shared" si="24"/>
        <v>Non-Trading Day</v>
      </c>
      <c r="O524" t="str">
        <f t="shared" si="25"/>
        <v>No Change</v>
      </c>
      <c r="P524" t="str">
        <f t="shared" si="26"/>
        <v>Positive</v>
      </c>
    </row>
    <row r="525" spans="1:16" x14ac:dyDescent="0.3">
      <c r="A525" s="1">
        <v>43878</v>
      </c>
      <c r="B525">
        <v>38.04</v>
      </c>
      <c r="C525">
        <v>0</v>
      </c>
      <c r="D525">
        <v>0</v>
      </c>
      <c r="E525">
        <v>63</v>
      </c>
      <c r="F525">
        <v>3.3</v>
      </c>
      <c r="G525">
        <v>0.247</v>
      </c>
      <c r="H525">
        <v>2</v>
      </c>
      <c r="I525">
        <v>4.3</v>
      </c>
      <c r="J525">
        <v>0</v>
      </c>
      <c r="K525">
        <f>YEAR(NetflixData[[#This Row],[date]])</f>
        <v>2020</v>
      </c>
      <c r="L525" t="str">
        <f>TEXT(NetflixData[[#This Row],[date]],"mmm")</f>
        <v>Feb</v>
      </c>
      <c r="M525" t="str">
        <f>TEXT(NetflixData[[#This Row],[date]],"mmm yyyy")</f>
        <v>Feb 2020</v>
      </c>
      <c r="N525" t="str">
        <f t="shared" si="24"/>
        <v>Trading Day</v>
      </c>
      <c r="O525" t="str">
        <f t="shared" si="25"/>
        <v>No Change</v>
      </c>
      <c r="P525" t="str">
        <f t="shared" si="26"/>
        <v>Positive</v>
      </c>
    </row>
    <row r="526" spans="1:16" x14ac:dyDescent="0.3">
      <c r="A526" s="1">
        <v>43879</v>
      </c>
      <c r="B526">
        <v>38.78</v>
      </c>
      <c r="C526">
        <v>51739000</v>
      </c>
      <c r="D526">
        <v>2.2360000000000002</v>
      </c>
      <c r="E526">
        <v>49</v>
      </c>
      <c r="F526">
        <v>3.37</v>
      </c>
      <c r="G526">
        <v>0.3866</v>
      </c>
      <c r="H526">
        <v>0</v>
      </c>
      <c r="J526">
        <v>1</v>
      </c>
      <c r="K526">
        <f>YEAR(NetflixData[[#This Row],[date]])</f>
        <v>2020</v>
      </c>
      <c r="L526" t="str">
        <f>TEXT(NetflixData[[#This Row],[date]],"mmm")</f>
        <v>Feb</v>
      </c>
      <c r="M526" t="str">
        <f>TEXT(NetflixData[[#This Row],[date]],"mmm yyyy")</f>
        <v>Feb 2020</v>
      </c>
      <c r="N526" t="str">
        <f t="shared" si="24"/>
        <v>Trading Day</v>
      </c>
      <c r="O526" t="str">
        <f t="shared" si="25"/>
        <v>Positive</v>
      </c>
      <c r="P526" t="str">
        <f t="shared" si="26"/>
        <v>Positive</v>
      </c>
    </row>
    <row r="527" spans="1:16" x14ac:dyDescent="0.3">
      <c r="A527" s="1">
        <v>43880</v>
      </c>
      <c r="B527">
        <v>38.619999999999997</v>
      </c>
      <c r="C527">
        <v>48964000</v>
      </c>
      <c r="D527">
        <v>-0.497</v>
      </c>
      <c r="E527">
        <v>50</v>
      </c>
      <c r="F527">
        <v>3.46</v>
      </c>
      <c r="G527">
        <v>0.3448</v>
      </c>
      <c r="H527">
        <v>0</v>
      </c>
      <c r="J527">
        <v>1</v>
      </c>
      <c r="K527">
        <f>YEAR(NetflixData[[#This Row],[date]])</f>
        <v>2020</v>
      </c>
      <c r="L527" t="str">
        <f>TEXT(NetflixData[[#This Row],[date]],"mmm")</f>
        <v>Feb</v>
      </c>
      <c r="M527" t="str">
        <f>TEXT(NetflixData[[#This Row],[date]],"mmm yyyy")</f>
        <v>Feb 2020</v>
      </c>
      <c r="N527" t="str">
        <f t="shared" si="24"/>
        <v>Trading Day</v>
      </c>
      <c r="O527" t="str">
        <f t="shared" si="25"/>
        <v>Negative</v>
      </c>
      <c r="P527" t="str">
        <f t="shared" si="26"/>
        <v>Positive</v>
      </c>
    </row>
    <row r="528" spans="1:16" x14ac:dyDescent="0.3">
      <c r="A528" s="1">
        <v>43881</v>
      </c>
      <c r="B528">
        <v>38.6</v>
      </c>
      <c r="C528">
        <v>40794000</v>
      </c>
      <c r="D528">
        <v>-0.14499999999999999</v>
      </c>
      <c r="E528">
        <v>40</v>
      </c>
      <c r="F528">
        <v>3</v>
      </c>
      <c r="G528">
        <v>0.27860000000000001</v>
      </c>
      <c r="H528">
        <v>3</v>
      </c>
      <c r="I528">
        <v>6.03</v>
      </c>
      <c r="J528">
        <v>1</v>
      </c>
      <c r="K528">
        <f>YEAR(NetflixData[[#This Row],[date]])</f>
        <v>2020</v>
      </c>
      <c r="L528" t="str">
        <f>TEXT(NetflixData[[#This Row],[date]],"mmm")</f>
        <v>Feb</v>
      </c>
      <c r="M528" t="str">
        <f>TEXT(NetflixData[[#This Row],[date]],"mmm yyyy")</f>
        <v>Feb 2020</v>
      </c>
      <c r="N528" t="str">
        <f t="shared" si="24"/>
        <v>Trading Day</v>
      </c>
      <c r="O528" t="str">
        <f t="shared" si="25"/>
        <v>Negative</v>
      </c>
      <c r="P528" t="str">
        <f t="shared" si="26"/>
        <v>Positive</v>
      </c>
    </row>
    <row r="529" spans="1:16" x14ac:dyDescent="0.3">
      <c r="A529" s="1">
        <v>43882</v>
      </c>
      <c r="B529">
        <v>38.01</v>
      </c>
      <c r="C529">
        <v>39301000</v>
      </c>
      <c r="D529">
        <v>-1.365</v>
      </c>
      <c r="E529">
        <v>43</v>
      </c>
      <c r="F529">
        <v>3.42</v>
      </c>
      <c r="G529">
        <v>0.28360000000000002</v>
      </c>
      <c r="H529">
        <v>9</v>
      </c>
      <c r="I529">
        <v>6.36</v>
      </c>
      <c r="J529">
        <v>1</v>
      </c>
      <c r="K529">
        <f>YEAR(NetflixData[[#This Row],[date]])</f>
        <v>2020</v>
      </c>
      <c r="L529" t="str">
        <f>TEXT(NetflixData[[#This Row],[date]],"mmm")</f>
        <v>Feb</v>
      </c>
      <c r="M529" t="str">
        <f>TEXT(NetflixData[[#This Row],[date]],"mmm yyyy")</f>
        <v>Feb 2020</v>
      </c>
      <c r="N529" t="str">
        <f t="shared" si="24"/>
        <v>Non-Trading Day</v>
      </c>
      <c r="O529" t="str">
        <f t="shared" si="25"/>
        <v>Negative</v>
      </c>
      <c r="P529" t="str">
        <f t="shared" si="26"/>
        <v>Positive</v>
      </c>
    </row>
    <row r="530" spans="1:16" x14ac:dyDescent="0.3">
      <c r="A530" s="1">
        <v>43883</v>
      </c>
      <c r="B530">
        <v>38.01</v>
      </c>
      <c r="C530">
        <v>0</v>
      </c>
      <c r="D530">
        <v>0</v>
      </c>
      <c r="E530">
        <v>58</v>
      </c>
      <c r="F530">
        <v>3.62</v>
      </c>
      <c r="G530">
        <v>0.39450000000000002</v>
      </c>
      <c r="H530">
        <v>2</v>
      </c>
      <c r="I530">
        <v>4.7</v>
      </c>
      <c r="J530">
        <v>0</v>
      </c>
      <c r="K530">
        <f>YEAR(NetflixData[[#This Row],[date]])</f>
        <v>2020</v>
      </c>
      <c r="L530" t="str">
        <f>TEXT(NetflixData[[#This Row],[date]],"mmm")</f>
        <v>Feb</v>
      </c>
      <c r="M530" t="str">
        <f>TEXT(NetflixData[[#This Row],[date]],"mmm yyyy")</f>
        <v>Feb 2020</v>
      </c>
      <c r="N530" t="str">
        <f t="shared" si="24"/>
        <v>Non-Trading Day</v>
      </c>
      <c r="O530" t="str">
        <f t="shared" si="25"/>
        <v>No Change</v>
      </c>
      <c r="P530" t="str">
        <f t="shared" si="26"/>
        <v>Positive</v>
      </c>
    </row>
    <row r="531" spans="1:16" x14ac:dyDescent="0.3">
      <c r="A531" s="1">
        <v>43884</v>
      </c>
      <c r="B531">
        <v>38.01</v>
      </c>
      <c r="C531">
        <v>0</v>
      </c>
      <c r="D531">
        <v>0</v>
      </c>
      <c r="E531">
        <v>53</v>
      </c>
      <c r="F531">
        <v>3.15</v>
      </c>
      <c r="G531">
        <v>0.31440000000000001</v>
      </c>
      <c r="H531">
        <v>2</v>
      </c>
      <c r="I531">
        <v>6.8</v>
      </c>
      <c r="J531">
        <v>0</v>
      </c>
      <c r="K531">
        <f>YEAR(NetflixData[[#This Row],[date]])</f>
        <v>2020</v>
      </c>
      <c r="L531" t="str">
        <f>TEXT(NetflixData[[#This Row],[date]],"mmm")</f>
        <v>Feb</v>
      </c>
      <c r="M531" t="str">
        <f>TEXT(NetflixData[[#This Row],[date]],"mmm yyyy")</f>
        <v>Feb 2020</v>
      </c>
      <c r="N531" t="str">
        <f t="shared" si="24"/>
        <v>Trading Day</v>
      </c>
      <c r="O531" t="str">
        <f t="shared" si="25"/>
        <v>No Change</v>
      </c>
      <c r="P531" t="str">
        <f t="shared" si="26"/>
        <v>Positive</v>
      </c>
    </row>
    <row r="532" spans="1:16" x14ac:dyDescent="0.3">
      <c r="A532" s="1">
        <v>43885</v>
      </c>
      <c r="B532">
        <v>36.869999999999997</v>
      </c>
      <c r="C532">
        <v>69364000</v>
      </c>
      <c r="D532">
        <v>1.08</v>
      </c>
      <c r="E532">
        <v>47</v>
      </c>
      <c r="F532">
        <v>3</v>
      </c>
      <c r="G532">
        <v>0.26100000000000001</v>
      </c>
      <c r="H532">
        <v>0</v>
      </c>
      <c r="J532">
        <v>1</v>
      </c>
      <c r="K532">
        <f>YEAR(NetflixData[[#This Row],[date]])</f>
        <v>2020</v>
      </c>
      <c r="L532" t="str">
        <f>TEXT(NetflixData[[#This Row],[date]],"mmm")</f>
        <v>Feb</v>
      </c>
      <c r="M532" t="str">
        <f>TEXT(NetflixData[[#This Row],[date]],"mmm yyyy")</f>
        <v>Feb 2020</v>
      </c>
      <c r="N532" t="str">
        <f t="shared" si="24"/>
        <v>Trading Day</v>
      </c>
      <c r="O532" t="str">
        <f t="shared" si="25"/>
        <v>Positive</v>
      </c>
      <c r="P532" t="str">
        <f t="shared" si="26"/>
        <v>Positive</v>
      </c>
    </row>
    <row r="533" spans="1:16" x14ac:dyDescent="0.3">
      <c r="A533" s="1">
        <v>43886</v>
      </c>
      <c r="B533">
        <v>36.01</v>
      </c>
      <c r="C533">
        <v>64812000</v>
      </c>
      <c r="D533">
        <v>-3.202</v>
      </c>
      <c r="E533">
        <v>56</v>
      </c>
      <c r="F533">
        <v>3.52</v>
      </c>
      <c r="G533">
        <v>0.30470000000000003</v>
      </c>
      <c r="H533">
        <v>2</v>
      </c>
      <c r="I533">
        <v>5.2</v>
      </c>
      <c r="J533">
        <v>1</v>
      </c>
      <c r="K533">
        <f>YEAR(NetflixData[[#This Row],[date]])</f>
        <v>2020</v>
      </c>
      <c r="L533" t="str">
        <f>TEXT(NetflixData[[#This Row],[date]],"mmm")</f>
        <v>Feb</v>
      </c>
      <c r="M533" t="str">
        <f>TEXT(NetflixData[[#This Row],[date]],"mmm yyyy")</f>
        <v>Feb 2020</v>
      </c>
      <c r="N533" t="str">
        <f t="shared" si="24"/>
        <v>Trading Day</v>
      </c>
      <c r="O533" t="str">
        <f t="shared" si="25"/>
        <v>Negative</v>
      </c>
      <c r="P533" t="str">
        <f t="shared" si="26"/>
        <v>Positive</v>
      </c>
    </row>
    <row r="534" spans="1:16" x14ac:dyDescent="0.3">
      <c r="A534" s="1">
        <v>43887</v>
      </c>
      <c r="B534">
        <v>37.92</v>
      </c>
      <c r="C534">
        <v>89341000</v>
      </c>
      <c r="D534">
        <v>3.53</v>
      </c>
      <c r="E534">
        <v>45</v>
      </c>
      <c r="F534">
        <v>3.47</v>
      </c>
      <c r="G534">
        <v>0.35980000000000001</v>
      </c>
      <c r="H534">
        <v>7</v>
      </c>
      <c r="I534">
        <v>6.36</v>
      </c>
      <c r="J534">
        <v>1</v>
      </c>
      <c r="K534">
        <f>YEAR(NetflixData[[#This Row],[date]])</f>
        <v>2020</v>
      </c>
      <c r="L534" t="str">
        <f>TEXT(NetflixData[[#This Row],[date]],"mmm")</f>
        <v>Feb</v>
      </c>
      <c r="M534" t="str">
        <f>TEXT(NetflixData[[#This Row],[date]],"mmm yyyy")</f>
        <v>Feb 2020</v>
      </c>
      <c r="N534" t="str">
        <f t="shared" si="24"/>
        <v>Trading Day</v>
      </c>
      <c r="O534" t="str">
        <f t="shared" si="25"/>
        <v>Positive</v>
      </c>
      <c r="P534" t="str">
        <f t="shared" si="26"/>
        <v>Positive</v>
      </c>
    </row>
    <row r="535" spans="1:16" x14ac:dyDescent="0.3">
      <c r="A535" s="1">
        <v>43888</v>
      </c>
      <c r="B535">
        <v>37.17</v>
      </c>
      <c r="C535">
        <v>109677000</v>
      </c>
      <c r="D535">
        <v>6.7000000000000004E-2</v>
      </c>
      <c r="E535">
        <v>41</v>
      </c>
      <c r="F535">
        <v>2.83</v>
      </c>
      <c r="G535">
        <v>0.11269999999999999</v>
      </c>
      <c r="H535">
        <v>6</v>
      </c>
      <c r="I535">
        <v>6.04</v>
      </c>
      <c r="J535">
        <v>1</v>
      </c>
      <c r="K535">
        <f>YEAR(NetflixData[[#This Row],[date]])</f>
        <v>2020</v>
      </c>
      <c r="L535" t="str">
        <f>TEXT(NetflixData[[#This Row],[date]],"mmm")</f>
        <v>Feb</v>
      </c>
      <c r="M535" t="str">
        <f>TEXT(NetflixData[[#This Row],[date]],"mmm yyyy")</f>
        <v>Feb 2020</v>
      </c>
      <c r="N535" t="str">
        <f t="shared" si="24"/>
        <v>Trading Day</v>
      </c>
      <c r="O535" t="str">
        <f t="shared" si="25"/>
        <v>Positive</v>
      </c>
      <c r="P535" t="str">
        <f t="shared" si="26"/>
        <v>Positive</v>
      </c>
    </row>
    <row r="536" spans="1:16" x14ac:dyDescent="0.3">
      <c r="A536" s="1">
        <v>43889</v>
      </c>
      <c r="B536">
        <v>36.9</v>
      </c>
      <c r="C536">
        <v>111686000</v>
      </c>
      <c r="D536">
        <v>1.323</v>
      </c>
      <c r="E536">
        <v>43</v>
      </c>
      <c r="F536">
        <v>3.3</v>
      </c>
      <c r="G536">
        <v>0.3266</v>
      </c>
      <c r="H536">
        <v>9</v>
      </c>
      <c r="I536">
        <v>6.85</v>
      </c>
      <c r="J536">
        <v>1</v>
      </c>
      <c r="K536">
        <f>YEAR(NetflixData[[#This Row],[date]])</f>
        <v>2020</v>
      </c>
      <c r="L536" t="str">
        <f>TEXT(NetflixData[[#This Row],[date]],"mmm")</f>
        <v>Feb</v>
      </c>
      <c r="M536" t="str">
        <f>TEXT(NetflixData[[#This Row],[date]],"mmm yyyy")</f>
        <v>Feb 2020</v>
      </c>
      <c r="N536" t="str">
        <f t="shared" si="24"/>
        <v>Non-Trading Day</v>
      </c>
      <c r="O536" t="str">
        <f t="shared" si="25"/>
        <v>Positive</v>
      </c>
      <c r="P536" t="str">
        <f t="shared" si="26"/>
        <v>Positive</v>
      </c>
    </row>
    <row r="537" spans="1:16" x14ac:dyDescent="0.3">
      <c r="A537" s="1">
        <v>43890</v>
      </c>
      <c r="B537">
        <v>36.9</v>
      </c>
      <c r="C537">
        <v>0</v>
      </c>
      <c r="D537">
        <v>0</v>
      </c>
      <c r="E537">
        <v>51</v>
      </c>
      <c r="F537">
        <v>3.02</v>
      </c>
      <c r="G537">
        <v>0.13850000000000001</v>
      </c>
      <c r="H537">
        <v>0</v>
      </c>
      <c r="J537">
        <v>0</v>
      </c>
      <c r="K537">
        <f>YEAR(NetflixData[[#This Row],[date]])</f>
        <v>2020</v>
      </c>
      <c r="L537" t="str">
        <f>TEXT(NetflixData[[#This Row],[date]],"mmm")</f>
        <v>Feb</v>
      </c>
      <c r="M537" t="str">
        <f>TEXT(NetflixData[[#This Row],[date]],"mmm yyyy")</f>
        <v>Feb 2020</v>
      </c>
      <c r="N537" t="str">
        <f t="shared" si="24"/>
        <v>Non-Trading Day</v>
      </c>
      <c r="O537" t="str">
        <f t="shared" si="25"/>
        <v>No Change</v>
      </c>
      <c r="P537" t="str">
        <f t="shared" si="26"/>
        <v>Positive</v>
      </c>
    </row>
    <row r="538" spans="1:16" x14ac:dyDescent="0.3">
      <c r="A538" s="1">
        <v>43891</v>
      </c>
      <c r="B538">
        <v>36.9</v>
      </c>
      <c r="C538">
        <v>0</v>
      </c>
      <c r="D538">
        <v>0</v>
      </c>
      <c r="E538">
        <v>47</v>
      </c>
      <c r="F538">
        <v>3.06</v>
      </c>
      <c r="G538">
        <v>0.26819999999999999</v>
      </c>
      <c r="H538">
        <v>17</v>
      </c>
      <c r="I538">
        <v>6.55</v>
      </c>
      <c r="J538">
        <v>0</v>
      </c>
      <c r="K538">
        <f>YEAR(NetflixData[[#This Row],[date]])</f>
        <v>2020</v>
      </c>
      <c r="L538" t="str">
        <f>TEXT(NetflixData[[#This Row],[date]],"mmm")</f>
        <v>Mar</v>
      </c>
      <c r="M538" t="str">
        <f>TEXT(NetflixData[[#This Row],[date]],"mmm yyyy")</f>
        <v>Mar 2020</v>
      </c>
      <c r="N538" t="str">
        <f t="shared" si="24"/>
        <v>Trading Day</v>
      </c>
      <c r="O538" t="str">
        <f t="shared" si="25"/>
        <v>No Change</v>
      </c>
      <c r="P538" t="str">
        <f t="shared" si="26"/>
        <v>Positive</v>
      </c>
    </row>
    <row r="539" spans="1:16" x14ac:dyDescent="0.3">
      <c r="A539" s="1">
        <v>43892</v>
      </c>
      <c r="B539">
        <v>38.1</v>
      </c>
      <c r="C539">
        <v>69979000</v>
      </c>
      <c r="D539">
        <v>2.1280000000000001</v>
      </c>
      <c r="E539">
        <v>61</v>
      </c>
      <c r="F539">
        <v>3.25</v>
      </c>
      <c r="G539">
        <v>0.27239999999999998</v>
      </c>
      <c r="H539">
        <v>1</v>
      </c>
      <c r="J539">
        <v>1</v>
      </c>
      <c r="K539">
        <f>YEAR(NetflixData[[#This Row],[date]])</f>
        <v>2020</v>
      </c>
      <c r="L539" t="str">
        <f>TEXT(NetflixData[[#This Row],[date]],"mmm")</f>
        <v>Mar</v>
      </c>
      <c r="M539" t="str">
        <f>TEXT(NetflixData[[#This Row],[date]],"mmm yyyy")</f>
        <v>Mar 2020</v>
      </c>
      <c r="N539" t="str">
        <f t="shared" si="24"/>
        <v>Trading Day</v>
      </c>
      <c r="O539" t="str">
        <f t="shared" si="25"/>
        <v>Positive</v>
      </c>
      <c r="P539" t="str">
        <f t="shared" si="26"/>
        <v>Positive</v>
      </c>
    </row>
    <row r="540" spans="1:16" x14ac:dyDescent="0.3">
      <c r="A540" s="1">
        <v>43893</v>
      </c>
      <c r="B540">
        <v>36.880000000000003</v>
      </c>
      <c r="C540">
        <v>83646000</v>
      </c>
      <c r="D540">
        <v>-3.218</v>
      </c>
      <c r="E540">
        <v>56</v>
      </c>
      <c r="F540">
        <v>3.12</v>
      </c>
      <c r="G540">
        <v>0.25</v>
      </c>
      <c r="H540">
        <v>8</v>
      </c>
      <c r="I540">
        <v>5.98</v>
      </c>
      <c r="J540">
        <v>1</v>
      </c>
      <c r="K540">
        <f>YEAR(NetflixData[[#This Row],[date]])</f>
        <v>2020</v>
      </c>
      <c r="L540" t="str">
        <f>TEXT(NetflixData[[#This Row],[date]],"mmm")</f>
        <v>Mar</v>
      </c>
      <c r="M540" t="str">
        <f>TEXT(NetflixData[[#This Row],[date]],"mmm yyyy")</f>
        <v>Mar 2020</v>
      </c>
      <c r="N540" t="str">
        <f t="shared" si="24"/>
        <v>Trading Day</v>
      </c>
      <c r="O540" t="str">
        <f t="shared" si="25"/>
        <v>Negative</v>
      </c>
      <c r="P540" t="str">
        <f t="shared" si="26"/>
        <v>Positive</v>
      </c>
    </row>
    <row r="541" spans="1:16" x14ac:dyDescent="0.3">
      <c r="A541" s="1">
        <v>43894</v>
      </c>
      <c r="B541">
        <v>38.380000000000003</v>
      </c>
      <c r="C541">
        <v>54873000</v>
      </c>
      <c r="D541">
        <v>1.5940000000000001</v>
      </c>
      <c r="E541">
        <v>61</v>
      </c>
      <c r="F541">
        <v>3.31</v>
      </c>
      <c r="G541">
        <v>0.24379999999999999</v>
      </c>
      <c r="H541">
        <v>4</v>
      </c>
      <c r="I541">
        <v>7.15</v>
      </c>
      <c r="J541">
        <v>1</v>
      </c>
      <c r="K541">
        <f>YEAR(NetflixData[[#This Row],[date]])</f>
        <v>2020</v>
      </c>
      <c r="L541" t="str">
        <f>TEXT(NetflixData[[#This Row],[date]],"mmm")</f>
        <v>Mar</v>
      </c>
      <c r="M541" t="str">
        <f>TEXT(NetflixData[[#This Row],[date]],"mmm yyyy")</f>
        <v>Mar 2020</v>
      </c>
      <c r="N541" t="str">
        <f t="shared" si="24"/>
        <v>Trading Day</v>
      </c>
      <c r="O541" t="str">
        <f t="shared" si="25"/>
        <v>Positive</v>
      </c>
      <c r="P541" t="str">
        <f t="shared" si="26"/>
        <v>Positive</v>
      </c>
    </row>
    <row r="542" spans="1:16" x14ac:dyDescent="0.3">
      <c r="A542" s="1">
        <v>43895</v>
      </c>
      <c r="B542">
        <v>37.28</v>
      </c>
      <c r="C542">
        <v>87470000</v>
      </c>
      <c r="D542">
        <v>-2.157</v>
      </c>
      <c r="E542">
        <v>98</v>
      </c>
      <c r="F542">
        <v>3.94</v>
      </c>
      <c r="G542">
        <v>0.3982</v>
      </c>
      <c r="H542">
        <v>6</v>
      </c>
      <c r="I542">
        <v>6.37</v>
      </c>
      <c r="J542">
        <v>1</v>
      </c>
      <c r="K542">
        <f>YEAR(NetflixData[[#This Row],[date]])</f>
        <v>2020</v>
      </c>
      <c r="L542" t="str">
        <f>TEXT(NetflixData[[#This Row],[date]],"mmm")</f>
        <v>Mar</v>
      </c>
      <c r="M542" t="str">
        <f>TEXT(NetflixData[[#This Row],[date]],"mmm yyyy")</f>
        <v>Mar 2020</v>
      </c>
      <c r="N542" t="str">
        <f t="shared" si="24"/>
        <v>Trading Day</v>
      </c>
      <c r="O542" t="str">
        <f t="shared" si="25"/>
        <v>Negative</v>
      </c>
      <c r="P542" t="str">
        <f t="shared" si="26"/>
        <v>Positive</v>
      </c>
    </row>
    <row r="543" spans="1:16" x14ac:dyDescent="0.3">
      <c r="A543" s="1">
        <v>43896</v>
      </c>
      <c r="B543">
        <v>36.9</v>
      </c>
      <c r="C543">
        <v>81472000</v>
      </c>
      <c r="D543">
        <v>0.34499999999999997</v>
      </c>
      <c r="E543">
        <v>79</v>
      </c>
      <c r="F543">
        <v>3.87</v>
      </c>
      <c r="G543">
        <v>0.46229999999999999</v>
      </c>
      <c r="H543">
        <v>9</v>
      </c>
      <c r="I543">
        <v>5.17</v>
      </c>
      <c r="J543">
        <v>1</v>
      </c>
      <c r="K543">
        <f>YEAR(NetflixData[[#This Row],[date]])</f>
        <v>2020</v>
      </c>
      <c r="L543" t="str">
        <f>TEXT(NetflixData[[#This Row],[date]],"mmm")</f>
        <v>Mar</v>
      </c>
      <c r="M543" t="str">
        <f>TEXT(NetflixData[[#This Row],[date]],"mmm yyyy")</f>
        <v>Mar 2020</v>
      </c>
      <c r="N543" t="str">
        <f t="shared" si="24"/>
        <v>Non-Trading Day</v>
      </c>
      <c r="O543" t="str">
        <f t="shared" si="25"/>
        <v>Positive</v>
      </c>
      <c r="P543" t="str">
        <f t="shared" si="26"/>
        <v>Positive</v>
      </c>
    </row>
    <row r="544" spans="1:16" x14ac:dyDescent="0.3">
      <c r="A544" s="1">
        <v>43897</v>
      </c>
      <c r="B544">
        <v>36.9</v>
      </c>
      <c r="C544">
        <v>0</v>
      </c>
      <c r="D544">
        <v>0</v>
      </c>
      <c r="E544">
        <v>76</v>
      </c>
      <c r="F544">
        <v>3.43</v>
      </c>
      <c r="G544">
        <v>0.32190000000000002</v>
      </c>
      <c r="H544">
        <v>0</v>
      </c>
      <c r="J544">
        <v>0</v>
      </c>
      <c r="K544">
        <f>YEAR(NetflixData[[#This Row],[date]])</f>
        <v>2020</v>
      </c>
      <c r="L544" t="str">
        <f>TEXT(NetflixData[[#This Row],[date]],"mmm")</f>
        <v>Mar</v>
      </c>
      <c r="M544" t="str">
        <f>TEXT(NetflixData[[#This Row],[date]],"mmm yyyy")</f>
        <v>Mar 2020</v>
      </c>
      <c r="N544" t="str">
        <f t="shared" si="24"/>
        <v>Non-Trading Day</v>
      </c>
      <c r="O544" t="str">
        <f t="shared" si="25"/>
        <v>No Change</v>
      </c>
      <c r="P544" t="str">
        <f t="shared" si="26"/>
        <v>Positive</v>
      </c>
    </row>
    <row r="545" spans="1:16" x14ac:dyDescent="0.3">
      <c r="A545" s="1">
        <v>43898</v>
      </c>
      <c r="B545">
        <v>36.9</v>
      </c>
      <c r="C545">
        <v>0</v>
      </c>
      <c r="D545">
        <v>0</v>
      </c>
      <c r="E545">
        <v>77</v>
      </c>
      <c r="F545">
        <v>3.4</v>
      </c>
      <c r="G545">
        <v>0.31519999999999998</v>
      </c>
      <c r="H545">
        <v>1</v>
      </c>
      <c r="J545">
        <v>0</v>
      </c>
      <c r="K545">
        <f>YEAR(NetflixData[[#This Row],[date]])</f>
        <v>2020</v>
      </c>
      <c r="L545" t="str">
        <f>TEXT(NetflixData[[#This Row],[date]],"mmm")</f>
        <v>Mar</v>
      </c>
      <c r="M545" t="str">
        <f>TEXT(NetflixData[[#This Row],[date]],"mmm yyyy")</f>
        <v>Mar 2020</v>
      </c>
      <c r="N545" t="str">
        <f t="shared" si="24"/>
        <v>Trading Day</v>
      </c>
      <c r="O545" t="str">
        <f t="shared" si="25"/>
        <v>No Change</v>
      </c>
      <c r="P545" t="str">
        <f t="shared" si="26"/>
        <v>Positive</v>
      </c>
    </row>
    <row r="546" spans="1:16" x14ac:dyDescent="0.3">
      <c r="A546" s="1">
        <v>43899</v>
      </c>
      <c r="B546">
        <v>34.65</v>
      </c>
      <c r="C546">
        <v>74055000</v>
      </c>
      <c r="D546">
        <v>0.76500000000000001</v>
      </c>
      <c r="E546">
        <v>70</v>
      </c>
      <c r="F546">
        <v>3.37</v>
      </c>
      <c r="G546">
        <v>0.35680000000000001</v>
      </c>
      <c r="H546">
        <v>0</v>
      </c>
      <c r="J546">
        <v>1</v>
      </c>
      <c r="K546">
        <f>YEAR(NetflixData[[#This Row],[date]])</f>
        <v>2020</v>
      </c>
      <c r="L546" t="str">
        <f>TEXT(NetflixData[[#This Row],[date]],"mmm")</f>
        <v>Mar</v>
      </c>
      <c r="M546" t="str">
        <f>TEXT(NetflixData[[#This Row],[date]],"mmm yyyy")</f>
        <v>Mar 2020</v>
      </c>
      <c r="N546" t="str">
        <f t="shared" si="24"/>
        <v>Trading Day</v>
      </c>
      <c r="O546" t="str">
        <f t="shared" si="25"/>
        <v>Positive</v>
      </c>
      <c r="P546" t="str">
        <f t="shared" si="26"/>
        <v>Positive</v>
      </c>
    </row>
    <row r="547" spans="1:16" x14ac:dyDescent="0.3">
      <c r="A547" s="1">
        <v>43900</v>
      </c>
      <c r="B547">
        <v>36.409999999999997</v>
      </c>
      <c r="C547">
        <v>76044000</v>
      </c>
      <c r="D547">
        <v>2.16</v>
      </c>
      <c r="E547">
        <v>68</v>
      </c>
      <c r="F547">
        <v>3.01</v>
      </c>
      <c r="G547">
        <v>0.27189999999999998</v>
      </c>
      <c r="H547">
        <v>2</v>
      </c>
      <c r="J547">
        <v>1</v>
      </c>
      <c r="K547">
        <f>YEAR(NetflixData[[#This Row],[date]])</f>
        <v>2020</v>
      </c>
      <c r="L547" t="str">
        <f>TEXT(NetflixData[[#This Row],[date]],"mmm")</f>
        <v>Mar</v>
      </c>
      <c r="M547" t="str">
        <f>TEXT(NetflixData[[#This Row],[date]],"mmm yyyy")</f>
        <v>Mar 2020</v>
      </c>
      <c r="N547" t="str">
        <f t="shared" si="24"/>
        <v>Trading Day</v>
      </c>
      <c r="O547" t="str">
        <f t="shared" si="25"/>
        <v>Positive</v>
      </c>
      <c r="P547" t="str">
        <f t="shared" si="26"/>
        <v>Positive</v>
      </c>
    </row>
    <row r="548" spans="1:16" x14ac:dyDescent="0.3">
      <c r="A548" s="1">
        <v>43901</v>
      </c>
      <c r="B548">
        <v>34.99</v>
      </c>
      <c r="C548">
        <v>60360000</v>
      </c>
      <c r="D548">
        <v>-2.508</v>
      </c>
      <c r="E548">
        <v>62</v>
      </c>
      <c r="F548">
        <v>3.45</v>
      </c>
      <c r="G548">
        <v>0.29070000000000001</v>
      </c>
      <c r="H548">
        <v>6</v>
      </c>
      <c r="I548">
        <v>6.55</v>
      </c>
      <c r="J548">
        <v>1</v>
      </c>
      <c r="K548">
        <f>YEAR(NetflixData[[#This Row],[date]])</f>
        <v>2020</v>
      </c>
      <c r="L548" t="str">
        <f>TEXT(NetflixData[[#This Row],[date]],"mmm")</f>
        <v>Mar</v>
      </c>
      <c r="M548" t="str">
        <f>TEXT(NetflixData[[#This Row],[date]],"mmm yyyy")</f>
        <v>Mar 2020</v>
      </c>
      <c r="N548" t="str">
        <f t="shared" si="24"/>
        <v>Trading Day</v>
      </c>
      <c r="O548" t="str">
        <f t="shared" si="25"/>
        <v>Negative</v>
      </c>
      <c r="P548" t="str">
        <f t="shared" si="26"/>
        <v>Positive</v>
      </c>
    </row>
    <row r="549" spans="1:16" x14ac:dyDescent="0.3">
      <c r="A549" s="1">
        <v>43902</v>
      </c>
      <c r="B549">
        <v>31.52</v>
      </c>
      <c r="C549">
        <v>120716000</v>
      </c>
      <c r="D549">
        <v>-3.4460000000000002</v>
      </c>
      <c r="E549">
        <v>51</v>
      </c>
      <c r="F549">
        <v>3.33</v>
      </c>
      <c r="G549">
        <v>0.30630000000000002</v>
      </c>
      <c r="H549">
        <v>1</v>
      </c>
      <c r="I549">
        <v>8.6999999999999993</v>
      </c>
      <c r="J549">
        <v>1</v>
      </c>
      <c r="K549">
        <f>YEAR(NetflixData[[#This Row],[date]])</f>
        <v>2020</v>
      </c>
      <c r="L549" t="str">
        <f>TEXT(NetflixData[[#This Row],[date]],"mmm")</f>
        <v>Mar</v>
      </c>
      <c r="M549" t="str">
        <f>TEXT(NetflixData[[#This Row],[date]],"mmm yyyy")</f>
        <v>Mar 2020</v>
      </c>
      <c r="N549" t="str">
        <f t="shared" si="24"/>
        <v>Trading Day</v>
      </c>
      <c r="O549" t="str">
        <f t="shared" si="25"/>
        <v>Negative</v>
      </c>
      <c r="P549" t="str">
        <f t="shared" si="26"/>
        <v>Positive</v>
      </c>
    </row>
    <row r="550" spans="1:16" x14ac:dyDescent="0.3">
      <c r="A550" s="1">
        <v>43903</v>
      </c>
      <c r="B550">
        <v>33.630000000000003</v>
      </c>
      <c r="C550">
        <v>94582000</v>
      </c>
      <c r="D550">
        <v>1.752</v>
      </c>
      <c r="E550">
        <v>57</v>
      </c>
      <c r="F550">
        <v>3.68</v>
      </c>
      <c r="G550">
        <v>0.36670000000000003</v>
      </c>
      <c r="H550">
        <v>10</v>
      </c>
      <c r="I550">
        <v>6.78</v>
      </c>
      <c r="J550">
        <v>1</v>
      </c>
      <c r="K550">
        <f>YEAR(NetflixData[[#This Row],[date]])</f>
        <v>2020</v>
      </c>
      <c r="L550" t="str">
        <f>TEXT(NetflixData[[#This Row],[date]],"mmm")</f>
        <v>Mar</v>
      </c>
      <c r="M550" t="str">
        <f>TEXT(NetflixData[[#This Row],[date]],"mmm yyyy")</f>
        <v>Mar 2020</v>
      </c>
      <c r="N550" t="str">
        <f t="shared" si="24"/>
        <v>Non-Trading Day</v>
      </c>
      <c r="O550" t="str">
        <f t="shared" si="25"/>
        <v>Positive</v>
      </c>
      <c r="P550" t="str">
        <f t="shared" si="26"/>
        <v>Positive</v>
      </c>
    </row>
    <row r="551" spans="1:16" x14ac:dyDescent="0.3">
      <c r="A551" s="1">
        <v>43904</v>
      </c>
      <c r="B551">
        <v>33.630000000000003</v>
      </c>
      <c r="C551">
        <v>0</v>
      </c>
      <c r="D551">
        <v>0</v>
      </c>
      <c r="E551">
        <v>71</v>
      </c>
      <c r="F551">
        <v>3.41</v>
      </c>
      <c r="G551">
        <v>0.33729999999999999</v>
      </c>
      <c r="H551">
        <v>1</v>
      </c>
      <c r="I551">
        <v>3.8</v>
      </c>
      <c r="J551">
        <v>0</v>
      </c>
      <c r="K551">
        <f>YEAR(NetflixData[[#This Row],[date]])</f>
        <v>2020</v>
      </c>
      <c r="L551" t="str">
        <f>TEXT(NetflixData[[#This Row],[date]],"mmm")</f>
        <v>Mar</v>
      </c>
      <c r="M551" t="str">
        <f>TEXT(NetflixData[[#This Row],[date]],"mmm yyyy")</f>
        <v>Mar 2020</v>
      </c>
      <c r="N551" t="str">
        <f t="shared" si="24"/>
        <v>Non-Trading Day</v>
      </c>
      <c r="O551" t="str">
        <f t="shared" si="25"/>
        <v>No Change</v>
      </c>
      <c r="P551" t="str">
        <f t="shared" si="26"/>
        <v>Positive</v>
      </c>
    </row>
    <row r="552" spans="1:16" x14ac:dyDescent="0.3">
      <c r="A552" s="1">
        <v>43905</v>
      </c>
      <c r="B552">
        <v>33.630000000000003</v>
      </c>
      <c r="C552">
        <v>0</v>
      </c>
      <c r="D552">
        <v>0</v>
      </c>
      <c r="E552">
        <v>70</v>
      </c>
      <c r="F552">
        <v>3.56</v>
      </c>
      <c r="G552">
        <v>0.35770000000000002</v>
      </c>
      <c r="H552">
        <v>9</v>
      </c>
      <c r="I552">
        <v>5.95</v>
      </c>
      <c r="J552">
        <v>0</v>
      </c>
      <c r="K552">
        <f>YEAR(NetflixData[[#This Row],[date]])</f>
        <v>2020</v>
      </c>
      <c r="L552" t="str">
        <f>TEXT(NetflixData[[#This Row],[date]],"mmm")</f>
        <v>Mar</v>
      </c>
      <c r="M552" t="str">
        <f>TEXT(NetflixData[[#This Row],[date]],"mmm yyyy")</f>
        <v>Mar 2020</v>
      </c>
      <c r="N552" t="str">
        <f t="shared" si="24"/>
        <v>Trading Day</v>
      </c>
      <c r="O552" t="str">
        <f t="shared" si="25"/>
        <v>No Change</v>
      </c>
      <c r="P552" t="str">
        <f t="shared" si="26"/>
        <v>Positive</v>
      </c>
    </row>
    <row r="553" spans="1:16" x14ac:dyDescent="0.3">
      <c r="A553" s="1">
        <v>43906</v>
      </c>
      <c r="B553">
        <v>29.88</v>
      </c>
      <c r="C553">
        <v>105599000</v>
      </c>
      <c r="D553">
        <v>-2.5409999999999999</v>
      </c>
      <c r="E553">
        <v>82</v>
      </c>
      <c r="F553">
        <v>3.18</v>
      </c>
      <c r="G553">
        <v>0.27529999999999999</v>
      </c>
      <c r="H553">
        <v>2</v>
      </c>
      <c r="I553">
        <v>6.65</v>
      </c>
      <c r="J553">
        <v>1</v>
      </c>
      <c r="K553">
        <f>YEAR(NetflixData[[#This Row],[date]])</f>
        <v>2020</v>
      </c>
      <c r="L553" t="str">
        <f>TEXT(NetflixData[[#This Row],[date]],"mmm")</f>
        <v>Mar</v>
      </c>
      <c r="M553" t="str">
        <f>TEXT(NetflixData[[#This Row],[date]],"mmm yyyy")</f>
        <v>Mar 2020</v>
      </c>
      <c r="N553" t="str">
        <f t="shared" si="24"/>
        <v>Trading Day</v>
      </c>
      <c r="O553" t="str">
        <f t="shared" si="25"/>
        <v>Negative</v>
      </c>
      <c r="P553" t="str">
        <f t="shared" si="26"/>
        <v>Positive</v>
      </c>
    </row>
    <row r="554" spans="1:16" x14ac:dyDescent="0.3">
      <c r="A554" s="1">
        <v>43907</v>
      </c>
      <c r="B554">
        <v>31.98</v>
      </c>
      <c r="C554">
        <v>100139000</v>
      </c>
      <c r="D554">
        <v>4.4290000000000003</v>
      </c>
      <c r="E554">
        <v>129</v>
      </c>
      <c r="F554">
        <v>2.63</v>
      </c>
      <c r="G554">
        <v>0.18110000000000001</v>
      </c>
      <c r="H554">
        <v>5</v>
      </c>
      <c r="I554">
        <v>7.22</v>
      </c>
      <c r="J554">
        <v>1</v>
      </c>
      <c r="K554">
        <f>YEAR(NetflixData[[#This Row],[date]])</f>
        <v>2020</v>
      </c>
      <c r="L554" t="str">
        <f>TEXT(NetflixData[[#This Row],[date]],"mmm")</f>
        <v>Mar</v>
      </c>
      <c r="M554" t="str">
        <f>TEXT(NetflixData[[#This Row],[date]],"mmm yyyy")</f>
        <v>Mar 2020</v>
      </c>
      <c r="N554" t="str">
        <f t="shared" si="24"/>
        <v>Trading Day</v>
      </c>
      <c r="O554" t="str">
        <f t="shared" si="25"/>
        <v>Positive</v>
      </c>
      <c r="P554" t="str">
        <f t="shared" si="26"/>
        <v>Positive</v>
      </c>
    </row>
    <row r="555" spans="1:16" x14ac:dyDescent="0.3">
      <c r="A555" s="1">
        <v>43908</v>
      </c>
      <c r="B555">
        <v>31.55</v>
      </c>
      <c r="C555">
        <v>125936000</v>
      </c>
      <c r="D555">
        <v>4.3220000000000001</v>
      </c>
      <c r="E555">
        <v>89</v>
      </c>
      <c r="F555">
        <v>3.34</v>
      </c>
      <c r="G555">
        <v>0.39889999999999998</v>
      </c>
      <c r="H555">
        <v>5</v>
      </c>
      <c r="I555">
        <v>7.1</v>
      </c>
      <c r="J555">
        <v>1</v>
      </c>
      <c r="K555">
        <f>YEAR(NetflixData[[#This Row],[date]])</f>
        <v>2020</v>
      </c>
      <c r="L555" t="str">
        <f>TEXT(NetflixData[[#This Row],[date]],"mmm")</f>
        <v>Mar</v>
      </c>
      <c r="M555" t="str">
        <f>TEXT(NetflixData[[#This Row],[date]],"mmm yyyy")</f>
        <v>Mar 2020</v>
      </c>
      <c r="N555" t="str">
        <f t="shared" si="24"/>
        <v>Trading Day</v>
      </c>
      <c r="O555" t="str">
        <f t="shared" si="25"/>
        <v>Positive</v>
      </c>
      <c r="P555" t="str">
        <f t="shared" si="26"/>
        <v>Positive</v>
      </c>
    </row>
    <row r="556" spans="1:16" x14ac:dyDescent="0.3">
      <c r="A556" s="1">
        <v>43909</v>
      </c>
      <c r="B556">
        <v>33.200000000000003</v>
      </c>
      <c r="C556">
        <v>106160000</v>
      </c>
      <c r="D556">
        <v>2.3740000000000001</v>
      </c>
      <c r="E556">
        <v>87</v>
      </c>
      <c r="F556">
        <v>2.97</v>
      </c>
      <c r="G556">
        <v>0.27329999999999999</v>
      </c>
      <c r="H556">
        <v>4</v>
      </c>
      <c r="I556">
        <v>5.4</v>
      </c>
      <c r="J556">
        <v>1</v>
      </c>
      <c r="K556">
        <f>YEAR(NetflixData[[#This Row],[date]])</f>
        <v>2020</v>
      </c>
      <c r="L556" t="str">
        <f>TEXT(NetflixData[[#This Row],[date]],"mmm")</f>
        <v>Mar</v>
      </c>
      <c r="M556" t="str">
        <f>TEXT(NetflixData[[#This Row],[date]],"mmm yyyy")</f>
        <v>Mar 2020</v>
      </c>
      <c r="N556" t="str">
        <f t="shared" si="24"/>
        <v>Trading Day</v>
      </c>
      <c r="O556" t="str">
        <f t="shared" si="25"/>
        <v>Positive</v>
      </c>
      <c r="P556" t="str">
        <f t="shared" si="26"/>
        <v>Positive</v>
      </c>
    </row>
    <row r="557" spans="1:16" x14ac:dyDescent="0.3">
      <c r="A557" s="1">
        <v>43910</v>
      </c>
      <c r="B557">
        <v>33.28</v>
      </c>
      <c r="C557">
        <v>108538000</v>
      </c>
      <c r="D557">
        <v>-2.7690000000000001</v>
      </c>
      <c r="E557">
        <v>95</v>
      </c>
      <c r="F557">
        <v>2.95</v>
      </c>
      <c r="G557">
        <v>0.2271</v>
      </c>
      <c r="H557">
        <v>13</v>
      </c>
      <c r="I557">
        <v>6.63</v>
      </c>
      <c r="J557">
        <v>1</v>
      </c>
      <c r="K557">
        <f>YEAR(NetflixData[[#This Row],[date]])</f>
        <v>2020</v>
      </c>
      <c r="L557" t="str">
        <f>TEXT(NetflixData[[#This Row],[date]],"mmm")</f>
        <v>Mar</v>
      </c>
      <c r="M557" t="str">
        <f>TEXT(NetflixData[[#This Row],[date]],"mmm yyyy")</f>
        <v>Mar 2020</v>
      </c>
      <c r="N557" t="str">
        <f t="shared" si="24"/>
        <v>Non-Trading Day</v>
      </c>
      <c r="O557" t="str">
        <f t="shared" si="25"/>
        <v>Negative</v>
      </c>
      <c r="P557" t="str">
        <f t="shared" si="26"/>
        <v>Positive</v>
      </c>
    </row>
    <row r="558" spans="1:16" x14ac:dyDescent="0.3">
      <c r="A558" s="1">
        <v>43911</v>
      </c>
      <c r="B558">
        <v>33.28</v>
      </c>
      <c r="C558">
        <v>0</v>
      </c>
      <c r="D558">
        <v>0</v>
      </c>
      <c r="E558">
        <v>114</v>
      </c>
      <c r="F558">
        <v>2.4900000000000002</v>
      </c>
      <c r="G558">
        <v>3.32E-2</v>
      </c>
      <c r="H558">
        <v>1</v>
      </c>
      <c r="I558">
        <v>7.4</v>
      </c>
      <c r="J558">
        <v>0</v>
      </c>
      <c r="K558">
        <f>YEAR(NetflixData[[#This Row],[date]])</f>
        <v>2020</v>
      </c>
      <c r="L558" t="str">
        <f>TEXT(NetflixData[[#This Row],[date]],"mmm")</f>
        <v>Mar</v>
      </c>
      <c r="M558" t="str">
        <f>TEXT(NetflixData[[#This Row],[date]],"mmm yyyy")</f>
        <v>Mar 2020</v>
      </c>
      <c r="N558" t="str">
        <f t="shared" si="24"/>
        <v>Non-Trading Day</v>
      </c>
      <c r="O558" t="str">
        <f t="shared" si="25"/>
        <v>No Change</v>
      </c>
      <c r="P558" t="str">
        <f t="shared" si="26"/>
        <v>Neutral</v>
      </c>
    </row>
    <row r="559" spans="1:16" x14ac:dyDescent="0.3">
      <c r="A559" s="1">
        <v>43912</v>
      </c>
      <c r="B559">
        <v>33.28</v>
      </c>
      <c r="C559">
        <v>0</v>
      </c>
      <c r="D559">
        <v>0</v>
      </c>
      <c r="E559">
        <v>81</v>
      </c>
      <c r="F559">
        <v>3.22</v>
      </c>
      <c r="G559">
        <v>0.31019999999999998</v>
      </c>
      <c r="H559">
        <v>1</v>
      </c>
      <c r="I559">
        <v>5</v>
      </c>
      <c r="J559">
        <v>0</v>
      </c>
      <c r="K559">
        <f>YEAR(NetflixData[[#This Row],[date]])</f>
        <v>2020</v>
      </c>
      <c r="L559" t="str">
        <f>TEXT(NetflixData[[#This Row],[date]],"mmm")</f>
        <v>Mar</v>
      </c>
      <c r="M559" t="str">
        <f>TEXT(NetflixData[[#This Row],[date]],"mmm yyyy")</f>
        <v>Mar 2020</v>
      </c>
      <c r="N559" t="str">
        <f t="shared" si="24"/>
        <v>Trading Day</v>
      </c>
      <c r="O559" t="str">
        <f t="shared" si="25"/>
        <v>No Change</v>
      </c>
      <c r="P559" t="str">
        <f t="shared" si="26"/>
        <v>Positive</v>
      </c>
    </row>
    <row r="560" spans="1:16" x14ac:dyDescent="0.3">
      <c r="A560" s="1">
        <v>43913</v>
      </c>
      <c r="B560">
        <v>36.03</v>
      </c>
      <c r="C560">
        <v>134494000</v>
      </c>
      <c r="D560">
        <v>3.5590000000000002</v>
      </c>
      <c r="E560">
        <v>93</v>
      </c>
      <c r="F560">
        <v>3.2</v>
      </c>
      <c r="G560">
        <v>0.33050000000000002</v>
      </c>
      <c r="H560">
        <v>2</v>
      </c>
      <c r="I560">
        <v>6.05</v>
      </c>
      <c r="J560">
        <v>1</v>
      </c>
      <c r="K560">
        <f>YEAR(NetflixData[[#This Row],[date]])</f>
        <v>2020</v>
      </c>
      <c r="L560" t="str">
        <f>TEXT(NetflixData[[#This Row],[date]],"mmm")</f>
        <v>Mar</v>
      </c>
      <c r="M560" t="str">
        <f>TEXT(NetflixData[[#This Row],[date]],"mmm yyyy")</f>
        <v>Mar 2020</v>
      </c>
      <c r="N560" t="str">
        <f t="shared" si="24"/>
        <v>Trading Day</v>
      </c>
      <c r="O560" t="str">
        <f t="shared" si="25"/>
        <v>Positive</v>
      </c>
      <c r="P560" t="str">
        <f t="shared" si="26"/>
        <v>Positive</v>
      </c>
    </row>
    <row r="561" spans="1:16" x14ac:dyDescent="0.3">
      <c r="A561" s="1">
        <v>43914</v>
      </c>
      <c r="B561">
        <v>35.729999999999997</v>
      </c>
      <c r="C561">
        <v>116387000</v>
      </c>
      <c r="D561">
        <v>-3.4239999999999999</v>
      </c>
      <c r="E561">
        <v>108</v>
      </c>
      <c r="F561">
        <v>3.29</v>
      </c>
      <c r="G561">
        <v>0.2477</v>
      </c>
      <c r="H561">
        <v>1</v>
      </c>
      <c r="J561">
        <v>1</v>
      </c>
      <c r="K561">
        <f>YEAR(NetflixData[[#This Row],[date]])</f>
        <v>2020</v>
      </c>
      <c r="L561" t="str">
        <f>TEXT(NetflixData[[#This Row],[date]],"mmm")</f>
        <v>Mar</v>
      </c>
      <c r="M561" t="str">
        <f>TEXT(NetflixData[[#This Row],[date]],"mmm yyyy")</f>
        <v>Mar 2020</v>
      </c>
      <c r="N561" t="str">
        <f t="shared" si="24"/>
        <v>Trading Day</v>
      </c>
      <c r="O561" t="str">
        <f t="shared" si="25"/>
        <v>Negative</v>
      </c>
      <c r="P561" t="str">
        <f t="shared" si="26"/>
        <v>Positive</v>
      </c>
    </row>
    <row r="562" spans="1:16" x14ac:dyDescent="0.3">
      <c r="A562" s="1">
        <v>43915</v>
      </c>
      <c r="B562">
        <v>34.24</v>
      </c>
      <c r="C562">
        <v>87672000</v>
      </c>
      <c r="D562">
        <v>-5.16</v>
      </c>
      <c r="E562">
        <v>94</v>
      </c>
      <c r="F562">
        <v>3.21</v>
      </c>
      <c r="G562">
        <v>0.30309999999999998</v>
      </c>
      <c r="H562">
        <v>6</v>
      </c>
      <c r="I562">
        <v>6.7</v>
      </c>
      <c r="J562">
        <v>1</v>
      </c>
      <c r="K562">
        <f>YEAR(NetflixData[[#This Row],[date]])</f>
        <v>2020</v>
      </c>
      <c r="L562" t="str">
        <f>TEXT(NetflixData[[#This Row],[date]],"mmm")</f>
        <v>Mar</v>
      </c>
      <c r="M562" t="str">
        <f>TEXT(NetflixData[[#This Row],[date]],"mmm yyyy")</f>
        <v>Mar 2020</v>
      </c>
      <c r="N562" t="str">
        <f t="shared" si="24"/>
        <v>Trading Day</v>
      </c>
      <c r="O562" t="str">
        <f t="shared" si="25"/>
        <v>Negative</v>
      </c>
      <c r="P562" t="str">
        <f t="shared" si="26"/>
        <v>Positive</v>
      </c>
    </row>
    <row r="563" spans="1:16" x14ac:dyDescent="0.3">
      <c r="A563" s="1">
        <v>43916</v>
      </c>
      <c r="B563">
        <v>36.299999999999997</v>
      </c>
      <c r="C563">
        <v>72296000</v>
      </c>
      <c r="D563">
        <v>5.52</v>
      </c>
      <c r="E563">
        <v>98</v>
      </c>
      <c r="F563">
        <v>2.99</v>
      </c>
      <c r="G563">
        <v>0.19239999999999999</v>
      </c>
      <c r="H563">
        <v>6</v>
      </c>
      <c r="I563">
        <v>6.7</v>
      </c>
      <c r="J563">
        <v>1</v>
      </c>
      <c r="K563">
        <f>YEAR(NetflixData[[#This Row],[date]])</f>
        <v>2020</v>
      </c>
      <c r="L563" t="str">
        <f>TEXT(NetflixData[[#This Row],[date]],"mmm")</f>
        <v>Mar</v>
      </c>
      <c r="M563" t="str">
        <f>TEXT(NetflixData[[#This Row],[date]],"mmm yyyy")</f>
        <v>Mar 2020</v>
      </c>
      <c r="N563" t="str">
        <f t="shared" si="24"/>
        <v>Trading Day</v>
      </c>
      <c r="O563" t="str">
        <f t="shared" si="25"/>
        <v>Positive</v>
      </c>
      <c r="P563" t="str">
        <f t="shared" si="26"/>
        <v>Positive</v>
      </c>
    </row>
    <row r="564" spans="1:16" x14ac:dyDescent="0.3">
      <c r="A564" s="1">
        <v>43917</v>
      </c>
      <c r="B564">
        <v>35.71</v>
      </c>
      <c r="C564">
        <v>79488000</v>
      </c>
      <c r="D564">
        <v>-0.54900000000000004</v>
      </c>
      <c r="E564">
        <v>100</v>
      </c>
      <c r="F564">
        <v>2.95</v>
      </c>
      <c r="G564">
        <v>0.23089999999999999</v>
      </c>
      <c r="H564">
        <v>14</v>
      </c>
      <c r="I564">
        <v>6.12</v>
      </c>
      <c r="J564">
        <v>1</v>
      </c>
      <c r="K564">
        <f>YEAR(NetflixData[[#This Row],[date]])</f>
        <v>2020</v>
      </c>
      <c r="L564" t="str">
        <f>TEXT(NetflixData[[#This Row],[date]],"mmm")</f>
        <v>Mar</v>
      </c>
      <c r="M564" t="str">
        <f>TEXT(NetflixData[[#This Row],[date]],"mmm yyyy")</f>
        <v>Mar 2020</v>
      </c>
      <c r="N564" t="str">
        <f t="shared" si="24"/>
        <v>Non-Trading Day</v>
      </c>
      <c r="O564" t="str">
        <f t="shared" si="25"/>
        <v>Negative</v>
      </c>
      <c r="P564" t="str">
        <f t="shared" si="26"/>
        <v>Positive</v>
      </c>
    </row>
    <row r="565" spans="1:16" x14ac:dyDescent="0.3">
      <c r="A565" s="1">
        <v>43918</v>
      </c>
      <c r="B565">
        <v>35.71</v>
      </c>
      <c r="C565">
        <v>0</v>
      </c>
      <c r="D565">
        <v>0</v>
      </c>
      <c r="E565">
        <v>77</v>
      </c>
      <c r="F565">
        <v>2.92</v>
      </c>
      <c r="G565">
        <v>0.25779999999999997</v>
      </c>
      <c r="H565">
        <v>1</v>
      </c>
      <c r="I565">
        <v>3</v>
      </c>
      <c r="J565">
        <v>0</v>
      </c>
      <c r="K565">
        <f>YEAR(NetflixData[[#This Row],[date]])</f>
        <v>2020</v>
      </c>
      <c r="L565" t="str">
        <f>TEXT(NetflixData[[#This Row],[date]],"mmm")</f>
        <v>Mar</v>
      </c>
      <c r="M565" t="str">
        <f>TEXT(NetflixData[[#This Row],[date]],"mmm yyyy")</f>
        <v>Mar 2020</v>
      </c>
      <c r="N565" t="str">
        <f t="shared" si="24"/>
        <v>Non-Trading Day</v>
      </c>
      <c r="O565" t="str">
        <f t="shared" si="25"/>
        <v>No Change</v>
      </c>
      <c r="P565" t="str">
        <f t="shared" si="26"/>
        <v>Positive</v>
      </c>
    </row>
    <row r="566" spans="1:16" x14ac:dyDescent="0.3">
      <c r="A566" s="1">
        <v>43919</v>
      </c>
      <c r="B566">
        <v>35.71</v>
      </c>
      <c r="C566">
        <v>0</v>
      </c>
      <c r="D566">
        <v>0</v>
      </c>
      <c r="E566">
        <v>81</v>
      </c>
      <c r="F566">
        <v>3.16</v>
      </c>
      <c r="G566">
        <v>0.2732</v>
      </c>
      <c r="H566">
        <v>2</v>
      </c>
      <c r="I566">
        <v>6.95</v>
      </c>
      <c r="J566">
        <v>0</v>
      </c>
      <c r="K566">
        <f>YEAR(NetflixData[[#This Row],[date]])</f>
        <v>2020</v>
      </c>
      <c r="L566" t="str">
        <f>TEXT(NetflixData[[#This Row],[date]],"mmm")</f>
        <v>Mar</v>
      </c>
      <c r="M566" t="str">
        <f>TEXT(NetflixData[[#This Row],[date]],"mmm yyyy")</f>
        <v>Mar 2020</v>
      </c>
      <c r="N566" t="str">
        <f t="shared" si="24"/>
        <v>Trading Day</v>
      </c>
      <c r="O566" t="str">
        <f t="shared" si="25"/>
        <v>No Change</v>
      </c>
      <c r="P566" t="str">
        <f t="shared" si="26"/>
        <v>Positive</v>
      </c>
    </row>
    <row r="567" spans="1:16" x14ac:dyDescent="0.3">
      <c r="A567" s="1">
        <v>43920</v>
      </c>
      <c r="B567">
        <v>37.1</v>
      </c>
      <c r="C567">
        <v>86220000</v>
      </c>
      <c r="D567">
        <v>2.1930000000000001</v>
      </c>
      <c r="E567">
        <v>96</v>
      </c>
      <c r="F567">
        <v>3.29</v>
      </c>
      <c r="G567">
        <v>0.32619999999999999</v>
      </c>
      <c r="H567">
        <v>1</v>
      </c>
      <c r="I567">
        <v>6.2</v>
      </c>
      <c r="J567">
        <v>1</v>
      </c>
      <c r="K567">
        <f>YEAR(NetflixData[[#This Row],[date]])</f>
        <v>2020</v>
      </c>
      <c r="L567" t="str">
        <f>TEXT(NetflixData[[#This Row],[date]],"mmm")</f>
        <v>Mar</v>
      </c>
      <c r="M567" t="str">
        <f>TEXT(NetflixData[[#This Row],[date]],"mmm yyyy")</f>
        <v>Mar 2020</v>
      </c>
      <c r="N567" t="str">
        <f t="shared" si="24"/>
        <v>Trading Day</v>
      </c>
      <c r="O567" t="str">
        <f t="shared" si="25"/>
        <v>Positive</v>
      </c>
      <c r="P567" t="str">
        <f t="shared" si="26"/>
        <v>Positive</v>
      </c>
    </row>
    <row r="568" spans="1:16" x14ac:dyDescent="0.3">
      <c r="A568" s="1">
        <v>43921</v>
      </c>
      <c r="B568">
        <v>37.549999999999997</v>
      </c>
      <c r="C568">
        <v>93665000</v>
      </c>
      <c r="D568">
        <v>2.0569999999999999</v>
      </c>
      <c r="E568">
        <v>75</v>
      </c>
      <c r="F568">
        <v>3.44</v>
      </c>
      <c r="G568">
        <v>0.39389999999999997</v>
      </c>
      <c r="H568">
        <v>13</v>
      </c>
      <c r="I568">
        <v>6.5</v>
      </c>
      <c r="J568">
        <v>1</v>
      </c>
      <c r="K568">
        <f>YEAR(NetflixData[[#This Row],[date]])</f>
        <v>2020</v>
      </c>
      <c r="L568" t="str">
        <f>TEXT(NetflixData[[#This Row],[date]],"mmm")</f>
        <v>Mar</v>
      </c>
      <c r="M568" t="str">
        <f>TEXT(NetflixData[[#This Row],[date]],"mmm yyyy")</f>
        <v>Mar 2020</v>
      </c>
      <c r="N568" t="str">
        <f t="shared" si="24"/>
        <v>Trading Day</v>
      </c>
      <c r="O568" t="str">
        <f t="shared" si="25"/>
        <v>Positive</v>
      </c>
      <c r="P568" t="str">
        <f t="shared" si="26"/>
        <v>Positive</v>
      </c>
    </row>
    <row r="569" spans="1:16" x14ac:dyDescent="0.3">
      <c r="A569" s="1">
        <v>43922</v>
      </c>
      <c r="B569">
        <v>36.409999999999997</v>
      </c>
      <c r="C569">
        <v>66725000</v>
      </c>
      <c r="D569">
        <v>-3.1829999999999998</v>
      </c>
      <c r="E569">
        <v>95</v>
      </c>
      <c r="F569">
        <v>3.46</v>
      </c>
      <c r="G569">
        <v>0.32890000000000003</v>
      </c>
      <c r="H569">
        <v>46</v>
      </c>
      <c r="I569">
        <v>6.59</v>
      </c>
      <c r="J569">
        <v>1</v>
      </c>
      <c r="K569">
        <f>YEAR(NetflixData[[#This Row],[date]])</f>
        <v>2020</v>
      </c>
      <c r="L569" t="str">
        <f>TEXT(NetflixData[[#This Row],[date]],"mmm")</f>
        <v>Apr</v>
      </c>
      <c r="M569" t="str">
        <f>TEXT(NetflixData[[#This Row],[date]],"mmm yyyy")</f>
        <v>Apr 2020</v>
      </c>
      <c r="N569" t="str">
        <f t="shared" si="24"/>
        <v>Trading Day</v>
      </c>
      <c r="O569" t="str">
        <f t="shared" si="25"/>
        <v>Negative</v>
      </c>
      <c r="P569" t="str">
        <f t="shared" si="26"/>
        <v>Positive</v>
      </c>
    </row>
    <row r="570" spans="1:16" x14ac:dyDescent="0.3">
      <c r="A570" s="1">
        <v>43923</v>
      </c>
      <c r="B570">
        <v>37.01</v>
      </c>
      <c r="C570">
        <v>45925000</v>
      </c>
      <c r="D570">
        <v>1.6479999999999999</v>
      </c>
      <c r="E570">
        <v>91</v>
      </c>
      <c r="F570">
        <v>3.15</v>
      </c>
      <c r="G570">
        <v>0.27150000000000002</v>
      </c>
      <c r="H570">
        <v>2</v>
      </c>
      <c r="I570">
        <v>7.5</v>
      </c>
      <c r="J570">
        <v>1</v>
      </c>
      <c r="K570">
        <f>YEAR(NetflixData[[#This Row],[date]])</f>
        <v>2020</v>
      </c>
      <c r="L570" t="str">
        <f>TEXT(NetflixData[[#This Row],[date]],"mmm")</f>
        <v>Apr</v>
      </c>
      <c r="M570" t="str">
        <f>TEXT(NetflixData[[#This Row],[date]],"mmm yyyy")</f>
        <v>Apr 2020</v>
      </c>
      <c r="N570" t="str">
        <f t="shared" si="24"/>
        <v>Trading Day</v>
      </c>
      <c r="O570" t="str">
        <f t="shared" si="25"/>
        <v>Positive</v>
      </c>
      <c r="P570" t="str">
        <f t="shared" si="26"/>
        <v>Positive</v>
      </c>
    </row>
    <row r="571" spans="1:16" x14ac:dyDescent="0.3">
      <c r="A571" s="1">
        <v>43924</v>
      </c>
      <c r="B571">
        <v>36.18</v>
      </c>
      <c r="C571">
        <v>48608000</v>
      </c>
      <c r="D571">
        <v>-1.554</v>
      </c>
      <c r="E571">
        <v>117</v>
      </c>
      <c r="F571">
        <v>2.97</v>
      </c>
      <c r="G571">
        <v>0.23769999999999999</v>
      </c>
      <c r="H571">
        <v>5</v>
      </c>
      <c r="I571">
        <v>6.57</v>
      </c>
      <c r="J571">
        <v>1</v>
      </c>
      <c r="K571">
        <f>YEAR(NetflixData[[#This Row],[date]])</f>
        <v>2020</v>
      </c>
      <c r="L571" t="str">
        <f>TEXT(NetflixData[[#This Row],[date]],"mmm")</f>
        <v>Apr</v>
      </c>
      <c r="M571" t="str">
        <f>TEXT(NetflixData[[#This Row],[date]],"mmm yyyy")</f>
        <v>Apr 2020</v>
      </c>
      <c r="N571" t="str">
        <f t="shared" si="24"/>
        <v>Non-Trading Day</v>
      </c>
      <c r="O571" t="str">
        <f t="shared" si="25"/>
        <v>Negative</v>
      </c>
      <c r="P571" t="str">
        <f t="shared" si="26"/>
        <v>Positive</v>
      </c>
    </row>
    <row r="572" spans="1:16" x14ac:dyDescent="0.3">
      <c r="A572" s="1">
        <v>43925</v>
      </c>
      <c r="B572">
        <v>36.18</v>
      </c>
      <c r="C572">
        <v>0</v>
      </c>
      <c r="D572">
        <v>0</v>
      </c>
      <c r="E572">
        <v>96</v>
      </c>
      <c r="F572">
        <v>3</v>
      </c>
      <c r="G572">
        <v>0.1724</v>
      </c>
      <c r="H572">
        <v>2</v>
      </c>
      <c r="I572">
        <v>7.5</v>
      </c>
      <c r="J572">
        <v>0</v>
      </c>
      <c r="K572">
        <f>YEAR(NetflixData[[#This Row],[date]])</f>
        <v>2020</v>
      </c>
      <c r="L572" t="str">
        <f>TEXT(NetflixData[[#This Row],[date]],"mmm")</f>
        <v>Apr</v>
      </c>
      <c r="M572" t="str">
        <f>TEXT(NetflixData[[#This Row],[date]],"mmm yyyy")</f>
        <v>Apr 2020</v>
      </c>
      <c r="N572" t="str">
        <f t="shared" si="24"/>
        <v>Non-Trading Day</v>
      </c>
      <c r="O572" t="str">
        <f t="shared" si="25"/>
        <v>No Change</v>
      </c>
      <c r="P572" t="str">
        <f t="shared" si="26"/>
        <v>Positive</v>
      </c>
    </row>
    <row r="573" spans="1:16" x14ac:dyDescent="0.3">
      <c r="A573" s="1">
        <v>43926</v>
      </c>
      <c r="B573">
        <v>36.18</v>
      </c>
      <c r="C573">
        <v>0</v>
      </c>
      <c r="D573">
        <v>0</v>
      </c>
      <c r="E573">
        <v>85</v>
      </c>
      <c r="F573">
        <v>2.91</v>
      </c>
      <c r="G573">
        <v>0.24560000000000001</v>
      </c>
      <c r="H573">
        <v>2</v>
      </c>
      <c r="I573">
        <v>5.75</v>
      </c>
      <c r="J573">
        <v>0</v>
      </c>
      <c r="K573">
        <f>YEAR(NetflixData[[#This Row],[date]])</f>
        <v>2020</v>
      </c>
      <c r="L573" t="str">
        <f>TEXT(NetflixData[[#This Row],[date]],"mmm")</f>
        <v>Apr</v>
      </c>
      <c r="M573" t="str">
        <f>TEXT(NetflixData[[#This Row],[date]],"mmm yyyy")</f>
        <v>Apr 2020</v>
      </c>
      <c r="N573" t="str">
        <f t="shared" si="24"/>
        <v>Trading Day</v>
      </c>
      <c r="O573" t="str">
        <f t="shared" si="25"/>
        <v>No Change</v>
      </c>
      <c r="P573" t="str">
        <f t="shared" si="26"/>
        <v>Positive</v>
      </c>
    </row>
    <row r="574" spans="1:16" x14ac:dyDescent="0.3">
      <c r="A574" s="1">
        <v>43927</v>
      </c>
      <c r="B574">
        <v>38</v>
      </c>
      <c r="C574">
        <v>81839000</v>
      </c>
      <c r="D574">
        <v>4.0359999999999996</v>
      </c>
      <c r="E574">
        <v>83</v>
      </c>
      <c r="F574">
        <v>3.06</v>
      </c>
      <c r="G574">
        <v>0.2278</v>
      </c>
      <c r="H574">
        <v>2</v>
      </c>
      <c r="I574">
        <v>6.8</v>
      </c>
      <c r="J574">
        <v>1</v>
      </c>
      <c r="K574">
        <f>YEAR(NetflixData[[#This Row],[date]])</f>
        <v>2020</v>
      </c>
      <c r="L574" t="str">
        <f>TEXT(NetflixData[[#This Row],[date]],"mmm")</f>
        <v>Apr</v>
      </c>
      <c r="M574" t="str">
        <f>TEXT(NetflixData[[#This Row],[date]],"mmm yyyy")</f>
        <v>Apr 2020</v>
      </c>
      <c r="N574" t="str">
        <f t="shared" si="24"/>
        <v>Trading Day</v>
      </c>
      <c r="O574" t="str">
        <f t="shared" si="25"/>
        <v>Positive</v>
      </c>
      <c r="P574" t="str">
        <f t="shared" si="26"/>
        <v>Positive</v>
      </c>
    </row>
    <row r="575" spans="1:16" x14ac:dyDescent="0.3">
      <c r="A575" s="1">
        <v>43928</v>
      </c>
      <c r="B575">
        <v>37.229999999999997</v>
      </c>
      <c r="C575">
        <v>70464000</v>
      </c>
      <c r="D575">
        <v>-2.032</v>
      </c>
      <c r="E575">
        <v>109</v>
      </c>
      <c r="F575">
        <v>3.24</v>
      </c>
      <c r="G575">
        <v>0.31180000000000002</v>
      </c>
      <c r="H575">
        <v>2</v>
      </c>
      <c r="I575">
        <v>5.3</v>
      </c>
      <c r="J575">
        <v>1</v>
      </c>
      <c r="K575">
        <f>YEAR(NetflixData[[#This Row],[date]])</f>
        <v>2020</v>
      </c>
      <c r="L575" t="str">
        <f>TEXT(NetflixData[[#This Row],[date]],"mmm")</f>
        <v>Apr</v>
      </c>
      <c r="M575" t="str">
        <f>TEXT(NetflixData[[#This Row],[date]],"mmm yyyy")</f>
        <v>Apr 2020</v>
      </c>
      <c r="N575" t="str">
        <f t="shared" si="24"/>
        <v>Trading Day</v>
      </c>
      <c r="O575" t="str">
        <f t="shared" si="25"/>
        <v>Negative</v>
      </c>
      <c r="P575" t="str">
        <f t="shared" si="26"/>
        <v>Positive</v>
      </c>
    </row>
    <row r="576" spans="1:16" x14ac:dyDescent="0.3">
      <c r="A576" s="1">
        <v>43929</v>
      </c>
      <c r="B576">
        <v>37.11</v>
      </c>
      <c r="C576">
        <v>69089000</v>
      </c>
      <c r="D576">
        <v>-0.77300000000000002</v>
      </c>
      <c r="E576">
        <v>112</v>
      </c>
      <c r="F576">
        <v>3.38</v>
      </c>
      <c r="G576">
        <v>0.33900000000000002</v>
      </c>
      <c r="H576">
        <v>2</v>
      </c>
      <c r="I576">
        <v>3.9</v>
      </c>
      <c r="J576">
        <v>1</v>
      </c>
      <c r="K576">
        <f>YEAR(NetflixData[[#This Row],[date]])</f>
        <v>2020</v>
      </c>
      <c r="L576" t="str">
        <f>TEXT(NetflixData[[#This Row],[date]],"mmm")</f>
        <v>Apr</v>
      </c>
      <c r="M576" t="str">
        <f>TEXT(NetflixData[[#This Row],[date]],"mmm yyyy")</f>
        <v>Apr 2020</v>
      </c>
      <c r="N576" t="str">
        <f t="shared" si="24"/>
        <v>Trading Day</v>
      </c>
      <c r="O576" t="str">
        <f t="shared" si="25"/>
        <v>Negative</v>
      </c>
      <c r="P576" t="str">
        <f t="shared" si="26"/>
        <v>Positive</v>
      </c>
    </row>
    <row r="577" spans="1:16" x14ac:dyDescent="0.3">
      <c r="A577" s="1">
        <v>43930</v>
      </c>
      <c r="B577">
        <v>37.07</v>
      </c>
      <c r="C577">
        <v>77113000</v>
      </c>
      <c r="D577">
        <v>-9.1999999999999998E-2</v>
      </c>
      <c r="E577">
        <v>106</v>
      </c>
      <c r="F577">
        <v>3.41</v>
      </c>
      <c r="G577">
        <v>0.3982</v>
      </c>
      <c r="H577">
        <v>2</v>
      </c>
      <c r="I577">
        <v>7.65</v>
      </c>
      <c r="J577">
        <v>1</v>
      </c>
      <c r="K577">
        <f>YEAR(NetflixData[[#This Row],[date]])</f>
        <v>2020</v>
      </c>
      <c r="L577" t="str">
        <f>TEXT(NetflixData[[#This Row],[date]],"mmm")</f>
        <v>Apr</v>
      </c>
      <c r="M577" t="str">
        <f>TEXT(NetflixData[[#This Row],[date]],"mmm yyyy")</f>
        <v>Apr 2020</v>
      </c>
      <c r="N577" t="str">
        <f t="shared" si="24"/>
        <v>Non-Trading Day</v>
      </c>
      <c r="O577" t="str">
        <f t="shared" si="25"/>
        <v>Negative</v>
      </c>
      <c r="P577" t="str">
        <f t="shared" si="26"/>
        <v>Positive</v>
      </c>
    </row>
    <row r="578" spans="1:16" x14ac:dyDescent="0.3">
      <c r="A578" s="1">
        <v>43931</v>
      </c>
      <c r="B578">
        <v>37.07</v>
      </c>
      <c r="C578">
        <v>0</v>
      </c>
      <c r="D578">
        <v>0</v>
      </c>
      <c r="E578">
        <v>150</v>
      </c>
      <c r="F578">
        <v>3.07</v>
      </c>
      <c r="G578">
        <v>0.28370000000000001</v>
      </c>
      <c r="H578">
        <v>8</v>
      </c>
      <c r="I578">
        <v>6.36</v>
      </c>
      <c r="J578">
        <v>0</v>
      </c>
      <c r="K578">
        <f>YEAR(NetflixData[[#This Row],[date]])</f>
        <v>2020</v>
      </c>
      <c r="L578" t="str">
        <f>TEXT(NetflixData[[#This Row],[date]],"mmm")</f>
        <v>Apr</v>
      </c>
      <c r="M578" t="str">
        <f>TEXT(NetflixData[[#This Row],[date]],"mmm yyyy")</f>
        <v>Apr 2020</v>
      </c>
      <c r="N578" t="str">
        <f t="shared" ref="N578:N641" si="27">IF(J579=1,"Trading Day","Non-Trading Day")</f>
        <v>Non-Trading Day</v>
      </c>
      <c r="O578" t="str">
        <f t="shared" ref="O578:O641" si="28">IF(D578&gt;0,"Positive",IF(D578&lt;0,"Negative","No Change"))</f>
        <v>No Change</v>
      </c>
      <c r="P578" t="str">
        <f t="shared" ref="P578:P641" si="29">IF(G578&gt;0.1,"Positive",IF(G578&lt;-0.1,"Negative","Neutral"))</f>
        <v>Positive</v>
      </c>
    </row>
    <row r="579" spans="1:16" x14ac:dyDescent="0.3">
      <c r="A579" s="1">
        <v>43932</v>
      </c>
      <c r="B579">
        <v>37.07</v>
      </c>
      <c r="C579">
        <v>0</v>
      </c>
      <c r="D579">
        <v>0</v>
      </c>
      <c r="E579">
        <v>92</v>
      </c>
      <c r="F579">
        <v>3.17</v>
      </c>
      <c r="G579">
        <v>0.2515</v>
      </c>
      <c r="H579">
        <v>2</v>
      </c>
      <c r="I579">
        <v>6.45</v>
      </c>
      <c r="J579">
        <v>0</v>
      </c>
      <c r="K579">
        <f>YEAR(NetflixData[[#This Row],[date]])</f>
        <v>2020</v>
      </c>
      <c r="L579" t="str">
        <f>TEXT(NetflixData[[#This Row],[date]],"mmm")</f>
        <v>Apr</v>
      </c>
      <c r="M579" t="str">
        <f>TEXT(NetflixData[[#This Row],[date]],"mmm yyyy")</f>
        <v>Apr 2020</v>
      </c>
      <c r="N579" t="str">
        <f t="shared" si="27"/>
        <v>Non-Trading Day</v>
      </c>
      <c r="O579" t="str">
        <f t="shared" si="28"/>
        <v>No Change</v>
      </c>
      <c r="P579" t="str">
        <f t="shared" si="29"/>
        <v>Positive</v>
      </c>
    </row>
    <row r="580" spans="1:16" x14ac:dyDescent="0.3">
      <c r="A580" s="1">
        <v>43933</v>
      </c>
      <c r="B580">
        <v>37.07</v>
      </c>
      <c r="C580">
        <v>0</v>
      </c>
      <c r="D580">
        <v>0</v>
      </c>
      <c r="E580">
        <v>97</v>
      </c>
      <c r="F580">
        <v>2.95</v>
      </c>
      <c r="G580">
        <v>0.28770000000000001</v>
      </c>
      <c r="H580">
        <v>0</v>
      </c>
      <c r="J580">
        <v>0</v>
      </c>
      <c r="K580">
        <f>YEAR(NetflixData[[#This Row],[date]])</f>
        <v>2020</v>
      </c>
      <c r="L580" t="str">
        <f>TEXT(NetflixData[[#This Row],[date]],"mmm")</f>
        <v>Apr</v>
      </c>
      <c r="M580" t="str">
        <f>TEXT(NetflixData[[#This Row],[date]],"mmm yyyy")</f>
        <v>Apr 2020</v>
      </c>
      <c r="N580" t="str">
        <f t="shared" si="27"/>
        <v>Trading Day</v>
      </c>
      <c r="O580" t="str">
        <f t="shared" si="28"/>
        <v>No Change</v>
      </c>
      <c r="P580" t="str">
        <f t="shared" si="29"/>
        <v>Positive</v>
      </c>
    </row>
    <row r="581" spans="1:16" x14ac:dyDescent="0.3">
      <c r="A581" s="1">
        <v>43934</v>
      </c>
      <c r="B581">
        <v>39.67</v>
      </c>
      <c r="C581">
        <v>116929000</v>
      </c>
      <c r="D581">
        <v>6.843</v>
      </c>
      <c r="E581">
        <v>87</v>
      </c>
      <c r="F581">
        <v>3.63</v>
      </c>
      <c r="G581">
        <v>0.31180000000000002</v>
      </c>
      <c r="H581">
        <v>4</v>
      </c>
      <c r="I581">
        <v>6.4</v>
      </c>
      <c r="J581">
        <v>1</v>
      </c>
      <c r="K581">
        <f>YEAR(NetflixData[[#This Row],[date]])</f>
        <v>2020</v>
      </c>
      <c r="L581" t="str">
        <f>TEXT(NetflixData[[#This Row],[date]],"mmm")</f>
        <v>Apr</v>
      </c>
      <c r="M581" t="str">
        <f>TEXT(NetflixData[[#This Row],[date]],"mmm yyyy")</f>
        <v>Apr 2020</v>
      </c>
      <c r="N581" t="str">
        <f t="shared" si="27"/>
        <v>Trading Day</v>
      </c>
      <c r="O581" t="str">
        <f t="shared" si="28"/>
        <v>Positive</v>
      </c>
      <c r="P581" t="str">
        <f t="shared" si="29"/>
        <v>Positive</v>
      </c>
    </row>
    <row r="582" spans="1:16" x14ac:dyDescent="0.3">
      <c r="A582" s="1">
        <v>43935</v>
      </c>
      <c r="B582">
        <v>41.35</v>
      </c>
      <c r="C582">
        <v>115810000</v>
      </c>
      <c r="D582">
        <v>4.0380000000000003</v>
      </c>
      <c r="E582">
        <v>111</v>
      </c>
      <c r="F582">
        <v>3.32</v>
      </c>
      <c r="G582">
        <v>0.3145</v>
      </c>
      <c r="H582">
        <v>3</v>
      </c>
      <c r="I582">
        <v>5.7</v>
      </c>
      <c r="J582">
        <v>1</v>
      </c>
      <c r="K582">
        <f>YEAR(NetflixData[[#This Row],[date]])</f>
        <v>2020</v>
      </c>
      <c r="L582" t="str">
        <f>TEXT(NetflixData[[#This Row],[date]],"mmm")</f>
        <v>Apr</v>
      </c>
      <c r="M582" t="str">
        <f>TEXT(NetflixData[[#This Row],[date]],"mmm yyyy")</f>
        <v>Apr 2020</v>
      </c>
      <c r="N582" t="str">
        <f t="shared" si="27"/>
        <v>Trading Day</v>
      </c>
      <c r="O582" t="str">
        <f t="shared" si="28"/>
        <v>Positive</v>
      </c>
      <c r="P582" t="str">
        <f t="shared" si="29"/>
        <v>Positive</v>
      </c>
    </row>
    <row r="583" spans="1:16" x14ac:dyDescent="0.3">
      <c r="A583" s="1">
        <v>43936</v>
      </c>
      <c r="B583">
        <v>42.67</v>
      </c>
      <c r="C583">
        <v>135612000</v>
      </c>
      <c r="D583">
        <v>3.3290000000000002</v>
      </c>
      <c r="E583">
        <v>94</v>
      </c>
      <c r="F583">
        <v>3.36</v>
      </c>
      <c r="G583">
        <v>0.3211</v>
      </c>
      <c r="H583">
        <v>14</v>
      </c>
      <c r="I583">
        <v>6.27</v>
      </c>
      <c r="J583">
        <v>1</v>
      </c>
      <c r="K583">
        <f>YEAR(NetflixData[[#This Row],[date]])</f>
        <v>2020</v>
      </c>
      <c r="L583" t="str">
        <f>TEXT(NetflixData[[#This Row],[date]],"mmm")</f>
        <v>Apr</v>
      </c>
      <c r="M583" t="str">
        <f>TEXT(NetflixData[[#This Row],[date]],"mmm yyyy")</f>
        <v>Apr 2020</v>
      </c>
      <c r="N583" t="str">
        <f t="shared" si="27"/>
        <v>Trading Day</v>
      </c>
      <c r="O583" t="str">
        <f t="shared" si="28"/>
        <v>Positive</v>
      </c>
      <c r="P583" t="str">
        <f t="shared" si="29"/>
        <v>Positive</v>
      </c>
    </row>
    <row r="584" spans="1:16" x14ac:dyDescent="0.3">
      <c r="A584" s="1">
        <v>43937</v>
      </c>
      <c r="B584">
        <v>43.92</v>
      </c>
      <c r="C584">
        <v>161287000</v>
      </c>
      <c r="D584">
        <v>0.497</v>
      </c>
      <c r="E584">
        <v>93</v>
      </c>
      <c r="F584">
        <v>3.19</v>
      </c>
      <c r="G584">
        <v>0.38159999999999999</v>
      </c>
      <c r="H584">
        <v>8</v>
      </c>
      <c r="I584">
        <v>5.5</v>
      </c>
      <c r="J584">
        <v>1</v>
      </c>
      <c r="K584">
        <f>YEAR(NetflixData[[#This Row],[date]])</f>
        <v>2020</v>
      </c>
      <c r="L584" t="str">
        <f>TEXT(NetflixData[[#This Row],[date]],"mmm")</f>
        <v>Apr</v>
      </c>
      <c r="M584" t="str">
        <f>TEXT(NetflixData[[#This Row],[date]],"mmm yyyy")</f>
        <v>Apr 2020</v>
      </c>
      <c r="N584" t="str">
        <f t="shared" si="27"/>
        <v>Trading Day</v>
      </c>
      <c r="O584" t="str">
        <f t="shared" si="28"/>
        <v>Positive</v>
      </c>
      <c r="P584" t="str">
        <f t="shared" si="29"/>
        <v>Positive</v>
      </c>
    </row>
    <row r="585" spans="1:16" x14ac:dyDescent="0.3">
      <c r="A585" s="1">
        <v>43938</v>
      </c>
      <c r="B585">
        <v>42.3</v>
      </c>
      <c r="C585">
        <v>126163000</v>
      </c>
      <c r="D585">
        <v>-1.865</v>
      </c>
      <c r="E585">
        <v>97</v>
      </c>
      <c r="F585">
        <v>3</v>
      </c>
      <c r="G585">
        <v>0.30470000000000003</v>
      </c>
      <c r="H585">
        <v>9</v>
      </c>
      <c r="I585">
        <v>5.95</v>
      </c>
      <c r="J585">
        <v>1</v>
      </c>
      <c r="K585">
        <f>YEAR(NetflixData[[#This Row],[date]])</f>
        <v>2020</v>
      </c>
      <c r="L585" t="str">
        <f>TEXT(NetflixData[[#This Row],[date]],"mmm")</f>
        <v>Apr</v>
      </c>
      <c r="M585" t="str">
        <f>TEXT(NetflixData[[#This Row],[date]],"mmm yyyy")</f>
        <v>Apr 2020</v>
      </c>
      <c r="N585" t="str">
        <f t="shared" si="27"/>
        <v>Non-Trading Day</v>
      </c>
      <c r="O585" t="str">
        <f t="shared" si="28"/>
        <v>Negative</v>
      </c>
      <c r="P585" t="str">
        <f t="shared" si="29"/>
        <v>Positive</v>
      </c>
    </row>
    <row r="586" spans="1:16" x14ac:dyDescent="0.3">
      <c r="A586" s="1">
        <v>43939</v>
      </c>
      <c r="B586">
        <v>42.3</v>
      </c>
      <c r="C586">
        <v>0</v>
      </c>
      <c r="D586">
        <v>0</v>
      </c>
      <c r="E586">
        <v>89</v>
      </c>
      <c r="F586">
        <v>3.06</v>
      </c>
      <c r="G586">
        <v>0.17100000000000001</v>
      </c>
      <c r="H586">
        <v>3</v>
      </c>
      <c r="I586">
        <v>6.95</v>
      </c>
      <c r="J586">
        <v>0</v>
      </c>
      <c r="K586">
        <f>YEAR(NetflixData[[#This Row],[date]])</f>
        <v>2020</v>
      </c>
      <c r="L586" t="str">
        <f>TEXT(NetflixData[[#This Row],[date]],"mmm")</f>
        <v>Apr</v>
      </c>
      <c r="M586" t="str">
        <f>TEXT(NetflixData[[#This Row],[date]],"mmm yyyy")</f>
        <v>Apr 2020</v>
      </c>
      <c r="N586" t="str">
        <f t="shared" si="27"/>
        <v>Non-Trading Day</v>
      </c>
      <c r="O586" t="str">
        <f t="shared" si="28"/>
        <v>No Change</v>
      </c>
      <c r="P586" t="str">
        <f t="shared" si="29"/>
        <v>Positive</v>
      </c>
    </row>
    <row r="587" spans="1:16" x14ac:dyDescent="0.3">
      <c r="A587" s="1">
        <v>43940</v>
      </c>
      <c r="B587">
        <v>42.3</v>
      </c>
      <c r="C587">
        <v>0</v>
      </c>
      <c r="D587">
        <v>0</v>
      </c>
      <c r="E587">
        <v>77</v>
      </c>
      <c r="F587">
        <v>2.96</v>
      </c>
      <c r="G587">
        <v>0.19789999999999999</v>
      </c>
      <c r="H587">
        <v>0</v>
      </c>
      <c r="J587">
        <v>0</v>
      </c>
      <c r="K587">
        <f>YEAR(NetflixData[[#This Row],[date]])</f>
        <v>2020</v>
      </c>
      <c r="L587" t="str">
        <f>TEXT(NetflixData[[#This Row],[date]],"mmm")</f>
        <v>Apr</v>
      </c>
      <c r="M587" t="str">
        <f>TEXT(NetflixData[[#This Row],[date]],"mmm yyyy")</f>
        <v>Apr 2020</v>
      </c>
      <c r="N587" t="str">
        <f t="shared" si="27"/>
        <v>Trading Day</v>
      </c>
      <c r="O587" t="str">
        <f t="shared" si="28"/>
        <v>No Change</v>
      </c>
      <c r="P587" t="str">
        <f t="shared" si="29"/>
        <v>Positive</v>
      </c>
    </row>
    <row r="588" spans="1:16" x14ac:dyDescent="0.3">
      <c r="A588" s="1">
        <v>43941</v>
      </c>
      <c r="B588">
        <v>43.75</v>
      </c>
      <c r="C588">
        <v>126558000</v>
      </c>
      <c r="D588">
        <v>0.53300000000000003</v>
      </c>
      <c r="E588">
        <v>98</v>
      </c>
      <c r="F588">
        <v>3.16</v>
      </c>
      <c r="G588">
        <v>0.28389999999999999</v>
      </c>
      <c r="H588">
        <v>4</v>
      </c>
      <c r="I588">
        <v>6.6</v>
      </c>
      <c r="J588">
        <v>1</v>
      </c>
      <c r="K588">
        <f>YEAR(NetflixData[[#This Row],[date]])</f>
        <v>2020</v>
      </c>
      <c r="L588" t="str">
        <f>TEXT(NetflixData[[#This Row],[date]],"mmm")</f>
        <v>Apr</v>
      </c>
      <c r="M588" t="str">
        <f>TEXT(NetflixData[[#This Row],[date]],"mmm yyyy")</f>
        <v>Apr 2020</v>
      </c>
      <c r="N588" t="str">
        <f t="shared" si="27"/>
        <v>Trading Day</v>
      </c>
      <c r="O588" t="str">
        <f t="shared" si="28"/>
        <v>Positive</v>
      </c>
      <c r="P588" t="str">
        <f t="shared" si="29"/>
        <v>Positive</v>
      </c>
    </row>
    <row r="589" spans="1:16" x14ac:dyDescent="0.3">
      <c r="A589" s="1">
        <v>43942</v>
      </c>
      <c r="B589">
        <v>43.38</v>
      </c>
      <c r="C589">
        <v>231776000</v>
      </c>
      <c r="D589">
        <v>-2.46</v>
      </c>
      <c r="E589">
        <v>91</v>
      </c>
      <c r="F589">
        <v>3.31</v>
      </c>
      <c r="G589">
        <v>0.30869999999999997</v>
      </c>
      <c r="H589">
        <v>3</v>
      </c>
      <c r="I589">
        <v>8.15</v>
      </c>
      <c r="J589">
        <v>1</v>
      </c>
      <c r="K589">
        <f>YEAR(NetflixData[[#This Row],[date]])</f>
        <v>2020</v>
      </c>
      <c r="L589" t="str">
        <f>TEXT(NetflixData[[#This Row],[date]],"mmm")</f>
        <v>Apr</v>
      </c>
      <c r="M589" t="str">
        <f>TEXT(NetflixData[[#This Row],[date]],"mmm yyyy")</f>
        <v>Apr 2020</v>
      </c>
      <c r="N589" t="str">
        <f t="shared" si="27"/>
        <v>Trading Day</v>
      </c>
      <c r="O589" t="str">
        <f t="shared" si="28"/>
        <v>Negative</v>
      </c>
      <c r="P589" t="str">
        <f t="shared" si="29"/>
        <v>Positive</v>
      </c>
    </row>
    <row r="590" spans="1:16" x14ac:dyDescent="0.3">
      <c r="A590" s="1">
        <v>43943</v>
      </c>
      <c r="B590">
        <v>42.14</v>
      </c>
      <c r="C590">
        <v>210848000</v>
      </c>
      <c r="D590">
        <v>-1.9339999999999999</v>
      </c>
      <c r="E590">
        <v>75</v>
      </c>
      <c r="F590">
        <v>3.47</v>
      </c>
      <c r="G590">
        <v>0.3261</v>
      </c>
      <c r="H590">
        <v>7</v>
      </c>
      <c r="I590">
        <v>5.45</v>
      </c>
      <c r="J590">
        <v>1</v>
      </c>
      <c r="K590">
        <f>YEAR(NetflixData[[#This Row],[date]])</f>
        <v>2020</v>
      </c>
      <c r="L590" t="str">
        <f>TEXT(NetflixData[[#This Row],[date]],"mmm")</f>
        <v>Apr</v>
      </c>
      <c r="M590" t="str">
        <f>TEXT(NetflixData[[#This Row],[date]],"mmm yyyy")</f>
        <v>Apr 2020</v>
      </c>
      <c r="N590" t="str">
        <f t="shared" si="27"/>
        <v>Trading Day</v>
      </c>
      <c r="O590" t="str">
        <f t="shared" si="28"/>
        <v>Negative</v>
      </c>
      <c r="P590" t="str">
        <f t="shared" si="29"/>
        <v>Positive</v>
      </c>
    </row>
    <row r="591" spans="1:16" x14ac:dyDescent="0.3">
      <c r="A591" s="1">
        <v>43944</v>
      </c>
      <c r="B591">
        <v>42.67</v>
      </c>
      <c r="C591">
        <v>139523000</v>
      </c>
      <c r="D591">
        <v>1.7749999999999999</v>
      </c>
      <c r="E591">
        <v>112</v>
      </c>
      <c r="F591">
        <v>3.2</v>
      </c>
      <c r="G591">
        <v>0.21340000000000001</v>
      </c>
      <c r="H591">
        <v>6</v>
      </c>
      <c r="I591">
        <v>6.64</v>
      </c>
      <c r="J591">
        <v>1</v>
      </c>
      <c r="K591">
        <f>YEAR(NetflixData[[#This Row],[date]])</f>
        <v>2020</v>
      </c>
      <c r="L591" t="str">
        <f>TEXT(NetflixData[[#This Row],[date]],"mmm")</f>
        <v>Apr</v>
      </c>
      <c r="M591" t="str">
        <f>TEXT(NetflixData[[#This Row],[date]],"mmm yyyy")</f>
        <v>Apr 2020</v>
      </c>
      <c r="N591" t="str">
        <f t="shared" si="27"/>
        <v>Trading Day</v>
      </c>
      <c r="O591" t="str">
        <f t="shared" si="28"/>
        <v>Positive</v>
      </c>
      <c r="P591" t="str">
        <f t="shared" si="29"/>
        <v>Positive</v>
      </c>
    </row>
    <row r="592" spans="1:16" x14ac:dyDescent="0.3">
      <c r="A592" s="1">
        <v>43945</v>
      </c>
      <c r="B592">
        <v>42.5</v>
      </c>
      <c r="C592">
        <v>86589000</v>
      </c>
      <c r="D592">
        <v>-2E-3</v>
      </c>
      <c r="E592">
        <v>99</v>
      </c>
      <c r="F592">
        <v>3.24</v>
      </c>
      <c r="G592">
        <v>0.31009999999999999</v>
      </c>
      <c r="H592">
        <v>7</v>
      </c>
      <c r="I592">
        <v>6.18</v>
      </c>
      <c r="J592">
        <v>1</v>
      </c>
      <c r="K592">
        <f>YEAR(NetflixData[[#This Row],[date]])</f>
        <v>2020</v>
      </c>
      <c r="L592" t="str">
        <f>TEXT(NetflixData[[#This Row],[date]],"mmm")</f>
        <v>Apr</v>
      </c>
      <c r="M592" t="str">
        <f>TEXT(NetflixData[[#This Row],[date]],"mmm yyyy")</f>
        <v>Apr 2020</v>
      </c>
      <c r="N592" t="str">
        <f t="shared" si="27"/>
        <v>Non-Trading Day</v>
      </c>
      <c r="O592" t="str">
        <f t="shared" si="28"/>
        <v>Negative</v>
      </c>
      <c r="P592" t="str">
        <f t="shared" si="29"/>
        <v>Positive</v>
      </c>
    </row>
    <row r="593" spans="1:16" x14ac:dyDescent="0.3">
      <c r="A593" s="1">
        <v>43946</v>
      </c>
      <c r="B593">
        <v>42.5</v>
      </c>
      <c r="C593">
        <v>0</v>
      </c>
      <c r="D593">
        <v>0</v>
      </c>
      <c r="E593">
        <v>96</v>
      </c>
      <c r="F593">
        <v>3.19</v>
      </c>
      <c r="G593">
        <v>0.30080000000000001</v>
      </c>
      <c r="H593">
        <v>11</v>
      </c>
      <c r="I593">
        <v>7.02</v>
      </c>
      <c r="J593">
        <v>0</v>
      </c>
      <c r="K593">
        <f>YEAR(NetflixData[[#This Row],[date]])</f>
        <v>2020</v>
      </c>
      <c r="L593" t="str">
        <f>TEXT(NetflixData[[#This Row],[date]],"mmm")</f>
        <v>Apr</v>
      </c>
      <c r="M593" t="str">
        <f>TEXT(NetflixData[[#This Row],[date]],"mmm yyyy")</f>
        <v>Apr 2020</v>
      </c>
      <c r="N593" t="str">
        <f t="shared" si="27"/>
        <v>Non-Trading Day</v>
      </c>
      <c r="O593" t="str">
        <f t="shared" si="28"/>
        <v>No Change</v>
      </c>
      <c r="P593" t="str">
        <f t="shared" si="29"/>
        <v>Positive</v>
      </c>
    </row>
    <row r="594" spans="1:16" x14ac:dyDescent="0.3">
      <c r="A594" s="1">
        <v>43947</v>
      </c>
      <c r="B594">
        <v>42.5</v>
      </c>
      <c r="C594">
        <v>0</v>
      </c>
      <c r="D594">
        <v>0</v>
      </c>
      <c r="E594">
        <v>82</v>
      </c>
      <c r="F594">
        <v>3.17</v>
      </c>
      <c r="G594">
        <v>0.2429</v>
      </c>
      <c r="H594">
        <v>2</v>
      </c>
      <c r="I594">
        <v>7.5</v>
      </c>
      <c r="J594">
        <v>0</v>
      </c>
      <c r="K594">
        <f>YEAR(NetflixData[[#This Row],[date]])</f>
        <v>2020</v>
      </c>
      <c r="L594" t="str">
        <f>TEXT(NetflixData[[#This Row],[date]],"mmm")</f>
        <v>Apr</v>
      </c>
      <c r="M594" t="str">
        <f>TEXT(NetflixData[[#This Row],[date]],"mmm yyyy")</f>
        <v>Apr 2020</v>
      </c>
      <c r="N594" t="str">
        <f t="shared" si="27"/>
        <v>Trading Day</v>
      </c>
      <c r="O594" t="str">
        <f t="shared" si="28"/>
        <v>No Change</v>
      </c>
      <c r="P594" t="str">
        <f t="shared" si="29"/>
        <v>Positive</v>
      </c>
    </row>
    <row r="595" spans="1:16" x14ac:dyDescent="0.3">
      <c r="A595" s="1">
        <v>43948</v>
      </c>
      <c r="B595">
        <v>42.14</v>
      </c>
      <c r="C595">
        <v>62775000</v>
      </c>
      <c r="D595">
        <v>-0.85199999999999998</v>
      </c>
      <c r="E595">
        <v>87</v>
      </c>
      <c r="F595">
        <v>3.02</v>
      </c>
      <c r="G595">
        <v>0.24329999999999999</v>
      </c>
      <c r="H595">
        <v>4</v>
      </c>
      <c r="I595">
        <v>5.42</v>
      </c>
      <c r="J595">
        <v>1</v>
      </c>
      <c r="K595">
        <f>YEAR(NetflixData[[#This Row],[date]])</f>
        <v>2020</v>
      </c>
      <c r="L595" t="str">
        <f>TEXT(NetflixData[[#This Row],[date]],"mmm")</f>
        <v>Apr</v>
      </c>
      <c r="M595" t="str">
        <f>TEXT(NetflixData[[#This Row],[date]],"mmm yyyy")</f>
        <v>Apr 2020</v>
      </c>
      <c r="N595" t="str">
        <f t="shared" si="27"/>
        <v>Trading Day</v>
      </c>
      <c r="O595" t="str">
        <f t="shared" si="28"/>
        <v>Negative</v>
      </c>
      <c r="P595" t="str">
        <f t="shared" si="29"/>
        <v>Positive</v>
      </c>
    </row>
    <row r="596" spans="1:16" x14ac:dyDescent="0.3">
      <c r="A596" s="1">
        <v>43949</v>
      </c>
      <c r="B596">
        <v>40.380000000000003</v>
      </c>
      <c r="C596">
        <v>101012000</v>
      </c>
      <c r="D596">
        <v>-3.8479999999999999</v>
      </c>
      <c r="E596">
        <v>107</v>
      </c>
      <c r="F596">
        <v>3.49</v>
      </c>
      <c r="G596">
        <v>0.38469999999999999</v>
      </c>
      <c r="H596">
        <v>12</v>
      </c>
      <c r="I596">
        <v>4.53</v>
      </c>
      <c r="J596">
        <v>1</v>
      </c>
      <c r="K596">
        <f>YEAR(NetflixData[[#This Row],[date]])</f>
        <v>2020</v>
      </c>
      <c r="L596" t="str">
        <f>TEXT(NetflixData[[#This Row],[date]],"mmm")</f>
        <v>Apr</v>
      </c>
      <c r="M596" t="str">
        <f>TEXT(NetflixData[[#This Row],[date]],"mmm yyyy")</f>
        <v>Apr 2020</v>
      </c>
      <c r="N596" t="str">
        <f t="shared" si="27"/>
        <v>Trading Day</v>
      </c>
      <c r="O596" t="str">
        <f t="shared" si="28"/>
        <v>Negative</v>
      </c>
      <c r="P596" t="str">
        <f t="shared" si="29"/>
        <v>Positive</v>
      </c>
    </row>
    <row r="597" spans="1:16" x14ac:dyDescent="0.3">
      <c r="A597" s="1">
        <v>43950</v>
      </c>
      <c r="B597">
        <v>41.19</v>
      </c>
      <c r="C597">
        <v>96931000</v>
      </c>
      <c r="D597">
        <v>3.0939999999999999</v>
      </c>
      <c r="E597">
        <v>107</v>
      </c>
      <c r="F597">
        <v>3.14</v>
      </c>
      <c r="G597">
        <v>0.27750000000000002</v>
      </c>
      <c r="H597">
        <v>9</v>
      </c>
      <c r="I597">
        <v>6.95</v>
      </c>
      <c r="J597">
        <v>1</v>
      </c>
      <c r="K597">
        <f>YEAR(NetflixData[[#This Row],[date]])</f>
        <v>2020</v>
      </c>
      <c r="L597" t="str">
        <f>TEXT(NetflixData[[#This Row],[date]],"mmm")</f>
        <v>Apr</v>
      </c>
      <c r="M597" t="str">
        <f>TEXT(NetflixData[[#This Row],[date]],"mmm yyyy")</f>
        <v>Apr 2020</v>
      </c>
      <c r="N597" t="str">
        <f t="shared" si="27"/>
        <v>Trading Day</v>
      </c>
      <c r="O597" t="str">
        <f t="shared" si="28"/>
        <v>Positive</v>
      </c>
      <c r="P597" t="str">
        <f t="shared" si="29"/>
        <v>Positive</v>
      </c>
    </row>
    <row r="598" spans="1:16" x14ac:dyDescent="0.3">
      <c r="A598" s="1">
        <v>43951</v>
      </c>
      <c r="B598">
        <v>41.99</v>
      </c>
      <c r="C598">
        <v>79540000</v>
      </c>
      <c r="D598">
        <v>2.3250000000000002</v>
      </c>
      <c r="E598">
        <v>91</v>
      </c>
      <c r="F598">
        <v>3.13</v>
      </c>
      <c r="G598">
        <v>0.32019999999999998</v>
      </c>
      <c r="H598">
        <v>7</v>
      </c>
      <c r="I598">
        <v>6.48</v>
      </c>
      <c r="J598">
        <v>1</v>
      </c>
      <c r="K598">
        <f>YEAR(NetflixData[[#This Row],[date]])</f>
        <v>2020</v>
      </c>
      <c r="L598" t="str">
        <f>TEXT(NetflixData[[#This Row],[date]],"mmm")</f>
        <v>Apr</v>
      </c>
      <c r="M598" t="str">
        <f>TEXT(NetflixData[[#This Row],[date]],"mmm yyyy")</f>
        <v>Apr 2020</v>
      </c>
      <c r="N598" t="str">
        <f t="shared" si="27"/>
        <v>Trading Day</v>
      </c>
      <c r="O598" t="str">
        <f t="shared" si="28"/>
        <v>Positive</v>
      </c>
      <c r="P598" t="str">
        <f t="shared" si="29"/>
        <v>Positive</v>
      </c>
    </row>
    <row r="599" spans="1:16" x14ac:dyDescent="0.3">
      <c r="A599" s="1">
        <v>43952</v>
      </c>
      <c r="B599">
        <v>41.53</v>
      </c>
      <c r="C599">
        <v>82999000</v>
      </c>
      <c r="D599">
        <v>4.1000000000000002E-2</v>
      </c>
      <c r="E599">
        <v>110</v>
      </c>
      <c r="F599">
        <v>3.09</v>
      </c>
      <c r="G599">
        <v>0.2097</v>
      </c>
      <c r="H599">
        <v>25</v>
      </c>
      <c r="I599">
        <v>6.51</v>
      </c>
      <c r="J599">
        <v>1</v>
      </c>
      <c r="K599">
        <f>YEAR(NetflixData[[#This Row],[date]])</f>
        <v>2020</v>
      </c>
      <c r="L599" t="str">
        <f>TEXT(NetflixData[[#This Row],[date]],"mmm")</f>
        <v>May</v>
      </c>
      <c r="M599" t="str">
        <f>TEXT(NetflixData[[#This Row],[date]],"mmm yyyy")</f>
        <v>May 2020</v>
      </c>
      <c r="N599" t="str">
        <f t="shared" si="27"/>
        <v>Non-Trading Day</v>
      </c>
      <c r="O599" t="str">
        <f t="shared" si="28"/>
        <v>Positive</v>
      </c>
      <c r="P599" t="str">
        <f t="shared" si="29"/>
        <v>Positive</v>
      </c>
    </row>
    <row r="600" spans="1:16" x14ac:dyDescent="0.3">
      <c r="A600" s="1">
        <v>43953</v>
      </c>
      <c r="B600">
        <v>41.53</v>
      </c>
      <c r="C600">
        <v>0</v>
      </c>
      <c r="D600">
        <v>0</v>
      </c>
      <c r="E600">
        <v>81</v>
      </c>
      <c r="F600">
        <v>2.94</v>
      </c>
      <c r="G600">
        <v>0.23400000000000001</v>
      </c>
      <c r="H600">
        <v>12</v>
      </c>
      <c r="I600">
        <v>6.66</v>
      </c>
      <c r="J600">
        <v>0</v>
      </c>
      <c r="K600">
        <f>YEAR(NetflixData[[#This Row],[date]])</f>
        <v>2020</v>
      </c>
      <c r="L600" t="str">
        <f>TEXT(NetflixData[[#This Row],[date]],"mmm")</f>
        <v>May</v>
      </c>
      <c r="M600" t="str">
        <f>TEXT(NetflixData[[#This Row],[date]],"mmm yyyy")</f>
        <v>May 2020</v>
      </c>
      <c r="N600" t="str">
        <f t="shared" si="27"/>
        <v>Non-Trading Day</v>
      </c>
      <c r="O600" t="str">
        <f t="shared" si="28"/>
        <v>No Change</v>
      </c>
      <c r="P600" t="str">
        <f t="shared" si="29"/>
        <v>Positive</v>
      </c>
    </row>
    <row r="601" spans="1:16" x14ac:dyDescent="0.3">
      <c r="A601" s="1">
        <v>43954</v>
      </c>
      <c r="B601">
        <v>41.53</v>
      </c>
      <c r="C601">
        <v>0</v>
      </c>
      <c r="D601">
        <v>0</v>
      </c>
      <c r="E601">
        <v>93</v>
      </c>
      <c r="F601">
        <v>3.08</v>
      </c>
      <c r="G601">
        <v>0.23169999999999999</v>
      </c>
      <c r="H601">
        <v>1</v>
      </c>
      <c r="I601">
        <v>5.0999999999999996</v>
      </c>
      <c r="J601">
        <v>0</v>
      </c>
      <c r="K601">
        <f>YEAR(NetflixData[[#This Row],[date]])</f>
        <v>2020</v>
      </c>
      <c r="L601" t="str">
        <f>TEXT(NetflixData[[#This Row],[date]],"mmm")</f>
        <v>May</v>
      </c>
      <c r="M601" t="str">
        <f>TEXT(NetflixData[[#This Row],[date]],"mmm yyyy")</f>
        <v>May 2020</v>
      </c>
      <c r="N601" t="str">
        <f t="shared" si="27"/>
        <v>Trading Day</v>
      </c>
      <c r="O601" t="str">
        <f t="shared" si="28"/>
        <v>No Change</v>
      </c>
      <c r="P601" t="str">
        <f t="shared" si="29"/>
        <v>Positive</v>
      </c>
    </row>
    <row r="602" spans="1:16" x14ac:dyDescent="0.3">
      <c r="A602" s="1">
        <v>43955</v>
      </c>
      <c r="B602">
        <v>42.81</v>
      </c>
      <c r="C602">
        <v>77991000</v>
      </c>
      <c r="D602">
        <v>2.4820000000000002</v>
      </c>
      <c r="E602">
        <v>71</v>
      </c>
      <c r="F602">
        <v>3.06</v>
      </c>
      <c r="G602">
        <v>0.2465</v>
      </c>
      <c r="H602">
        <v>2</v>
      </c>
      <c r="I602">
        <v>4.9000000000000004</v>
      </c>
      <c r="J602">
        <v>1</v>
      </c>
      <c r="K602">
        <f>YEAR(NetflixData[[#This Row],[date]])</f>
        <v>2020</v>
      </c>
      <c r="L602" t="str">
        <f>TEXT(NetflixData[[#This Row],[date]],"mmm")</f>
        <v>May</v>
      </c>
      <c r="M602" t="str">
        <f>TEXT(NetflixData[[#This Row],[date]],"mmm yyyy")</f>
        <v>May 2020</v>
      </c>
      <c r="N602" t="str">
        <f t="shared" si="27"/>
        <v>Trading Day</v>
      </c>
      <c r="O602" t="str">
        <f t="shared" si="28"/>
        <v>Positive</v>
      </c>
      <c r="P602" t="str">
        <f t="shared" si="29"/>
        <v>Positive</v>
      </c>
    </row>
    <row r="603" spans="1:16" x14ac:dyDescent="0.3">
      <c r="A603" s="1">
        <v>43956</v>
      </c>
      <c r="B603">
        <v>42.47</v>
      </c>
      <c r="C603">
        <v>62863000</v>
      </c>
      <c r="D603">
        <v>-0.67400000000000004</v>
      </c>
      <c r="E603">
        <v>91</v>
      </c>
      <c r="F603">
        <v>3.89</v>
      </c>
      <c r="G603">
        <v>0.43430000000000002</v>
      </c>
      <c r="H603">
        <v>1</v>
      </c>
      <c r="J603">
        <v>1</v>
      </c>
      <c r="K603">
        <f>YEAR(NetflixData[[#This Row],[date]])</f>
        <v>2020</v>
      </c>
      <c r="L603" t="str">
        <f>TEXT(NetflixData[[#This Row],[date]],"mmm")</f>
        <v>May</v>
      </c>
      <c r="M603" t="str">
        <f>TEXT(NetflixData[[#This Row],[date]],"mmm yyyy")</f>
        <v>May 2020</v>
      </c>
      <c r="N603" t="str">
        <f t="shared" si="27"/>
        <v>Trading Day</v>
      </c>
      <c r="O603" t="str">
        <f t="shared" si="28"/>
        <v>Negative</v>
      </c>
      <c r="P603" t="str">
        <f t="shared" si="29"/>
        <v>Positive</v>
      </c>
    </row>
    <row r="604" spans="1:16" x14ac:dyDescent="0.3">
      <c r="A604" s="1">
        <v>43957</v>
      </c>
      <c r="B604">
        <v>43.43</v>
      </c>
      <c r="C604">
        <v>66607000</v>
      </c>
      <c r="D604">
        <v>1.155</v>
      </c>
      <c r="E604">
        <v>80</v>
      </c>
      <c r="F604">
        <v>3.35</v>
      </c>
      <c r="G604">
        <v>0.28689999999999999</v>
      </c>
      <c r="H604">
        <v>4</v>
      </c>
      <c r="I604">
        <v>5.43</v>
      </c>
      <c r="J604">
        <v>1</v>
      </c>
      <c r="K604">
        <f>YEAR(NetflixData[[#This Row],[date]])</f>
        <v>2020</v>
      </c>
      <c r="L604" t="str">
        <f>TEXT(NetflixData[[#This Row],[date]],"mmm")</f>
        <v>May</v>
      </c>
      <c r="M604" t="str">
        <f>TEXT(NetflixData[[#This Row],[date]],"mmm yyyy")</f>
        <v>May 2020</v>
      </c>
      <c r="N604" t="str">
        <f t="shared" si="27"/>
        <v>Trading Day</v>
      </c>
      <c r="O604" t="str">
        <f t="shared" si="28"/>
        <v>Positive</v>
      </c>
      <c r="P604" t="str">
        <f t="shared" si="29"/>
        <v>Positive</v>
      </c>
    </row>
    <row r="605" spans="1:16" x14ac:dyDescent="0.3">
      <c r="A605" s="1">
        <v>43958</v>
      </c>
      <c r="B605">
        <v>43.65</v>
      </c>
      <c r="C605">
        <v>56419000</v>
      </c>
      <c r="D605">
        <v>-8.2000000000000003E-2</v>
      </c>
      <c r="E605">
        <v>90</v>
      </c>
      <c r="F605">
        <v>3.29</v>
      </c>
      <c r="G605">
        <v>0.25430000000000003</v>
      </c>
      <c r="H605">
        <v>6</v>
      </c>
      <c r="I605">
        <v>5.18</v>
      </c>
      <c r="J605">
        <v>1</v>
      </c>
      <c r="K605">
        <f>YEAR(NetflixData[[#This Row],[date]])</f>
        <v>2020</v>
      </c>
      <c r="L605" t="str">
        <f>TEXT(NetflixData[[#This Row],[date]],"mmm")</f>
        <v>May</v>
      </c>
      <c r="M605" t="str">
        <f>TEXT(NetflixData[[#This Row],[date]],"mmm yyyy")</f>
        <v>May 2020</v>
      </c>
      <c r="N605" t="str">
        <f t="shared" si="27"/>
        <v>Trading Day</v>
      </c>
      <c r="O605" t="str">
        <f t="shared" si="28"/>
        <v>Negative</v>
      </c>
      <c r="P605" t="str">
        <f t="shared" si="29"/>
        <v>Positive</v>
      </c>
    </row>
    <row r="606" spans="1:16" x14ac:dyDescent="0.3">
      <c r="A606" s="1">
        <v>43959</v>
      </c>
      <c r="B606">
        <v>43.56</v>
      </c>
      <c r="C606">
        <v>50493000</v>
      </c>
      <c r="D606">
        <v>0.32500000000000001</v>
      </c>
      <c r="E606">
        <v>73</v>
      </c>
      <c r="F606">
        <v>3.45</v>
      </c>
      <c r="G606">
        <v>0.34329999999999999</v>
      </c>
      <c r="H606">
        <v>7</v>
      </c>
      <c r="I606">
        <v>6.82</v>
      </c>
      <c r="J606">
        <v>1</v>
      </c>
      <c r="K606">
        <f>YEAR(NetflixData[[#This Row],[date]])</f>
        <v>2020</v>
      </c>
      <c r="L606" t="str">
        <f>TEXT(NetflixData[[#This Row],[date]],"mmm")</f>
        <v>May</v>
      </c>
      <c r="M606" t="str">
        <f>TEXT(NetflixData[[#This Row],[date]],"mmm yyyy")</f>
        <v>May 2020</v>
      </c>
      <c r="N606" t="str">
        <f t="shared" si="27"/>
        <v>Non-Trading Day</v>
      </c>
      <c r="O606" t="str">
        <f t="shared" si="28"/>
        <v>Positive</v>
      </c>
      <c r="P606" t="str">
        <f t="shared" si="29"/>
        <v>Positive</v>
      </c>
    </row>
    <row r="607" spans="1:16" x14ac:dyDescent="0.3">
      <c r="A607" s="1">
        <v>43960</v>
      </c>
      <c r="B607">
        <v>43.56</v>
      </c>
      <c r="C607">
        <v>0</v>
      </c>
      <c r="D607">
        <v>0</v>
      </c>
      <c r="E607">
        <v>105</v>
      </c>
      <c r="F607">
        <v>3.11</v>
      </c>
      <c r="G607">
        <v>0.25580000000000003</v>
      </c>
      <c r="H607">
        <v>3</v>
      </c>
      <c r="I607">
        <v>4.25</v>
      </c>
      <c r="J607">
        <v>0</v>
      </c>
      <c r="K607">
        <f>YEAR(NetflixData[[#This Row],[date]])</f>
        <v>2020</v>
      </c>
      <c r="L607" t="str">
        <f>TEXT(NetflixData[[#This Row],[date]],"mmm")</f>
        <v>May</v>
      </c>
      <c r="M607" t="str">
        <f>TEXT(NetflixData[[#This Row],[date]],"mmm yyyy")</f>
        <v>May 2020</v>
      </c>
      <c r="N607" t="str">
        <f t="shared" si="27"/>
        <v>Non-Trading Day</v>
      </c>
      <c r="O607" t="str">
        <f t="shared" si="28"/>
        <v>No Change</v>
      </c>
      <c r="P607" t="str">
        <f t="shared" si="29"/>
        <v>Positive</v>
      </c>
    </row>
    <row r="608" spans="1:16" x14ac:dyDescent="0.3">
      <c r="A608" s="1">
        <v>43961</v>
      </c>
      <c r="B608">
        <v>43.56</v>
      </c>
      <c r="C608">
        <v>0</v>
      </c>
      <c r="D608">
        <v>0</v>
      </c>
      <c r="E608">
        <v>63</v>
      </c>
      <c r="F608">
        <v>2.94</v>
      </c>
      <c r="G608">
        <v>0.30680000000000002</v>
      </c>
      <c r="H608">
        <v>0</v>
      </c>
      <c r="J608">
        <v>0</v>
      </c>
      <c r="K608">
        <f>YEAR(NetflixData[[#This Row],[date]])</f>
        <v>2020</v>
      </c>
      <c r="L608" t="str">
        <f>TEXT(NetflixData[[#This Row],[date]],"mmm")</f>
        <v>May</v>
      </c>
      <c r="M608" t="str">
        <f>TEXT(NetflixData[[#This Row],[date]],"mmm yyyy")</f>
        <v>May 2020</v>
      </c>
      <c r="N608" t="str">
        <f t="shared" si="27"/>
        <v>Trading Day</v>
      </c>
      <c r="O608" t="str">
        <f t="shared" si="28"/>
        <v>No Change</v>
      </c>
      <c r="P608" t="str">
        <f t="shared" si="29"/>
        <v>Positive</v>
      </c>
    </row>
    <row r="609" spans="1:16" x14ac:dyDescent="0.3">
      <c r="A609" s="1">
        <v>43962</v>
      </c>
      <c r="B609">
        <v>44.05</v>
      </c>
      <c r="C609">
        <v>54860000</v>
      </c>
      <c r="D609">
        <v>0.96</v>
      </c>
      <c r="E609">
        <v>84</v>
      </c>
      <c r="F609">
        <v>3.36</v>
      </c>
      <c r="G609">
        <v>0.32919999999999999</v>
      </c>
      <c r="H609">
        <v>6</v>
      </c>
      <c r="I609">
        <v>6.58</v>
      </c>
      <c r="J609">
        <v>1</v>
      </c>
      <c r="K609">
        <f>YEAR(NetflixData[[#This Row],[date]])</f>
        <v>2020</v>
      </c>
      <c r="L609" t="str">
        <f>TEXT(NetflixData[[#This Row],[date]],"mmm")</f>
        <v>May</v>
      </c>
      <c r="M609" t="str">
        <f>TEXT(NetflixData[[#This Row],[date]],"mmm yyyy")</f>
        <v>May 2020</v>
      </c>
      <c r="N609" t="str">
        <f t="shared" si="27"/>
        <v>Trading Day</v>
      </c>
      <c r="O609" t="str">
        <f t="shared" si="28"/>
        <v>Positive</v>
      </c>
      <c r="P609" t="str">
        <f t="shared" si="29"/>
        <v>Positive</v>
      </c>
    </row>
    <row r="610" spans="1:16" x14ac:dyDescent="0.3">
      <c r="A610" s="1">
        <v>43963</v>
      </c>
      <c r="B610">
        <v>43.18</v>
      </c>
      <c r="C610">
        <v>45982000</v>
      </c>
      <c r="D610">
        <v>-2.3029999999999999</v>
      </c>
      <c r="E610">
        <v>91</v>
      </c>
      <c r="F610">
        <v>3.24</v>
      </c>
      <c r="G610">
        <v>0.22559999999999999</v>
      </c>
      <c r="H610">
        <v>4</v>
      </c>
      <c r="I610">
        <v>5.6</v>
      </c>
      <c r="J610">
        <v>1</v>
      </c>
      <c r="K610">
        <f>YEAR(NetflixData[[#This Row],[date]])</f>
        <v>2020</v>
      </c>
      <c r="L610" t="str">
        <f>TEXT(NetflixData[[#This Row],[date]],"mmm")</f>
        <v>May</v>
      </c>
      <c r="M610" t="str">
        <f>TEXT(NetflixData[[#This Row],[date]],"mmm yyyy")</f>
        <v>May 2020</v>
      </c>
      <c r="N610" t="str">
        <f t="shared" si="27"/>
        <v>Trading Day</v>
      </c>
      <c r="O610" t="str">
        <f t="shared" si="28"/>
        <v>Negative</v>
      </c>
      <c r="P610" t="str">
        <f t="shared" si="29"/>
        <v>Positive</v>
      </c>
    </row>
    <row r="611" spans="1:16" x14ac:dyDescent="0.3">
      <c r="A611" s="1">
        <v>43964</v>
      </c>
      <c r="B611">
        <v>43.83</v>
      </c>
      <c r="C611">
        <v>70146000</v>
      </c>
      <c r="D611">
        <v>0.59199999999999997</v>
      </c>
      <c r="E611">
        <v>81</v>
      </c>
      <c r="F611">
        <v>3.38</v>
      </c>
      <c r="G611">
        <v>0.31590000000000001</v>
      </c>
      <c r="H611">
        <v>2</v>
      </c>
      <c r="I611">
        <v>6.75</v>
      </c>
      <c r="J611">
        <v>1</v>
      </c>
      <c r="K611">
        <f>YEAR(NetflixData[[#This Row],[date]])</f>
        <v>2020</v>
      </c>
      <c r="L611" t="str">
        <f>TEXT(NetflixData[[#This Row],[date]],"mmm")</f>
        <v>May</v>
      </c>
      <c r="M611" t="str">
        <f>TEXT(NetflixData[[#This Row],[date]],"mmm yyyy")</f>
        <v>May 2020</v>
      </c>
      <c r="N611" t="str">
        <f t="shared" si="27"/>
        <v>Trading Day</v>
      </c>
      <c r="O611" t="str">
        <f t="shared" si="28"/>
        <v>Positive</v>
      </c>
      <c r="P611" t="str">
        <f t="shared" si="29"/>
        <v>Positive</v>
      </c>
    </row>
    <row r="612" spans="1:16" x14ac:dyDescent="0.3">
      <c r="A612" s="1">
        <v>43965</v>
      </c>
      <c r="B612">
        <v>44.19</v>
      </c>
      <c r="C612">
        <v>90075000</v>
      </c>
      <c r="D612">
        <v>-0.66300000000000003</v>
      </c>
      <c r="E612">
        <v>103</v>
      </c>
      <c r="F612">
        <v>3.53</v>
      </c>
      <c r="G612">
        <v>0.43140000000000001</v>
      </c>
      <c r="H612">
        <v>9</v>
      </c>
      <c r="I612">
        <v>5.84</v>
      </c>
      <c r="J612">
        <v>1</v>
      </c>
      <c r="K612">
        <f>YEAR(NetflixData[[#This Row],[date]])</f>
        <v>2020</v>
      </c>
      <c r="L612" t="str">
        <f>TEXT(NetflixData[[#This Row],[date]],"mmm")</f>
        <v>May</v>
      </c>
      <c r="M612" t="str">
        <f>TEXT(NetflixData[[#This Row],[date]],"mmm yyyy")</f>
        <v>May 2020</v>
      </c>
      <c r="N612" t="str">
        <f t="shared" si="27"/>
        <v>Trading Day</v>
      </c>
      <c r="O612" t="str">
        <f t="shared" si="28"/>
        <v>Negative</v>
      </c>
      <c r="P612" t="str">
        <f t="shared" si="29"/>
        <v>Positive</v>
      </c>
    </row>
    <row r="613" spans="1:16" x14ac:dyDescent="0.3">
      <c r="A613" s="1">
        <v>43966</v>
      </c>
      <c r="B613">
        <v>45.42</v>
      </c>
      <c r="C613">
        <v>72440000</v>
      </c>
      <c r="D613">
        <v>3.0609999999999999</v>
      </c>
      <c r="E613">
        <v>81</v>
      </c>
      <c r="F613">
        <v>2.98</v>
      </c>
      <c r="G613">
        <v>0.2432</v>
      </c>
      <c r="H613">
        <v>16</v>
      </c>
      <c r="I613">
        <v>6.6</v>
      </c>
      <c r="J613">
        <v>1</v>
      </c>
      <c r="K613">
        <f>YEAR(NetflixData[[#This Row],[date]])</f>
        <v>2020</v>
      </c>
      <c r="L613" t="str">
        <f>TEXT(NetflixData[[#This Row],[date]],"mmm")</f>
        <v>May</v>
      </c>
      <c r="M613" t="str">
        <f>TEXT(NetflixData[[#This Row],[date]],"mmm yyyy")</f>
        <v>May 2020</v>
      </c>
      <c r="N613" t="str">
        <f t="shared" si="27"/>
        <v>Non-Trading Day</v>
      </c>
      <c r="O613" t="str">
        <f t="shared" si="28"/>
        <v>Positive</v>
      </c>
      <c r="P613" t="str">
        <f t="shared" si="29"/>
        <v>Positive</v>
      </c>
    </row>
    <row r="614" spans="1:16" x14ac:dyDescent="0.3">
      <c r="A614" s="1">
        <v>43967</v>
      </c>
      <c r="B614">
        <v>45.42</v>
      </c>
      <c r="C614">
        <v>0</v>
      </c>
      <c r="D614">
        <v>0</v>
      </c>
      <c r="E614">
        <v>88</v>
      </c>
      <c r="F614">
        <v>3.18</v>
      </c>
      <c r="G614">
        <v>0.24249999999999999</v>
      </c>
      <c r="H614">
        <v>2</v>
      </c>
      <c r="I614">
        <v>7.7</v>
      </c>
      <c r="J614">
        <v>0</v>
      </c>
      <c r="K614">
        <f>YEAR(NetflixData[[#This Row],[date]])</f>
        <v>2020</v>
      </c>
      <c r="L614" t="str">
        <f>TEXT(NetflixData[[#This Row],[date]],"mmm")</f>
        <v>May</v>
      </c>
      <c r="M614" t="str">
        <f>TEXT(NetflixData[[#This Row],[date]],"mmm yyyy")</f>
        <v>May 2020</v>
      </c>
      <c r="N614" t="str">
        <f t="shared" si="27"/>
        <v>Non-Trading Day</v>
      </c>
      <c r="O614" t="str">
        <f t="shared" si="28"/>
        <v>No Change</v>
      </c>
      <c r="P614" t="str">
        <f t="shared" si="29"/>
        <v>Positive</v>
      </c>
    </row>
    <row r="615" spans="1:16" x14ac:dyDescent="0.3">
      <c r="A615" s="1">
        <v>43968</v>
      </c>
      <c r="B615">
        <v>45.42</v>
      </c>
      <c r="C615">
        <v>0</v>
      </c>
      <c r="D615">
        <v>0</v>
      </c>
      <c r="E615">
        <v>94</v>
      </c>
      <c r="F615">
        <v>3.56</v>
      </c>
      <c r="G615">
        <v>0.3352</v>
      </c>
      <c r="H615">
        <v>3</v>
      </c>
      <c r="I615">
        <v>6</v>
      </c>
      <c r="J615">
        <v>0</v>
      </c>
      <c r="K615">
        <f>YEAR(NetflixData[[#This Row],[date]])</f>
        <v>2020</v>
      </c>
      <c r="L615" t="str">
        <f>TEXT(NetflixData[[#This Row],[date]],"mmm")</f>
        <v>May</v>
      </c>
      <c r="M615" t="str">
        <f>TEXT(NetflixData[[#This Row],[date]],"mmm yyyy")</f>
        <v>May 2020</v>
      </c>
      <c r="N615" t="str">
        <f t="shared" si="27"/>
        <v>Trading Day</v>
      </c>
      <c r="O615" t="str">
        <f t="shared" si="28"/>
        <v>No Change</v>
      </c>
      <c r="P615" t="str">
        <f t="shared" si="29"/>
        <v>Positive</v>
      </c>
    </row>
    <row r="616" spans="1:16" x14ac:dyDescent="0.3">
      <c r="A616" s="1">
        <v>43969</v>
      </c>
      <c r="B616">
        <v>45.26</v>
      </c>
      <c r="C616">
        <v>77735000</v>
      </c>
      <c r="D616">
        <v>0.315</v>
      </c>
      <c r="E616">
        <v>84</v>
      </c>
      <c r="F616">
        <v>2.98</v>
      </c>
      <c r="G616">
        <v>0.23100000000000001</v>
      </c>
      <c r="H616">
        <v>2</v>
      </c>
      <c r="I616">
        <v>6.8</v>
      </c>
      <c r="J616">
        <v>1</v>
      </c>
      <c r="K616">
        <f>YEAR(NetflixData[[#This Row],[date]])</f>
        <v>2020</v>
      </c>
      <c r="L616" t="str">
        <f>TEXT(NetflixData[[#This Row],[date]],"mmm")</f>
        <v>May</v>
      </c>
      <c r="M616" t="str">
        <f>TEXT(NetflixData[[#This Row],[date]],"mmm yyyy")</f>
        <v>May 2020</v>
      </c>
      <c r="N616" t="str">
        <f t="shared" si="27"/>
        <v>Trading Day</v>
      </c>
      <c r="O616" t="str">
        <f t="shared" si="28"/>
        <v>Positive</v>
      </c>
      <c r="P616" t="str">
        <f t="shared" si="29"/>
        <v>Positive</v>
      </c>
    </row>
    <row r="617" spans="1:16" x14ac:dyDescent="0.3">
      <c r="A617" s="1">
        <v>43970</v>
      </c>
      <c r="B617">
        <v>45.1</v>
      </c>
      <c r="C617">
        <v>48105000</v>
      </c>
      <c r="D617">
        <v>-0.52100000000000002</v>
      </c>
      <c r="E617">
        <v>101</v>
      </c>
      <c r="F617">
        <v>3.59</v>
      </c>
      <c r="G617">
        <v>0.38240000000000002</v>
      </c>
      <c r="H617">
        <v>13</v>
      </c>
      <c r="I617">
        <v>6.07</v>
      </c>
      <c r="J617">
        <v>1</v>
      </c>
      <c r="K617">
        <f>YEAR(NetflixData[[#This Row],[date]])</f>
        <v>2020</v>
      </c>
      <c r="L617" t="str">
        <f>TEXT(NetflixData[[#This Row],[date]],"mmm")</f>
        <v>May</v>
      </c>
      <c r="M617" t="str">
        <f>TEXT(NetflixData[[#This Row],[date]],"mmm yyyy")</f>
        <v>May 2020</v>
      </c>
      <c r="N617" t="str">
        <f t="shared" si="27"/>
        <v>Trading Day</v>
      </c>
      <c r="O617" t="str">
        <f t="shared" si="28"/>
        <v>Negative</v>
      </c>
      <c r="P617" t="str">
        <f t="shared" si="29"/>
        <v>Positive</v>
      </c>
    </row>
    <row r="618" spans="1:16" x14ac:dyDescent="0.3">
      <c r="A618" s="1">
        <v>43971</v>
      </c>
      <c r="B618">
        <v>44.77</v>
      </c>
      <c r="C618">
        <v>56073000</v>
      </c>
      <c r="D618">
        <v>-1.4490000000000001</v>
      </c>
      <c r="E618">
        <v>116</v>
      </c>
      <c r="F618">
        <v>3.46</v>
      </c>
      <c r="G618">
        <v>0.27910000000000001</v>
      </c>
      <c r="H618">
        <v>10</v>
      </c>
      <c r="I618">
        <v>5.86</v>
      </c>
      <c r="J618">
        <v>1</v>
      </c>
      <c r="K618">
        <f>YEAR(NetflixData[[#This Row],[date]])</f>
        <v>2020</v>
      </c>
      <c r="L618" t="str">
        <f>TEXT(NetflixData[[#This Row],[date]],"mmm")</f>
        <v>May</v>
      </c>
      <c r="M618" t="str">
        <f>TEXT(NetflixData[[#This Row],[date]],"mmm yyyy")</f>
        <v>May 2020</v>
      </c>
      <c r="N618" t="str">
        <f t="shared" si="27"/>
        <v>Trading Day</v>
      </c>
      <c r="O618" t="str">
        <f t="shared" si="28"/>
        <v>Negative</v>
      </c>
      <c r="P618" t="str">
        <f t="shared" si="29"/>
        <v>Positive</v>
      </c>
    </row>
    <row r="619" spans="1:16" x14ac:dyDescent="0.3">
      <c r="A619" s="1">
        <v>43972</v>
      </c>
      <c r="B619">
        <v>43.62</v>
      </c>
      <c r="C619">
        <v>91173000</v>
      </c>
      <c r="D619">
        <v>-2.7440000000000002</v>
      </c>
      <c r="E619">
        <v>79</v>
      </c>
      <c r="F619">
        <v>3.38</v>
      </c>
      <c r="G619">
        <v>0.30220000000000002</v>
      </c>
      <c r="H619">
        <v>12</v>
      </c>
      <c r="I619">
        <v>5.9</v>
      </c>
      <c r="J619">
        <v>1</v>
      </c>
      <c r="K619">
        <f>YEAR(NetflixData[[#This Row],[date]])</f>
        <v>2020</v>
      </c>
      <c r="L619" t="str">
        <f>TEXT(NetflixData[[#This Row],[date]],"mmm")</f>
        <v>May</v>
      </c>
      <c r="M619" t="str">
        <f>TEXT(NetflixData[[#This Row],[date]],"mmm yyyy")</f>
        <v>May 2020</v>
      </c>
      <c r="N619" t="str">
        <f t="shared" si="27"/>
        <v>Trading Day</v>
      </c>
      <c r="O619" t="str">
        <f t="shared" si="28"/>
        <v>Negative</v>
      </c>
      <c r="P619" t="str">
        <f t="shared" si="29"/>
        <v>Positive</v>
      </c>
    </row>
    <row r="620" spans="1:16" x14ac:dyDescent="0.3">
      <c r="A620" s="1">
        <v>43973</v>
      </c>
      <c r="B620">
        <v>42.93</v>
      </c>
      <c r="C620">
        <v>54223000</v>
      </c>
      <c r="D620">
        <v>-1.7569999999999999</v>
      </c>
      <c r="E620">
        <v>83</v>
      </c>
      <c r="F620">
        <v>2.83</v>
      </c>
      <c r="G620">
        <v>0.27860000000000001</v>
      </c>
      <c r="H620">
        <v>6</v>
      </c>
      <c r="I620">
        <v>6.48</v>
      </c>
      <c r="J620">
        <v>1</v>
      </c>
      <c r="K620">
        <f>YEAR(NetflixData[[#This Row],[date]])</f>
        <v>2020</v>
      </c>
      <c r="L620" t="str">
        <f>TEXT(NetflixData[[#This Row],[date]],"mmm")</f>
        <v>May</v>
      </c>
      <c r="M620" t="str">
        <f>TEXT(NetflixData[[#This Row],[date]],"mmm yyyy")</f>
        <v>May 2020</v>
      </c>
      <c r="N620" t="str">
        <f t="shared" si="27"/>
        <v>Non-Trading Day</v>
      </c>
      <c r="O620" t="str">
        <f t="shared" si="28"/>
        <v>Negative</v>
      </c>
      <c r="P620" t="str">
        <f t="shared" si="29"/>
        <v>Positive</v>
      </c>
    </row>
    <row r="621" spans="1:16" x14ac:dyDescent="0.3">
      <c r="A621" s="1">
        <v>43974</v>
      </c>
      <c r="B621">
        <v>42.93</v>
      </c>
      <c r="C621">
        <v>0</v>
      </c>
      <c r="D621">
        <v>0</v>
      </c>
      <c r="E621">
        <v>94</v>
      </c>
      <c r="F621">
        <v>3.13</v>
      </c>
      <c r="G621">
        <v>0.25569999999999998</v>
      </c>
      <c r="H621">
        <v>3</v>
      </c>
      <c r="I621">
        <v>6.9</v>
      </c>
      <c r="J621">
        <v>0</v>
      </c>
      <c r="K621">
        <f>YEAR(NetflixData[[#This Row],[date]])</f>
        <v>2020</v>
      </c>
      <c r="L621" t="str">
        <f>TEXT(NetflixData[[#This Row],[date]],"mmm")</f>
        <v>May</v>
      </c>
      <c r="M621" t="str">
        <f>TEXT(NetflixData[[#This Row],[date]],"mmm yyyy")</f>
        <v>May 2020</v>
      </c>
      <c r="N621" t="str">
        <f t="shared" si="27"/>
        <v>Non-Trading Day</v>
      </c>
      <c r="O621" t="str">
        <f t="shared" si="28"/>
        <v>No Change</v>
      </c>
      <c r="P621" t="str">
        <f t="shared" si="29"/>
        <v>Positive</v>
      </c>
    </row>
    <row r="622" spans="1:16" x14ac:dyDescent="0.3">
      <c r="A622" s="1">
        <v>43975</v>
      </c>
      <c r="B622">
        <v>42.93</v>
      </c>
      <c r="C622">
        <v>0</v>
      </c>
      <c r="D622">
        <v>0</v>
      </c>
      <c r="E622">
        <v>84</v>
      </c>
      <c r="F622">
        <v>3.4</v>
      </c>
      <c r="G622">
        <v>0.33650000000000002</v>
      </c>
      <c r="H622">
        <v>1</v>
      </c>
      <c r="I622">
        <v>5.5</v>
      </c>
      <c r="J622">
        <v>0</v>
      </c>
      <c r="K622">
        <f>YEAR(NetflixData[[#This Row],[date]])</f>
        <v>2020</v>
      </c>
      <c r="L622" t="str">
        <f>TEXT(NetflixData[[#This Row],[date]],"mmm")</f>
        <v>May</v>
      </c>
      <c r="M622" t="str">
        <f>TEXT(NetflixData[[#This Row],[date]],"mmm yyyy")</f>
        <v>May 2020</v>
      </c>
      <c r="N622" t="str">
        <f t="shared" si="27"/>
        <v>Non-Trading Day</v>
      </c>
      <c r="O622" t="str">
        <f t="shared" si="28"/>
        <v>No Change</v>
      </c>
      <c r="P622" t="str">
        <f t="shared" si="29"/>
        <v>Positive</v>
      </c>
    </row>
    <row r="623" spans="1:16" x14ac:dyDescent="0.3">
      <c r="A623" s="1">
        <v>43976</v>
      </c>
      <c r="B623">
        <v>42.93</v>
      </c>
      <c r="C623">
        <v>0</v>
      </c>
      <c r="D623">
        <v>0</v>
      </c>
      <c r="E623">
        <v>123</v>
      </c>
      <c r="F623">
        <v>2.59</v>
      </c>
      <c r="G623">
        <v>0.15840000000000001</v>
      </c>
      <c r="H623">
        <v>6</v>
      </c>
      <c r="I623">
        <v>6.35</v>
      </c>
      <c r="J623">
        <v>0</v>
      </c>
      <c r="K623">
        <f>YEAR(NetflixData[[#This Row],[date]])</f>
        <v>2020</v>
      </c>
      <c r="L623" t="str">
        <f>TEXT(NetflixData[[#This Row],[date]],"mmm")</f>
        <v>May</v>
      </c>
      <c r="M623" t="str">
        <f>TEXT(NetflixData[[#This Row],[date]],"mmm yyyy")</f>
        <v>May 2020</v>
      </c>
      <c r="N623" t="str">
        <f t="shared" si="27"/>
        <v>Trading Day</v>
      </c>
      <c r="O623" t="str">
        <f t="shared" si="28"/>
        <v>No Change</v>
      </c>
      <c r="P623" t="str">
        <f t="shared" si="29"/>
        <v>Positive</v>
      </c>
    </row>
    <row r="624" spans="1:16" x14ac:dyDescent="0.3">
      <c r="A624" s="1">
        <v>43977</v>
      </c>
      <c r="B624">
        <v>41.48</v>
      </c>
      <c r="C624">
        <v>78811000</v>
      </c>
      <c r="D624">
        <v>-3.0390000000000001</v>
      </c>
      <c r="E624">
        <v>71</v>
      </c>
      <c r="F624">
        <v>3.3</v>
      </c>
      <c r="G624">
        <v>0.35980000000000001</v>
      </c>
      <c r="H624">
        <v>1</v>
      </c>
      <c r="J624">
        <v>1</v>
      </c>
      <c r="K624">
        <f>YEAR(NetflixData[[#This Row],[date]])</f>
        <v>2020</v>
      </c>
      <c r="L624" t="str">
        <f>TEXT(NetflixData[[#This Row],[date]],"mmm")</f>
        <v>May</v>
      </c>
      <c r="M624" t="str">
        <f>TEXT(NetflixData[[#This Row],[date]],"mmm yyyy")</f>
        <v>May 2020</v>
      </c>
      <c r="N624" t="str">
        <f t="shared" si="27"/>
        <v>Trading Day</v>
      </c>
      <c r="O624" t="str">
        <f t="shared" si="28"/>
        <v>Negative</v>
      </c>
      <c r="P624" t="str">
        <f t="shared" si="29"/>
        <v>Positive</v>
      </c>
    </row>
    <row r="625" spans="1:16" x14ac:dyDescent="0.3">
      <c r="A625" s="1">
        <v>43978</v>
      </c>
      <c r="B625">
        <v>41.99</v>
      </c>
      <c r="C625">
        <v>104463000</v>
      </c>
      <c r="D625">
        <v>2.3170000000000002</v>
      </c>
      <c r="E625">
        <v>91</v>
      </c>
      <c r="F625">
        <v>3.41</v>
      </c>
      <c r="G625">
        <v>0.36559999999999998</v>
      </c>
      <c r="H625">
        <v>2</v>
      </c>
      <c r="I625">
        <v>7.2</v>
      </c>
      <c r="J625">
        <v>1</v>
      </c>
      <c r="K625">
        <f>YEAR(NetflixData[[#This Row],[date]])</f>
        <v>2020</v>
      </c>
      <c r="L625" t="str">
        <f>TEXT(NetflixData[[#This Row],[date]],"mmm")</f>
        <v>May</v>
      </c>
      <c r="M625" t="str">
        <f>TEXT(NetflixData[[#This Row],[date]],"mmm yyyy")</f>
        <v>May 2020</v>
      </c>
      <c r="N625" t="str">
        <f t="shared" si="27"/>
        <v>Trading Day</v>
      </c>
      <c r="O625" t="str">
        <f t="shared" si="28"/>
        <v>Positive</v>
      </c>
      <c r="P625" t="str">
        <f t="shared" si="29"/>
        <v>Positive</v>
      </c>
    </row>
    <row r="626" spans="1:16" x14ac:dyDescent="0.3">
      <c r="A626" s="1">
        <v>43979</v>
      </c>
      <c r="B626">
        <v>41.34</v>
      </c>
      <c r="C626">
        <v>56551000</v>
      </c>
      <c r="D626">
        <v>-0.91100000000000003</v>
      </c>
      <c r="E626">
        <v>142</v>
      </c>
      <c r="F626">
        <v>3.37</v>
      </c>
      <c r="G626">
        <v>0.36020000000000002</v>
      </c>
      <c r="H626">
        <v>9</v>
      </c>
      <c r="I626">
        <v>5.72</v>
      </c>
      <c r="J626">
        <v>1</v>
      </c>
      <c r="K626">
        <f>YEAR(NetflixData[[#This Row],[date]])</f>
        <v>2020</v>
      </c>
      <c r="L626" t="str">
        <f>TEXT(NetflixData[[#This Row],[date]],"mmm")</f>
        <v>May</v>
      </c>
      <c r="M626" t="str">
        <f>TEXT(NetflixData[[#This Row],[date]],"mmm yyyy")</f>
        <v>May 2020</v>
      </c>
      <c r="N626" t="str">
        <f t="shared" si="27"/>
        <v>Trading Day</v>
      </c>
      <c r="O626" t="str">
        <f t="shared" si="28"/>
        <v>Negative</v>
      </c>
      <c r="P626" t="str">
        <f t="shared" si="29"/>
        <v>Positive</v>
      </c>
    </row>
    <row r="627" spans="1:16" x14ac:dyDescent="0.3">
      <c r="A627" s="1">
        <v>43980</v>
      </c>
      <c r="B627">
        <v>41.97</v>
      </c>
      <c r="C627">
        <v>52549000</v>
      </c>
      <c r="D627">
        <v>0.54400000000000004</v>
      </c>
      <c r="E627">
        <v>86</v>
      </c>
      <c r="F627">
        <v>3.41</v>
      </c>
      <c r="G627">
        <v>0.3523</v>
      </c>
      <c r="H627">
        <v>4</v>
      </c>
      <c r="I627">
        <v>5.93</v>
      </c>
      <c r="J627">
        <v>1</v>
      </c>
      <c r="K627">
        <f>YEAR(NetflixData[[#This Row],[date]])</f>
        <v>2020</v>
      </c>
      <c r="L627" t="str">
        <f>TEXT(NetflixData[[#This Row],[date]],"mmm")</f>
        <v>May</v>
      </c>
      <c r="M627" t="str">
        <f>TEXT(NetflixData[[#This Row],[date]],"mmm yyyy")</f>
        <v>May 2020</v>
      </c>
      <c r="N627" t="str">
        <f t="shared" si="27"/>
        <v>Non-Trading Day</v>
      </c>
      <c r="O627" t="str">
        <f t="shared" si="28"/>
        <v>Positive</v>
      </c>
      <c r="P627" t="str">
        <f t="shared" si="29"/>
        <v>Positive</v>
      </c>
    </row>
    <row r="628" spans="1:16" x14ac:dyDescent="0.3">
      <c r="A628" s="1">
        <v>43981</v>
      </c>
      <c r="B628">
        <v>41.97</v>
      </c>
      <c r="C628">
        <v>0</v>
      </c>
      <c r="D628">
        <v>0</v>
      </c>
      <c r="E628">
        <v>78</v>
      </c>
      <c r="F628">
        <v>2.96</v>
      </c>
      <c r="G628">
        <v>0.2525</v>
      </c>
      <c r="H628">
        <v>0</v>
      </c>
      <c r="J628">
        <v>0</v>
      </c>
      <c r="K628">
        <f>YEAR(NetflixData[[#This Row],[date]])</f>
        <v>2020</v>
      </c>
      <c r="L628" t="str">
        <f>TEXT(NetflixData[[#This Row],[date]],"mmm")</f>
        <v>May</v>
      </c>
      <c r="M628" t="str">
        <f>TEXT(NetflixData[[#This Row],[date]],"mmm yyyy")</f>
        <v>May 2020</v>
      </c>
      <c r="N628" t="str">
        <f t="shared" si="27"/>
        <v>Non-Trading Day</v>
      </c>
      <c r="O628" t="str">
        <f t="shared" si="28"/>
        <v>No Change</v>
      </c>
      <c r="P628" t="str">
        <f t="shared" si="29"/>
        <v>Positive</v>
      </c>
    </row>
    <row r="629" spans="1:16" x14ac:dyDescent="0.3">
      <c r="A629" s="1">
        <v>43982</v>
      </c>
      <c r="B629">
        <v>41.97</v>
      </c>
      <c r="C629">
        <v>0</v>
      </c>
      <c r="D629">
        <v>0</v>
      </c>
      <c r="E629">
        <v>87</v>
      </c>
      <c r="F629">
        <v>3.06</v>
      </c>
      <c r="G629">
        <v>0.19040000000000001</v>
      </c>
      <c r="H629">
        <v>1</v>
      </c>
      <c r="I629">
        <v>6.8</v>
      </c>
      <c r="J629">
        <v>0</v>
      </c>
      <c r="K629">
        <f>YEAR(NetflixData[[#This Row],[date]])</f>
        <v>2020</v>
      </c>
      <c r="L629" t="str">
        <f>TEXT(NetflixData[[#This Row],[date]],"mmm")</f>
        <v>May</v>
      </c>
      <c r="M629" t="str">
        <f>TEXT(NetflixData[[#This Row],[date]],"mmm yyyy")</f>
        <v>May 2020</v>
      </c>
      <c r="N629" t="str">
        <f t="shared" si="27"/>
        <v>Trading Day</v>
      </c>
      <c r="O629" t="str">
        <f t="shared" si="28"/>
        <v>No Change</v>
      </c>
      <c r="P629" t="str">
        <f t="shared" si="29"/>
        <v>Positive</v>
      </c>
    </row>
    <row r="630" spans="1:16" x14ac:dyDescent="0.3">
      <c r="A630" s="1">
        <v>43983</v>
      </c>
      <c r="B630">
        <v>42.59</v>
      </c>
      <c r="C630">
        <v>37437000</v>
      </c>
      <c r="D630">
        <v>1.6930000000000001</v>
      </c>
      <c r="E630">
        <v>66</v>
      </c>
      <c r="F630">
        <v>3.06</v>
      </c>
      <c r="G630">
        <v>0.1381</v>
      </c>
      <c r="H630">
        <v>26</v>
      </c>
      <c r="I630">
        <v>6.57</v>
      </c>
      <c r="J630">
        <v>1</v>
      </c>
      <c r="K630">
        <f>YEAR(NetflixData[[#This Row],[date]])</f>
        <v>2020</v>
      </c>
      <c r="L630" t="str">
        <f>TEXT(NetflixData[[#This Row],[date]],"mmm")</f>
        <v>Jun</v>
      </c>
      <c r="M630" t="str">
        <f>TEXT(NetflixData[[#This Row],[date]],"mmm yyyy")</f>
        <v>Jun 2020</v>
      </c>
      <c r="N630" t="str">
        <f t="shared" si="27"/>
        <v>Trading Day</v>
      </c>
      <c r="O630" t="str">
        <f t="shared" si="28"/>
        <v>Positive</v>
      </c>
      <c r="P630" t="str">
        <f t="shared" si="29"/>
        <v>Positive</v>
      </c>
    </row>
    <row r="631" spans="1:16" x14ac:dyDescent="0.3">
      <c r="A631" s="1">
        <v>43984</v>
      </c>
      <c r="B631">
        <v>42.73</v>
      </c>
      <c r="C631">
        <v>34948000</v>
      </c>
      <c r="D631">
        <v>0.33800000000000002</v>
      </c>
      <c r="E631">
        <v>64</v>
      </c>
      <c r="F631">
        <v>3.19</v>
      </c>
      <c r="G631">
        <v>0.16550000000000001</v>
      </c>
      <c r="H631">
        <v>12</v>
      </c>
      <c r="I631">
        <v>5.77</v>
      </c>
      <c r="J631">
        <v>1</v>
      </c>
      <c r="K631">
        <f>YEAR(NetflixData[[#This Row],[date]])</f>
        <v>2020</v>
      </c>
      <c r="L631" t="str">
        <f>TEXT(NetflixData[[#This Row],[date]],"mmm")</f>
        <v>Jun</v>
      </c>
      <c r="M631" t="str">
        <f>TEXT(NetflixData[[#This Row],[date]],"mmm yyyy")</f>
        <v>Jun 2020</v>
      </c>
      <c r="N631" t="str">
        <f t="shared" si="27"/>
        <v>Trading Day</v>
      </c>
      <c r="O631" t="str">
        <f t="shared" si="28"/>
        <v>Positive</v>
      </c>
      <c r="P631" t="str">
        <f t="shared" si="29"/>
        <v>Positive</v>
      </c>
    </row>
    <row r="632" spans="1:16" x14ac:dyDescent="0.3">
      <c r="A632" s="1">
        <v>43985</v>
      </c>
      <c r="B632">
        <v>42.2</v>
      </c>
      <c r="C632">
        <v>43160000</v>
      </c>
      <c r="D632">
        <v>-1.1659999999999999</v>
      </c>
      <c r="E632">
        <v>79</v>
      </c>
      <c r="F632">
        <v>3.41</v>
      </c>
      <c r="G632">
        <v>0.3674</v>
      </c>
      <c r="H632">
        <v>3</v>
      </c>
      <c r="I632">
        <v>7.45</v>
      </c>
      <c r="J632">
        <v>1</v>
      </c>
      <c r="K632">
        <f>YEAR(NetflixData[[#This Row],[date]])</f>
        <v>2020</v>
      </c>
      <c r="L632" t="str">
        <f>TEXT(NetflixData[[#This Row],[date]],"mmm")</f>
        <v>Jun</v>
      </c>
      <c r="M632" t="str">
        <f>TEXT(NetflixData[[#This Row],[date]],"mmm yyyy")</f>
        <v>Jun 2020</v>
      </c>
      <c r="N632" t="str">
        <f t="shared" si="27"/>
        <v>Trading Day</v>
      </c>
      <c r="O632" t="str">
        <f t="shared" si="28"/>
        <v>Negative</v>
      </c>
      <c r="P632" t="str">
        <f t="shared" si="29"/>
        <v>Positive</v>
      </c>
    </row>
    <row r="633" spans="1:16" x14ac:dyDescent="0.3">
      <c r="A633" s="1">
        <v>43986</v>
      </c>
      <c r="B633">
        <v>41.43</v>
      </c>
      <c r="C633">
        <v>54105000</v>
      </c>
      <c r="D633">
        <v>-1.9079999999999999</v>
      </c>
      <c r="E633">
        <v>89</v>
      </c>
      <c r="F633">
        <v>3.3</v>
      </c>
      <c r="G633">
        <v>0.3649</v>
      </c>
      <c r="H633">
        <v>3</v>
      </c>
      <c r="I633">
        <v>5.9</v>
      </c>
      <c r="J633">
        <v>1</v>
      </c>
      <c r="K633">
        <f>YEAR(NetflixData[[#This Row],[date]])</f>
        <v>2020</v>
      </c>
      <c r="L633" t="str">
        <f>TEXT(NetflixData[[#This Row],[date]],"mmm")</f>
        <v>Jun</v>
      </c>
      <c r="M633" t="str">
        <f>TEXT(NetflixData[[#This Row],[date]],"mmm yyyy")</f>
        <v>Jun 2020</v>
      </c>
      <c r="N633" t="str">
        <f t="shared" si="27"/>
        <v>Trading Day</v>
      </c>
      <c r="O633" t="str">
        <f t="shared" si="28"/>
        <v>Negative</v>
      </c>
      <c r="P633" t="str">
        <f t="shared" si="29"/>
        <v>Positive</v>
      </c>
    </row>
    <row r="634" spans="1:16" x14ac:dyDescent="0.3">
      <c r="A634" s="1">
        <v>43987</v>
      </c>
      <c r="B634">
        <v>41.96</v>
      </c>
      <c r="C634">
        <v>50996000</v>
      </c>
      <c r="D634">
        <v>3.0219999999999998</v>
      </c>
      <c r="E634">
        <v>98</v>
      </c>
      <c r="F634">
        <v>3.19</v>
      </c>
      <c r="G634">
        <v>0.2044</v>
      </c>
      <c r="H634">
        <v>9</v>
      </c>
      <c r="I634">
        <v>4.76</v>
      </c>
      <c r="J634">
        <v>1</v>
      </c>
      <c r="K634">
        <f>YEAR(NetflixData[[#This Row],[date]])</f>
        <v>2020</v>
      </c>
      <c r="L634" t="str">
        <f>TEXT(NetflixData[[#This Row],[date]],"mmm")</f>
        <v>Jun</v>
      </c>
      <c r="M634" t="str">
        <f>TEXT(NetflixData[[#This Row],[date]],"mmm yyyy")</f>
        <v>Jun 2020</v>
      </c>
      <c r="N634" t="str">
        <f t="shared" si="27"/>
        <v>Non-Trading Day</v>
      </c>
      <c r="O634" t="str">
        <f t="shared" si="28"/>
        <v>Positive</v>
      </c>
      <c r="P634" t="str">
        <f t="shared" si="29"/>
        <v>Positive</v>
      </c>
    </row>
    <row r="635" spans="1:16" x14ac:dyDescent="0.3">
      <c r="A635" s="1">
        <v>43988</v>
      </c>
      <c r="B635">
        <v>41.96</v>
      </c>
      <c r="C635">
        <v>0</v>
      </c>
      <c r="D635">
        <v>0</v>
      </c>
      <c r="E635">
        <v>88</v>
      </c>
      <c r="F635">
        <v>3.23</v>
      </c>
      <c r="G635">
        <v>0.28389999999999999</v>
      </c>
      <c r="H635">
        <v>3</v>
      </c>
      <c r="I635">
        <v>5.6</v>
      </c>
      <c r="J635">
        <v>0</v>
      </c>
      <c r="K635">
        <f>YEAR(NetflixData[[#This Row],[date]])</f>
        <v>2020</v>
      </c>
      <c r="L635" t="str">
        <f>TEXT(NetflixData[[#This Row],[date]],"mmm")</f>
        <v>Jun</v>
      </c>
      <c r="M635" t="str">
        <f>TEXT(NetflixData[[#This Row],[date]],"mmm yyyy")</f>
        <v>Jun 2020</v>
      </c>
      <c r="N635" t="str">
        <f t="shared" si="27"/>
        <v>Non-Trading Day</v>
      </c>
      <c r="O635" t="str">
        <f t="shared" si="28"/>
        <v>No Change</v>
      </c>
      <c r="P635" t="str">
        <f t="shared" si="29"/>
        <v>Positive</v>
      </c>
    </row>
    <row r="636" spans="1:16" x14ac:dyDescent="0.3">
      <c r="A636" s="1">
        <v>43989</v>
      </c>
      <c r="B636">
        <v>41.96</v>
      </c>
      <c r="C636">
        <v>0</v>
      </c>
      <c r="D636">
        <v>0</v>
      </c>
      <c r="E636">
        <v>74</v>
      </c>
      <c r="F636">
        <v>3.22</v>
      </c>
      <c r="G636">
        <v>0.23760000000000001</v>
      </c>
      <c r="H636">
        <v>3</v>
      </c>
      <c r="I636">
        <v>5.33</v>
      </c>
      <c r="J636">
        <v>0</v>
      </c>
      <c r="K636">
        <f>YEAR(NetflixData[[#This Row],[date]])</f>
        <v>2020</v>
      </c>
      <c r="L636" t="str">
        <f>TEXT(NetflixData[[#This Row],[date]],"mmm")</f>
        <v>Jun</v>
      </c>
      <c r="M636" t="str">
        <f>TEXT(NetflixData[[#This Row],[date]],"mmm yyyy")</f>
        <v>Jun 2020</v>
      </c>
      <c r="N636" t="str">
        <f t="shared" si="27"/>
        <v>Trading Day</v>
      </c>
      <c r="O636" t="str">
        <f t="shared" si="28"/>
        <v>No Change</v>
      </c>
      <c r="P636" t="str">
        <f t="shared" si="29"/>
        <v>Positive</v>
      </c>
    </row>
    <row r="637" spans="1:16" x14ac:dyDescent="0.3">
      <c r="A637" s="1">
        <v>43990</v>
      </c>
      <c r="B637">
        <v>41.95</v>
      </c>
      <c r="C637">
        <v>58515000</v>
      </c>
      <c r="D637">
        <v>0.83899999999999997</v>
      </c>
      <c r="E637">
        <v>82</v>
      </c>
      <c r="F637">
        <v>3.3</v>
      </c>
      <c r="G637">
        <v>0.309</v>
      </c>
      <c r="H637">
        <v>1</v>
      </c>
      <c r="I637">
        <v>6.4</v>
      </c>
      <c r="J637">
        <v>1</v>
      </c>
      <c r="K637">
        <f>YEAR(NetflixData[[#This Row],[date]])</f>
        <v>2020</v>
      </c>
      <c r="L637" t="str">
        <f>TEXT(NetflixData[[#This Row],[date]],"mmm")</f>
        <v>Jun</v>
      </c>
      <c r="M637" t="str">
        <f>TEXT(NetflixData[[#This Row],[date]],"mmm yyyy")</f>
        <v>Jun 2020</v>
      </c>
      <c r="N637" t="str">
        <f t="shared" si="27"/>
        <v>Trading Day</v>
      </c>
      <c r="O637" t="str">
        <f t="shared" si="28"/>
        <v>Positive</v>
      </c>
      <c r="P637" t="str">
        <f t="shared" si="29"/>
        <v>Positive</v>
      </c>
    </row>
    <row r="638" spans="1:16" x14ac:dyDescent="0.3">
      <c r="A638" s="1">
        <v>43991</v>
      </c>
      <c r="B638">
        <v>43.4</v>
      </c>
      <c r="C638">
        <v>67970000</v>
      </c>
      <c r="D638">
        <v>2.9409999999999998</v>
      </c>
      <c r="E638">
        <v>115</v>
      </c>
      <c r="F638">
        <v>3.2</v>
      </c>
      <c r="G638">
        <v>0.24279999999999999</v>
      </c>
      <c r="H638">
        <v>0</v>
      </c>
      <c r="J638">
        <v>1</v>
      </c>
      <c r="K638">
        <f>YEAR(NetflixData[[#This Row],[date]])</f>
        <v>2020</v>
      </c>
      <c r="L638" t="str">
        <f>TEXT(NetflixData[[#This Row],[date]],"mmm")</f>
        <v>Jun</v>
      </c>
      <c r="M638" t="str">
        <f>TEXT(NetflixData[[#This Row],[date]],"mmm yyyy")</f>
        <v>Jun 2020</v>
      </c>
      <c r="N638" t="str">
        <f t="shared" si="27"/>
        <v>Trading Day</v>
      </c>
      <c r="O638" t="str">
        <f t="shared" si="28"/>
        <v>Positive</v>
      </c>
      <c r="P638" t="str">
        <f t="shared" si="29"/>
        <v>Positive</v>
      </c>
    </row>
    <row r="639" spans="1:16" x14ac:dyDescent="0.3">
      <c r="A639" s="1">
        <v>43992</v>
      </c>
      <c r="B639">
        <v>43.45</v>
      </c>
      <c r="C639">
        <v>48969000</v>
      </c>
      <c r="D639">
        <v>-0.34899999999999998</v>
      </c>
      <c r="E639">
        <v>101</v>
      </c>
      <c r="F639">
        <v>3.18</v>
      </c>
      <c r="G639">
        <v>0.34060000000000001</v>
      </c>
      <c r="H639">
        <v>7</v>
      </c>
      <c r="I639">
        <v>7.2</v>
      </c>
      <c r="J639">
        <v>1</v>
      </c>
      <c r="K639">
        <f>YEAR(NetflixData[[#This Row],[date]])</f>
        <v>2020</v>
      </c>
      <c r="L639" t="str">
        <f>TEXT(NetflixData[[#This Row],[date]],"mmm")</f>
        <v>Jun</v>
      </c>
      <c r="M639" t="str">
        <f>TEXT(NetflixData[[#This Row],[date]],"mmm yyyy")</f>
        <v>Jun 2020</v>
      </c>
      <c r="N639" t="str">
        <f t="shared" si="27"/>
        <v>Trading Day</v>
      </c>
      <c r="O639" t="str">
        <f t="shared" si="28"/>
        <v>Negative</v>
      </c>
      <c r="P639" t="str">
        <f t="shared" si="29"/>
        <v>Positive</v>
      </c>
    </row>
    <row r="640" spans="1:16" x14ac:dyDescent="0.3">
      <c r="A640" s="1">
        <v>43993</v>
      </c>
      <c r="B640">
        <v>42.56</v>
      </c>
      <c r="C640">
        <v>74629000</v>
      </c>
      <c r="D640">
        <v>-0.61699999999999999</v>
      </c>
      <c r="E640">
        <v>64</v>
      </c>
      <c r="F640">
        <v>3.12</v>
      </c>
      <c r="G640">
        <v>0.17319999999999999</v>
      </c>
      <c r="H640">
        <v>3</v>
      </c>
      <c r="I640">
        <v>7.2</v>
      </c>
      <c r="J640">
        <v>1</v>
      </c>
      <c r="K640">
        <f>YEAR(NetflixData[[#This Row],[date]])</f>
        <v>2020</v>
      </c>
      <c r="L640" t="str">
        <f>TEXT(NetflixData[[#This Row],[date]],"mmm")</f>
        <v>Jun</v>
      </c>
      <c r="M640" t="str">
        <f>TEXT(NetflixData[[#This Row],[date]],"mmm yyyy")</f>
        <v>Jun 2020</v>
      </c>
      <c r="N640" t="str">
        <f t="shared" si="27"/>
        <v>Trading Day</v>
      </c>
      <c r="O640" t="str">
        <f t="shared" si="28"/>
        <v>Negative</v>
      </c>
      <c r="P640" t="str">
        <f t="shared" si="29"/>
        <v>Positive</v>
      </c>
    </row>
    <row r="641" spans="1:16" x14ac:dyDescent="0.3">
      <c r="A641" s="1">
        <v>43994</v>
      </c>
      <c r="B641">
        <v>41.81</v>
      </c>
      <c r="C641">
        <v>64611000</v>
      </c>
      <c r="D641">
        <v>-2.548</v>
      </c>
      <c r="E641">
        <v>92</v>
      </c>
      <c r="F641">
        <v>3.34</v>
      </c>
      <c r="G641">
        <v>0.2359</v>
      </c>
      <c r="H641">
        <v>15</v>
      </c>
      <c r="I641">
        <v>6.62</v>
      </c>
      <c r="J641">
        <v>1</v>
      </c>
      <c r="K641">
        <f>YEAR(NetflixData[[#This Row],[date]])</f>
        <v>2020</v>
      </c>
      <c r="L641" t="str">
        <f>TEXT(NetflixData[[#This Row],[date]],"mmm")</f>
        <v>Jun</v>
      </c>
      <c r="M641" t="str">
        <f>TEXT(NetflixData[[#This Row],[date]],"mmm yyyy")</f>
        <v>Jun 2020</v>
      </c>
      <c r="N641" t="str">
        <f t="shared" si="27"/>
        <v>Non-Trading Day</v>
      </c>
      <c r="O641" t="str">
        <f t="shared" si="28"/>
        <v>Negative</v>
      </c>
      <c r="P641" t="str">
        <f t="shared" si="29"/>
        <v>Positive</v>
      </c>
    </row>
    <row r="642" spans="1:16" x14ac:dyDescent="0.3">
      <c r="A642" s="1">
        <v>43995</v>
      </c>
      <c r="B642">
        <v>41.81</v>
      </c>
      <c r="C642">
        <v>0</v>
      </c>
      <c r="D642">
        <v>0</v>
      </c>
      <c r="E642">
        <v>82</v>
      </c>
      <c r="F642">
        <v>3.23</v>
      </c>
      <c r="G642">
        <v>0.29949999999999999</v>
      </c>
      <c r="H642">
        <v>5</v>
      </c>
      <c r="I642">
        <v>5.27</v>
      </c>
      <c r="J642">
        <v>0</v>
      </c>
      <c r="K642">
        <f>YEAR(NetflixData[[#This Row],[date]])</f>
        <v>2020</v>
      </c>
      <c r="L642" t="str">
        <f>TEXT(NetflixData[[#This Row],[date]],"mmm")</f>
        <v>Jun</v>
      </c>
      <c r="M642" t="str">
        <f>TEXT(NetflixData[[#This Row],[date]],"mmm yyyy")</f>
        <v>Jun 2020</v>
      </c>
      <c r="N642" t="str">
        <f t="shared" ref="N642:N705" si="30">IF(J643=1,"Trading Day","Non-Trading Day")</f>
        <v>Non-Trading Day</v>
      </c>
      <c r="O642" t="str">
        <f t="shared" ref="O642:O705" si="31">IF(D642&gt;0,"Positive",IF(D642&lt;0,"Negative","No Change"))</f>
        <v>No Change</v>
      </c>
      <c r="P642" t="str">
        <f t="shared" ref="P642:P705" si="32">IF(G642&gt;0.1,"Positive",IF(G642&lt;-0.1,"Negative","Neutral"))</f>
        <v>Positive</v>
      </c>
    </row>
    <row r="643" spans="1:16" x14ac:dyDescent="0.3">
      <c r="A643" s="1">
        <v>43996</v>
      </c>
      <c r="B643">
        <v>41.81</v>
      </c>
      <c r="C643">
        <v>0</v>
      </c>
      <c r="D643">
        <v>0</v>
      </c>
      <c r="E643">
        <v>76</v>
      </c>
      <c r="F643">
        <v>3.03</v>
      </c>
      <c r="G643">
        <v>0.2787</v>
      </c>
      <c r="H643">
        <v>1</v>
      </c>
      <c r="J643">
        <v>0</v>
      </c>
      <c r="K643">
        <f>YEAR(NetflixData[[#This Row],[date]])</f>
        <v>2020</v>
      </c>
      <c r="L643" t="str">
        <f>TEXT(NetflixData[[#This Row],[date]],"mmm")</f>
        <v>Jun</v>
      </c>
      <c r="M643" t="str">
        <f>TEXT(NetflixData[[#This Row],[date]],"mmm yyyy")</f>
        <v>Jun 2020</v>
      </c>
      <c r="N643" t="str">
        <f t="shared" si="30"/>
        <v>Trading Day</v>
      </c>
      <c r="O643" t="str">
        <f t="shared" si="31"/>
        <v>No Change</v>
      </c>
      <c r="P643" t="str">
        <f t="shared" si="32"/>
        <v>Positive</v>
      </c>
    </row>
    <row r="644" spans="1:16" x14ac:dyDescent="0.3">
      <c r="A644" s="1">
        <v>43997</v>
      </c>
      <c r="B644">
        <v>42.55</v>
      </c>
      <c r="C644">
        <v>44679000</v>
      </c>
      <c r="D644">
        <v>0.97299999999999998</v>
      </c>
      <c r="E644">
        <v>73</v>
      </c>
      <c r="F644">
        <v>3.3</v>
      </c>
      <c r="G644">
        <v>0.33910000000000001</v>
      </c>
      <c r="H644">
        <v>5</v>
      </c>
      <c r="I644">
        <v>6.38</v>
      </c>
      <c r="J644">
        <v>1</v>
      </c>
      <c r="K644">
        <f>YEAR(NetflixData[[#This Row],[date]])</f>
        <v>2020</v>
      </c>
      <c r="L644" t="str">
        <f>TEXT(NetflixData[[#This Row],[date]],"mmm")</f>
        <v>Jun</v>
      </c>
      <c r="M644" t="str">
        <f>TEXT(NetflixData[[#This Row],[date]],"mmm yyyy")</f>
        <v>Jun 2020</v>
      </c>
      <c r="N644" t="str">
        <f t="shared" si="30"/>
        <v>Trading Day</v>
      </c>
      <c r="O644" t="str">
        <f t="shared" si="31"/>
        <v>Positive</v>
      </c>
      <c r="P644" t="str">
        <f t="shared" si="32"/>
        <v>Positive</v>
      </c>
    </row>
    <row r="645" spans="1:16" x14ac:dyDescent="0.3">
      <c r="A645" s="1">
        <v>43998</v>
      </c>
      <c r="B645">
        <v>43.61</v>
      </c>
      <c r="C645">
        <v>55079000</v>
      </c>
      <c r="D645">
        <v>2.4359999999999999</v>
      </c>
      <c r="E645">
        <v>92</v>
      </c>
      <c r="F645">
        <v>3.05</v>
      </c>
      <c r="G645">
        <v>0.2185</v>
      </c>
      <c r="H645">
        <v>2</v>
      </c>
      <c r="I645">
        <v>4.4000000000000004</v>
      </c>
      <c r="J645">
        <v>1</v>
      </c>
      <c r="K645">
        <f>YEAR(NetflixData[[#This Row],[date]])</f>
        <v>2020</v>
      </c>
      <c r="L645" t="str">
        <f>TEXT(NetflixData[[#This Row],[date]],"mmm")</f>
        <v>Jun</v>
      </c>
      <c r="M645" t="str">
        <f>TEXT(NetflixData[[#This Row],[date]],"mmm yyyy")</f>
        <v>Jun 2020</v>
      </c>
      <c r="N645" t="str">
        <f t="shared" si="30"/>
        <v>Trading Day</v>
      </c>
      <c r="O645" t="str">
        <f t="shared" si="31"/>
        <v>Positive</v>
      </c>
      <c r="P645" t="str">
        <f t="shared" si="32"/>
        <v>Positive</v>
      </c>
    </row>
    <row r="646" spans="1:16" x14ac:dyDescent="0.3">
      <c r="A646" s="1">
        <v>43999</v>
      </c>
      <c r="B646">
        <v>44.78</v>
      </c>
      <c r="C646">
        <v>65296000</v>
      </c>
      <c r="D646">
        <v>1.347</v>
      </c>
      <c r="E646">
        <v>86</v>
      </c>
      <c r="F646">
        <v>2.94</v>
      </c>
      <c r="G646">
        <v>0.1888</v>
      </c>
      <c r="H646">
        <v>2</v>
      </c>
      <c r="I646">
        <v>5.2</v>
      </c>
      <c r="J646">
        <v>1</v>
      </c>
      <c r="K646">
        <f>YEAR(NetflixData[[#This Row],[date]])</f>
        <v>2020</v>
      </c>
      <c r="L646" t="str">
        <f>TEXT(NetflixData[[#This Row],[date]],"mmm")</f>
        <v>Jun</v>
      </c>
      <c r="M646" t="str">
        <f>TEXT(NetflixData[[#This Row],[date]],"mmm yyyy")</f>
        <v>Jun 2020</v>
      </c>
      <c r="N646" t="str">
        <f t="shared" si="30"/>
        <v>Trading Day</v>
      </c>
      <c r="O646" t="str">
        <f t="shared" si="31"/>
        <v>Positive</v>
      </c>
      <c r="P646" t="str">
        <f t="shared" si="32"/>
        <v>Positive</v>
      </c>
    </row>
    <row r="647" spans="1:16" x14ac:dyDescent="0.3">
      <c r="A647" s="1">
        <v>44000</v>
      </c>
      <c r="B647">
        <v>44.99</v>
      </c>
      <c r="C647">
        <v>42776000</v>
      </c>
      <c r="D647">
        <v>0.254</v>
      </c>
      <c r="E647">
        <v>96</v>
      </c>
      <c r="F647">
        <v>2.78</v>
      </c>
      <c r="G647">
        <v>0.21640000000000001</v>
      </c>
      <c r="H647">
        <v>15</v>
      </c>
      <c r="I647">
        <v>6.9</v>
      </c>
      <c r="J647">
        <v>1</v>
      </c>
      <c r="K647">
        <f>YEAR(NetflixData[[#This Row],[date]])</f>
        <v>2020</v>
      </c>
      <c r="L647" t="str">
        <f>TEXT(NetflixData[[#This Row],[date]],"mmm")</f>
        <v>Jun</v>
      </c>
      <c r="M647" t="str">
        <f>TEXT(NetflixData[[#This Row],[date]],"mmm yyyy")</f>
        <v>Jun 2020</v>
      </c>
      <c r="N647" t="str">
        <f t="shared" si="30"/>
        <v>Trading Day</v>
      </c>
      <c r="O647" t="str">
        <f t="shared" si="31"/>
        <v>Positive</v>
      </c>
      <c r="P647" t="str">
        <f t="shared" si="32"/>
        <v>Positive</v>
      </c>
    </row>
    <row r="648" spans="1:16" x14ac:dyDescent="0.3">
      <c r="A648" s="1">
        <v>44001</v>
      </c>
      <c r="B648">
        <v>45.37</v>
      </c>
      <c r="C648">
        <v>59345000</v>
      </c>
      <c r="D648">
        <v>1.024</v>
      </c>
      <c r="E648">
        <v>85</v>
      </c>
      <c r="F648">
        <v>2.94</v>
      </c>
      <c r="G648">
        <v>0.16300000000000001</v>
      </c>
      <c r="H648">
        <v>14</v>
      </c>
      <c r="I648">
        <v>6.78</v>
      </c>
      <c r="J648">
        <v>1</v>
      </c>
      <c r="K648">
        <f>YEAR(NetflixData[[#This Row],[date]])</f>
        <v>2020</v>
      </c>
      <c r="L648" t="str">
        <f>TEXT(NetflixData[[#This Row],[date]],"mmm")</f>
        <v>Jun</v>
      </c>
      <c r="M648" t="str">
        <f>TEXT(NetflixData[[#This Row],[date]],"mmm yyyy")</f>
        <v>Jun 2020</v>
      </c>
      <c r="N648" t="str">
        <f t="shared" si="30"/>
        <v>Non-Trading Day</v>
      </c>
      <c r="O648" t="str">
        <f t="shared" si="31"/>
        <v>Positive</v>
      </c>
      <c r="P648" t="str">
        <f t="shared" si="32"/>
        <v>Positive</v>
      </c>
    </row>
    <row r="649" spans="1:16" x14ac:dyDescent="0.3">
      <c r="A649" s="1">
        <v>44002</v>
      </c>
      <c r="B649">
        <v>45.37</v>
      </c>
      <c r="C649">
        <v>0</v>
      </c>
      <c r="D649">
        <v>0</v>
      </c>
      <c r="E649">
        <v>63</v>
      </c>
      <c r="F649">
        <v>3.03</v>
      </c>
      <c r="G649">
        <v>0.23480000000000001</v>
      </c>
      <c r="H649">
        <v>1</v>
      </c>
      <c r="I649">
        <v>5.5</v>
      </c>
      <c r="J649">
        <v>0</v>
      </c>
      <c r="K649">
        <f>YEAR(NetflixData[[#This Row],[date]])</f>
        <v>2020</v>
      </c>
      <c r="L649" t="str">
        <f>TEXT(NetflixData[[#This Row],[date]],"mmm")</f>
        <v>Jun</v>
      </c>
      <c r="M649" t="str">
        <f>TEXT(NetflixData[[#This Row],[date]],"mmm yyyy")</f>
        <v>Jun 2020</v>
      </c>
      <c r="N649" t="str">
        <f t="shared" si="30"/>
        <v>Non-Trading Day</v>
      </c>
      <c r="O649" t="str">
        <f t="shared" si="31"/>
        <v>No Change</v>
      </c>
      <c r="P649" t="str">
        <f t="shared" si="32"/>
        <v>Positive</v>
      </c>
    </row>
    <row r="650" spans="1:16" x14ac:dyDescent="0.3">
      <c r="A650" s="1">
        <v>44003</v>
      </c>
      <c r="B650">
        <v>45.37</v>
      </c>
      <c r="C650">
        <v>0</v>
      </c>
      <c r="D650">
        <v>0</v>
      </c>
      <c r="E650">
        <v>61</v>
      </c>
      <c r="F650">
        <v>2.84</v>
      </c>
      <c r="G650">
        <v>0.19550000000000001</v>
      </c>
      <c r="H650">
        <v>2</v>
      </c>
      <c r="I650">
        <v>6.35</v>
      </c>
      <c r="J650">
        <v>0</v>
      </c>
      <c r="K650">
        <f>YEAR(NetflixData[[#This Row],[date]])</f>
        <v>2020</v>
      </c>
      <c r="L650" t="str">
        <f>TEXT(NetflixData[[#This Row],[date]],"mmm")</f>
        <v>Jun</v>
      </c>
      <c r="M650" t="str">
        <f>TEXT(NetflixData[[#This Row],[date]],"mmm yyyy")</f>
        <v>Jun 2020</v>
      </c>
      <c r="N650" t="str">
        <f t="shared" si="30"/>
        <v>Trading Day</v>
      </c>
      <c r="O650" t="str">
        <f t="shared" si="31"/>
        <v>No Change</v>
      </c>
      <c r="P650" t="str">
        <f t="shared" si="32"/>
        <v>Positive</v>
      </c>
    </row>
    <row r="651" spans="1:16" x14ac:dyDescent="0.3">
      <c r="A651" s="1">
        <v>44004</v>
      </c>
      <c r="B651">
        <v>46.8</v>
      </c>
      <c r="C651">
        <v>62721000</v>
      </c>
      <c r="D651">
        <v>2.8639999999999999</v>
      </c>
      <c r="E651">
        <v>68</v>
      </c>
      <c r="F651">
        <v>3.07</v>
      </c>
      <c r="G651">
        <v>0.26200000000000001</v>
      </c>
      <c r="H651">
        <v>4</v>
      </c>
      <c r="I651">
        <v>6.2</v>
      </c>
      <c r="J651">
        <v>1</v>
      </c>
      <c r="K651">
        <f>YEAR(NetflixData[[#This Row],[date]])</f>
        <v>2020</v>
      </c>
      <c r="L651" t="str">
        <f>TEXT(NetflixData[[#This Row],[date]],"mmm")</f>
        <v>Jun</v>
      </c>
      <c r="M651" t="str">
        <f>TEXT(NetflixData[[#This Row],[date]],"mmm yyyy")</f>
        <v>Jun 2020</v>
      </c>
      <c r="N651" t="str">
        <f t="shared" si="30"/>
        <v>Trading Day</v>
      </c>
      <c r="O651" t="str">
        <f t="shared" si="31"/>
        <v>Positive</v>
      </c>
      <c r="P651" t="str">
        <f t="shared" si="32"/>
        <v>Positive</v>
      </c>
    </row>
    <row r="652" spans="1:16" x14ac:dyDescent="0.3">
      <c r="A652" s="1">
        <v>44005</v>
      </c>
      <c r="B652">
        <v>46.63</v>
      </c>
      <c r="C652">
        <v>59484000</v>
      </c>
      <c r="D652">
        <v>-5.0999999999999997E-2</v>
      </c>
      <c r="E652">
        <v>70</v>
      </c>
      <c r="F652">
        <v>3.21</v>
      </c>
      <c r="G652">
        <v>0.1948</v>
      </c>
      <c r="H652">
        <v>3</v>
      </c>
      <c r="I652">
        <v>6.4</v>
      </c>
      <c r="J652">
        <v>1</v>
      </c>
      <c r="K652">
        <f>YEAR(NetflixData[[#This Row],[date]])</f>
        <v>2020</v>
      </c>
      <c r="L652" t="str">
        <f>TEXT(NetflixData[[#This Row],[date]],"mmm")</f>
        <v>Jun</v>
      </c>
      <c r="M652" t="str">
        <f>TEXT(NetflixData[[#This Row],[date]],"mmm yyyy")</f>
        <v>Jun 2020</v>
      </c>
      <c r="N652" t="str">
        <f t="shared" si="30"/>
        <v>Trading Day</v>
      </c>
      <c r="O652" t="str">
        <f t="shared" si="31"/>
        <v>Negative</v>
      </c>
      <c r="P652" t="str">
        <f t="shared" si="32"/>
        <v>Positive</v>
      </c>
    </row>
    <row r="653" spans="1:16" x14ac:dyDescent="0.3">
      <c r="A653" s="1">
        <v>44006</v>
      </c>
      <c r="B653">
        <v>45.78</v>
      </c>
      <c r="C653">
        <v>48262000</v>
      </c>
      <c r="D653">
        <v>-2.282</v>
      </c>
      <c r="E653">
        <v>99</v>
      </c>
      <c r="F653">
        <v>2.91</v>
      </c>
      <c r="G653">
        <v>0.1875</v>
      </c>
      <c r="H653">
        <v>4</v>
      </c>
      <c r="I653">
        <v>6.88</v>
      </c>
      <c r="J653">
        <v>1</v>
      </c>
      <c r="K653">
        <f>YEAR(NetflixData[[#This Row],[date]])</f>
        <v>2020</v>
      </c>
      <c r="L653" t="str">
        <f>TEXT(NetflixData[[#This Row],[date]],"mmm")</f>
        <v>Jun</v>
      </c>
      <c r="M653" t="str">
        <f>TEXT(NetflixData[[#This Row],[date]],"mmm yyyy")</f>
        <v>Jun 2020</v>
      </c>
      <c r="N653" t="str">
        <f t="shared" si="30"/>
        <v>Trading Day</v>
      </c>
      <c r="O653" t="str">
        <f t="shared" si="31"/>
        <v>Negative</v>
      </c>
      <c r="P653" t="str">
        <f t="shared" si="32"/>
        <v>Positive</v>
      </c>
    </row>
    <row r="654" spans="1:16" x14ac:dyDescent="0.3">
      <c r="A654" s="1">
        <v>44007</v>
      </c>
      <c r="B654">
        <v>46.59</v>
      </c>
      <c r="C654">
        <v>41345000</v>
      </c>
      <c r="D654">
        <v>1.536</v>
      </c>
      <c r="E654">
        <v>89</v>
      </c>
      <c r="F654">
        <v>2.84</v>
      </c>
      <c r="G654">
        <v>0.14760000000000001</v>
      </c>
      <c r="H654">
        <v>3</v>
      </c>
      <c r="I654">
        <v>5.67</v>
      </c>
      <c r="J654">
        <v>1</v>
      </c>
      <c r="K654">
        <f>YEAR(NetflixData[[#This Row],[date]])</f>
        <v>2020</v>
      </c>
      <c r="L654" t="str">
        <f>TEXT(NetflixData[[#This Row],[date]],"mmm")</f>
        <v>Jun</v>
      </c>
      <c r="M654" t="str">
        <f>TEXT(NetflixData[[#This Row],[date]],"mmm yyyy")</f>
        <v>Jun 2020</v>
      </c>
      <c r="N654" t="str">
        <f t="shared" si="30"/>
        <v>Trading Day</v>
      </c>
      <c r="O654" t="str">
        <f t="shared" si="31"/>
        <v>Positive</v>
      </c>
      <c r="P654" t="str">
        <f t="shared" si="32"/>
        <v>Positive</v>
      </c>
    </row>
    <row r="655" spans="1:16" x14ac:dyDescent="0.3">
      <c r="A655" s="1">
        <v>44008</v>
      </c>
      <c r="B655">
        <v>44.34</v>
      </c>
      <c r="C655">
        <v>68047000</v>
      </c>
      <c r="D655">
        <v>-4.9290000000000003</v>
      </c>
      <c r="E655">
        <v>90</v>
      </c>
      <c r="F655">
        <v>2.91</v>
      </c>
      <c r="G655">
        <v>0.24229999999999999</v>
      </c>
      <c r="H655">
        <v>10</v>
      </c>
      <c r="I655">
        <v>7.06</v>
      </c>
      <c r="J655">
        <v>1</v>
      </c>
      <c r="K655">
        <f>YEAR(NetflixData[[#This Row],[date]])</f>
        <v>2020</v>
      </c>
      <c r="L655" t="str">
        <f>TEXT(NetflixData[[#This Row],[date]],"mmm")</f>
        <v>Jun</v>
      </c>
      <c r="M655" t="str">
        <f>TEXT(NetflixData[[#This Row],[date]],"mmm yyyy")</f>
        <v>Jun 2020</v>
      </c>
      <c r="N655" t="str">
        <f t="shared" si="30"/>
        <v>Non-Trading Day</v>
      </c>
      <c r="O655" t="str">
        <f t="shared" si="31"/>
        <v>Negative</v>
      </c>
      <c r="P655" t="str">
        <f t="shared" si="32"/>
        <v>Positive</v>
      </c>
    </row>
    <row r="656" spans="1:16" x14ac:dyDescent="0.3">
      <c r="A656" s="1">
        <v>44009</v>
      </c>
      <c r="B656">
        <v>44.34</v>
      </c>
      <c r="C656">
        <v>0</v>
      </c>
      <c r="D656">
        <v>0</v>
      </c>
      <c r="E656">
        <v>117</v>
      </c>
      <c r="F656">
        <v>2.97</v>
      </c>
      <c r="G656">
        <v>0.13039999999999999</v>
      </c>
      <c r="H656">
        <v>3</v>
      </c>
      <c r="I656">
        <v>7.1</v>
      </c>
      <c r="J656">
        <v>0</v>
      </c>
      <c r="K656">
        <f>YEAR(NetflixData[[#This Row],[date]])</f>
        <v>2020</v>
      </c>
      <c r="L656" t="str">
        <f>TEXT(NetflixData[[#This Row],[date]],"mmm")</f>
        <v>Jun</v>
      </c>
      <c r="M656" t="str">
        <f>TEXT(NetflixData[[#This Row],[date]],"mmm yyyy")</f>
        <v>Jun 2020</v>
      </c>
      <c r="N656" t="str">
        <f t="shared" si="30"/>
        <v>Non-Trading Day</v>
      </c>
      <c r="O656" t="str">
        <f t="shared" si="31"/>
        <v>No Change</v>
      </c>
      <c r="P656" t="str">
        <f t="shared" si="32"/>
        <v>Positive</v>
      </c>
    </row>
    <row r="657" spans="1:16" x14ac:dyDescent="0.3">
      <c r="A657" s="1">
        <v>44010</v>
      </c>
      <c r="B657">
        <v>44.34</v>
      </c>
      <c r="C657">
        <v>0</v>
      </c>
      <c r="D657">
        <v>0</v>
      </c>
      <c r="E657">
        <v>83</v>
      </c>
      <c r="F657">
        <v>3.17</v>
      </c>
      <c r="G657">
        <v>0.26989999999999997</v>
      </c>
      <c r="H657">
        <v>3</v>
      </c>
      <c r="I657">
        <v>6.9</v>
      </c>
      <c r="J657">
        <v>0</v>
      </c>
      <c r="K657">
        <f>YEAR(NetflixData[[#This Row],[date]])</f>
        <v>2020</v>
      </c>
      <c r="L657" t="str">
        <f>TEXT(NetflixData[[#This Row],[date]],"mmm")</f>
        <v>Jun</v>
      </c>
      <c r="M657" t="str">
        <f>TEXT(NetflixData[[#This Row],[date]],"mmm yyyy")</f>
        <v>Jun 2020</v>
      </c>
      <c r="N657" t="str">
        <f t="shared" si="30"/>
        <v>Trading Day</v>
      </c>
      <c r="O657" t="str">
        <f t="shared" si="31"/>
        <v>No Change</v>
      </c>
      <c r="P657" t="str">
        <f t="shared" si="32"/>
        <v>Positive</v>
      </c>
    </row>
    <row r="658" spans="1:16" x14ac:dyDescent="0.3">
      <c r="A658" s="1">
        <v>44011</v>
      </c>
      <c r="B658">
        <v>44.72</v>
      </c>
      <c r="C658">
        <v>48440000</v>
      </c>
      <c r="D658">
        <v>0.45100000000000001</v>
      </c>
      <c r="E658">
        <v>79</v>
      </c>
      <c r="F658">
        <v>2.9</v>
      </c>
      <c r="G658">
        <v>0.2873</v>
      </c>
      <c r="H658">
        <v>1</v>
      </c>
      <c r="J658">
        <v>1</v>
      </c>
      <c r="K658">
        <f>YEAR(NetflixData[[#This Row],[date]])</f>
        <v>2020</v>
      </c>
      <c r="L658" t="str">
        <f>TEXT(NetflixData[[#This Row],[date]],"mmm")</f>
        <v>Jun</v>
      </c>
      <c r="M658" t="str">
        <f>TEXT(NetflixData[[#This Row],[date]],"mmm yyyy")</f>
        <v>Jun 2020</v>
      </c>
      <c r="N658" t="str">
        <f t="shared" si="30"/>
        <v>Trading Day</v>
      </c>
      <c r="O658" t="str">
        <f t="shared" si="31"/>
        <v>Positive</v>
      </c>
      <c r="P658" t="str">
        <f t="shared" si="32"/>
        <v>Positive</v>
      </c>
    </row>
    <row r="659" spans="1:16" x14ac:dyDescent="0.3">
      <c r="A659" s="1">
        <v>44012</v>
      </c>
      <c r="B659">
        <v>45.5</v>
      </c>
      <c r="C659">
        <v>41985000</v>
      </c>
      <c r="D659">
        <v>1.1160000000000001</v>
      </c>
      <c r="E659">
        <v>125</v>
      </c>
      <c r="F659">
        <v>2.86</v>
      </c>
      <c r="G659">
        <v>0.27489999999999998</v>
      </c>
      <c r="H659">
        <v>4</v>
      </c>
      <c r="I659">
        <v>5.97</v>
      </c>
      <c r="J659">
        <v>1</v>
      </c>
      <c r="K659">
        <f>YEAR(NetflixData[[#This Row],[date]])</f>
        <v>2020</v>
      </c>
      <c r="L659" t="str">
        <f>TEXT(NetflixData[[#This Row],[date]],"mmm")</f>
        <v>Jun</v>
      </c>
      <c r="M659" t="str">
        <f>TEXT(NetflixData[[#This Row],[date]],"mmm yyyy")</f>
        <v>Jun 2020</v>
      </c>
      <c r="N659" t="str">
        <f t="shared" si="30"/>
        <v>Trading Day</v>
      </c>
      <c r="O659" t="str">
        <f t="shared" si="31"/>
        <v>Positive</v>
      </c>
      <c r="P659" t="str">
        <f t="shared" si="32"/>
        <v>Positive</v>
      </c>
    </row>
    <row r="660" spans="1:16" x14ac:dyDescent="0.3">
      <c r="A660" s="1">
        <v>44013</v>
      </c>
      <c r="B660">
        <v>48.56</v>
      </c>
      <c r="C660">
        <v>97059000</v>
      </c>
      <c r="D660">
        <v>6.9690000000000003</v>
      </c>
      <c r="E660">
        <v>99</v>
      </c>
      <c r="F660">
        <v>2.87</v>
      </c>
      <c r="G660">
        <v>0.16689999999999999</v>
      </c>
      <c r="H660">
        <v>25</v>
      </c>
      <c r="I660">
        <v>6.79</v>
      </c>
      <c r="J660">
        <v>1</v>
      </c>
      <c r="K660">
        <f>YEAR(NetflixData[[#This Row],[date]])</f>
        <v>2020</v>
      </c>
      <c r="L660" t="str">
        <f>TEXT(NetflixData[[#This Row],[date]],"mmm")</f>
        <v>Jul</v>
      </c>
      <c r="M660" t="str">
        <f>TEXT(NetflixData[[#This Row],[date]],"mmm yyyy")</f>
        <v>Jul 2020</v>
      </c>
      <c r="N660" t="str">
        <f t="shared" si="30"/>
        <v>Trading Day</v>
      </c>
      <c r="O660" t="str">
        <f t="shared" si="31"/>
        <v>Positive</v>
      </c>
      <c r="P660" t="str">
        <f t="shared" si="32"/>
        <v>Positive</v>
      </c>
    </row>
    <row r="661" spans="1:16" x14ac:dyDescent="0.3">
      <c r="A661" s="1">
        <v>44014</v>
      </c>
      <c r="B661">
        <v>47.69</v>
      </c>
      <c r="C661">
        <v>63515000</v>
      </c>
      <c r="D661">
        <v>-1.802</v>
      </c>
      <c r="E661">
        <v>96</v>
      </c>
      <c r="F661">
        <v>2.99</v>
      </c>
      <c r="G661">
        <v>0.21410000000000001</v>
      </c>
      <c r="H661">
        <v>3</v>
      </c>
      <c r="I661">
        <v>6.55</v>
      </c>
      <c r="J661">
        <v>1</v>
      </c>
      <c r="K661">
        <f>YEAR(NetflixData[[#This Row],[date]])</f>
        <v>2020</v>
      </c>
      <c r="L661" t="str">
        <f>TEXT(NetflixData[[#This Row],[date]],"mmm")</f>
        <v>Jul</v>
      </c>
      <c r="M661" t="str">
        <f>TEXT(NetflixData[[#This Row],[date]],"mmm yyyy")</f>
        <v>Jul 2020</v>
      </c>
      <c r="N661" t="str">
        <f t="shared" si="30"/>
        <v>Non-Trading Day</v>
      </c>
      <c r="O661" t="str">
        <f t="shared" si="31"/>
        <v>Negative</v>
      </c>
      <c r="P661" t="str">
        <f t="shared" si="32"/>
        <v>Positive</v>
      </c>
    </row>
    <row r="662" spans="1:16" x14ac:dyDescent="0.3">
      <c r="A662" s="1">
        <v>44015</v>
      </c>
      <c r="B662">
        <v>47.69</v>
      </c>
      <c r="C662">
        <v>0</v>
      </c>
      <c r="D662">
        <v>0</v>
      </c>
      <c r="E662">
        <v>103</v>
      </c>
      <c r="F662">
        <v>3</v>
      </c>
      <c r="G662">
        <v>0.18440000000000001</v>
      </c>
      <c r="H662">
        <v>9</v>
      </c>
      <c r="I662">
        <v>6.2</v>
      </c>
      <c r="J662">
        <v>0</v>
      </c>
      <c r="K662">
        <f>YEAR(NetflixData[[#This Row],[date]])</f>
        <v>2020</v>
      </c>
      <c r="L662" t="str">
        <f>TEXT(NetflixData[[#This Row],[date]],"mmm")</f>
        <v>Jul</v>
      </c>
      <c r="M662" t="str">
        <f>TEXT(NetflixData[[#This Row],[date]],"mmm yyyy")</f>
        <v>Jul 2020</v>
      </c>
      <c r="N662" t="str">
        <f t="shared" si="30"/>
        <v>Non-Trading Day</v>
      </c>
      <c r="O662" t="str">
        <f t="shared" si="31"/>
        <v>No Change</v>
      </c>
      <c r="P662" t="str">
        <f t="shared" si="32"/>
        <v>Positive</v>
      </c>
    </row>
    <row r="663" spans="1:16" x14ac:dyDescent="0.3">
      <c r="A663" s="1">
        <v>44016</v>
      </c>
      <c r="B663">
        <v>47.69</v>
      </c>
      <c r="C663">
        <v>0</v>
      </c>
      <c r="D663">
        <v>0</v>
      </c>
      <c r="E663">
        <v>90</v>
      </c>
      <c r="F663">
        <v>3.13</v>
      </c>
      <c r="G663">
        <v>0.31759999999999999</v>
      </c>
      <c r="H663">
        <v>1</v>
      </c>
      <c r="J663">
        <v>0</v>
      </c>
      <c r="K663">
        <f>YEAR(NetflixData[[#This Row],[date]])</f>
        <v>2020</v>
      </c>
      <c r="L663" t="str">
        <f>TEXT(NetflixData[[#This Row],[date]],"mmm")</f>
        <v>Jul</v>
      </c>
      <c r="M663" t="str">
        <f>TEXT(NetflixData[[#This Row],[date]],"mmm yyyy")</f>
        <v>Jul 2020</v>
      </c>
      <c r="N663" t="str">
        <f t="shared" si="30"/>
        <v>Non-Trading Day</v>
      </c>
      <c r="O663" t="str">
        <f t="shared" si="31"/>
        <v>No Change</v>
      </c>
      <c r="P663" t="str">
        <f t="shared" si="32"/>
        <v>Positive</v>
      </c>
    </row>
    <row r="664" spans="1:16" x14ac:dyDescent="0.3">
      <c r="A664" s="1">
        <v>44017</v>
      </c>
      <c r="B664">
        <v>47.69</v>
      </c>
      <c r="C664">
        <v>0</v>
      </c>
      <c r="D664">
        <v>0</v>
      </c>
      <c r="E664">
        <v>87</v>
      </c>
      <c r="F664">
        <v>2.74</v>
      </c>
      <c r="G664">
        <v>0.11550000000000001</v>
      </c>
      <c r="H664">
        <v>28</v>
      </c>
      <c r="I664">
        <v>6.01</v>
      </c>
      <c r="J664">
        <v>0</v>
      </c>
      <c r="K664">
        <f>YEAR(NetflixData[[#This Row],[date]])</f>
        <v>2020</v>
      </c>
      <c r="L664" t="str">
        <f>TEXT(NetflixData[[#This Row],[date]],"mmm")</f>
        <v>Jul</v>
      </c>
      <c r="M664" t="str">
        <f>TEXT(NetflixData[[#This Row],[date]],"mmm yyyy")</f>
        <v>Jul 2020</v>
      </c>
      <c r="N664" t="str">
        <f t="shared" si="30"/>
        <v>Trading Day</v>
      </c>
      <c r="O664" t="str">
        <f t="shared" si="31"/>
        <v>No Change</v>
      </c>
      <c r="P664" t="str">
        <f t="shared" si="32"/>
        <v>Positive</v>
      </c>
    </row>
    <row r="665" spans="1:16" x14ac:dyDescent="0.3">
      <c r="A665" s="1">
        <v>44018</v>
      </c>
      <c r="B665">
        <v>49.38</v>
      </c>
      <c r="C665">
        <v>78390000</v>
      </c>
      <c r="D665">
        <v>2.7120000000000002</v>
      </c>
      <c r="E665">
        <v>68</v>
      </c>
      <c r="F665">
        <v>3.09</v>
      </c>
      <c r="G665">
        <v>0.30659999999999998</v>
      </c>
      <c r="H665">
        <v>3</v>
      </c>
      <c r="I665">
        <v>6.4</v>
      </c>
      <c r="J665">
        <v>1</v>
      </c>
      <c r="K665">
        <f>YEAR(NetflixData[[#This Row],[date]])</f>
        <v>2020</v>
      </c>
      <c r="L665" t="str">
        <f>TEXT(NetflixData[[#This Row],[date]],"mmm")</f>
        <v>Jul</v>
      </c>
      <c r="M665" t="str">
        <f>TEXT(NetflixData[[#This Row],[date]],"mmm yyyy")</f>
        <v>Jul 2020</v>
      </c>
      <c r="N665" t="str">
        <f t="shared" si="30"/>
        <v>Trading Day</v>
      </c>
      <c r="O665" t="str">
        <f t="shared" si="31"/>
        <v>Positive</v>
      </c>
      <c r="P665" t="str">
        <f t="shared" si="32"/>
        <v>Positive</v>
      </c>
    </row>
    <row r="666" spans="1:16" x14ac:dyDescent="0.3">
      <c r="A666" s="1">
        <v>44019</v>
      </c>
      <c r="B666">
        <v>49.32</v>
      </c>
      <c r="C666">
        <v>56699000</v>
      </c>
      <c r="D666">
        <v>-0.83399999999999996</v>
      </c>
      <c r="E666">
        <v>104</v>
      </c>
      <c r="F666">
        <v>3.29</v>
      </c>
      <c r="G666">
        <v>0.28970000000000001</v>
      </c>
      <c r="H666">
        <v>2</v>
      </c>
      <c r="J666">
        <v>1</v>
      </c>
      <c r="K666">
        <f>YEAR(NetflixData[[#This Row],[date]])</f>
        <v>2020</v>
      </c>
      <c r="L666" t="str">
        <f>TEXT(NetflixData[[#This Row],[date]],"mmm")</f>
        <v>Jul</v>
      </c>
      <c r="M666" t="str">
        <f>TEXT(NetflixData[[#This Row],[date]],"mmm yyyy")</f>
        <v>Jul 2020</v>
      </c>
      <c r="N666" t="str">
        <f t="shared" si="30"/>
        <v>Trading Day</v>
      </c>
      <c r="O666" t="str">
        <f t="shared" si="31"/>
        <v>Negative</v>
      </c>
      <c r="P666" t="str">
        <f t="shared" si="32"/>
        <v>Positive</v>
      </c>
    </row>
    <row r="667" spans="1:16" x14ac:dyDescent="0.3">
      <c r="A667" s="1">
        <v>44020</v>
      </c>
      <c r="B667">
        <v>50.28</v>
      </c>
      <c r="C667">
        <v>56917000</v>
      </c>
      <c r="D667">
        <v>0.84199999999999997</v>
      </c>
      <c r="E667">
        <v>125</v>
      </c>
      <c r="F667">
        <v>3.69</v>
      </c>
      <c r="G667">
        <v>0.38740000000000002</v>
      </c>
      <c r="H667">
        <v>5</v>
      </c>
      <c r="I667">
        <v>6.78</v>
      </c>
      <c r="J667">
        <v>1</v>
      </c>
      <c r="K667">
        <f>YEAR(NetflixData[[#This Row],[date]])</f>
        <v>2020</v>
      </c>
      <c r="L667" t="str">
        <f>TEXT(NetflixData[[#This Row],[date]],"mmm")</f>
        <v>Jul</v>
      </c>
      <c r="M667" t="str">
        <f>TEXT(NetflixData[[#This Row],[date]],"mmm yyyy")</f>
        <v>Jul 2020</v>
      </c>
      <c r="N667" t="str">
        <f t="shared" si="30"/>
        <v>Trading Day</v>
      </c>
      <c r="O667" t="str">
        <f t="shared" si="31"/>
        <v>Positive</v>
      </c>
      <c r="P667" t="str">
        <f t="shared" si="32"/>
        <v>Positive</v>
      </c>
    </row>
    <row r="668" spans="1:16" x14ac:dyDescent="0.3">
      <c r="A668" s="1">
        <v>44021</v>
      </c>
      <c r="B668">
        <v>50.78</v>
      </c>
      <c r="C668">
        <v>58405000</v>
      </c>
      <c r="D668">
        <v>-0.126</v>
      </c>
      <c r="E668">
        <v>106</v>
      </c>
      <c r="F668">
        <v>2.86</v>
      </c>
      <c r="G668">
        <v>0.23580000000000001</v>
      </c>
      <c r="H668">
        <v>3</v>
      </c>
      <c r="I668">
        <v>6.3</v>
      </c>
      <c r="J668">
        <v>1</v>
      </c>
      <c r="K668">
        <f>YEAR(NetflixData[[#This Row],[date]])</f>
        <v>2020</v>
      </c>
      <c r="L668" t="str">
        <f>TEXT(NetflixData[[#This Row],[date]],"mmm")</f>
        <v>Jul</v>
      </c>
      <c r="M668" t="str">
        <f>TEXT(NetflixData[[#This Row],[date]],"mmm yyyy")</f>
        <v>Jul 2020</v>
      </c>
      <c r="N668" t="str">
        <f t="shared" si="30"/>
        <v>Trading Day</v>
      </c>
      <c r="O668" t="str">
        <f t="shared" si="31"/>
        <v>Negative</v>
      </c>
      <c r="P668" t="str">
        <f t="shared" si="32"/>
        <v>Positive</v>
      </c>
    </row>
    <row r="669" spans="1:16" x14ac:dyDescent="0.3">
      <c r="A669" s="1">
        <v>44022</v>
      </c>
      <c r="B669">
        <v>54.87</v>
      </c>
      <c r="C669">
        <v>216056000</v>
      </c>
      <c r="D669">
        <v>5.58</v>
      </c>
      <c r="E669">
        <v>86</v>
      </c>
      <c r="F669">
        <v>2.98</v>
      </c>
      <c r="G669">
        <v>0.2006</v>
      </c>
      <c r="H669">
        <v>9</v>
      </c>
      <c r="I669">
        <v>6.52</v>
      </c>
      <c r="J669">
        <v>1</v>
      </c>
      <c r="K669">
        <f>YEAR(NetflixData[[#This Row],[date]])</f>
        <v>2020</v>
      </c>
      <c r="L669" t="str">
        <f>TEXT(NetflixData[[#This Row],[date]],"mmm")</f>
        <v>Jul</v>
      </c>
      <c r="M669" t="str">
        <f>TEXT(NetflixData[[#This Row],[date]],"mmm yyyy")</f>
        <v>Jul 2020</v>
      </c>
      <c r="N669" t="str">
        <f t="shared" si="30"/>
        <v>Non-Trading Day</v>
      </c>
      <c r="O669" t="str">
        <f t="shared" si="31"/>
        <v>Positive</v>
      </c>
      <c r="P669" t="str">
        <f t="shared" si="32"/>
        <v>Positive</v>
      </c>
    </row>
    <row r="670" spans="1:16" x14ac:dyDescent="0.3">
      <c r="A670" s="1">
        <v>44023</v>
      </c>
      <c r="B670">
        <v>54.87</v>
      </c>
      <c r="C670">
        <v>0</v>
      </c>
      <c r="D670">
        <v>0</v>
      </c>
      <c r="E670">
        <v>93</v>
      </c>
      <c r="F670">
        <v>3.33</v>
      </c>
      <c r="G670">
        <v>0.28489999999999999</v>
      </c>
      <c r="H670">
        <v>1</v>
      </c>
      <c r="I670">
        <v>8.1999999999999993</v>
      </c>
      <c r="J670">
        <v>0</v>
      </c>
      <c r="K670">
        <f>YEAR(NetflixData[[#This Row],[date]])</f>
        <v>2020</v>
      </c>
      <c r="L670" t="str">
        <f>TEXT(NetflixData[[#This Row],[date]],"mmm")</f>
        <v>Jul</v>
      </c>
      <c r="M670" t="str">
        <f>TEXT(NetflixData[[#This Row],[date]],"mmm yyyy")</f>
        <v>Jul 2020</v>
      </c>
      <c r="N670" t="str">
        <f t="shared" si="30"/>
        <v>Non-Trading Day</v>
      </c>
      <c r="O670" t="str">
        <f t="shared" si="31"/>
        <v>No Change</v>
      </c>
      <c r="P670" t="str">
        <f t="shared" si="32"/>
        <v>Positive</v>
      </c>
    </row>
    <row r="671" spans="1:16" x14ac:dyDescent="0.3">
      <c r="A671" s="1">
        <v>44024</v>
      </c>
      <c r="B671">
        <v>54.87</v>
      </c>
      <c r="C671">
        <v>0</v>
      </c>
      <c r="D671">
        <v>0</v>
      </c>
      <c r="E671">
        <v>88</v>
      </c>
      <c r="F671">
        <v>3.14</v>
      </c>
      <c r="G671">
        <v>0.2984</v>
      </c>
      <c r="H671">
        <v>0</v>
      </c>
      <c r="J671">
        <v>0</v>
      </c>
      <c r="K671">
        <f>YEAR(NetflixData[[#This Row],[date]])</f>
        <v>2020</v>
      </c>
      <c r="L671" t="str">
        <f>TEXT(NetflixData[[#This Row],[date]],"mmm")</f>
        <v>Jul</v>
      </c>
      <c r="M671" t="str">
        <f>TEXT(NetflixData[[#This Row],[date]],"mmm yyyy")</f>
        <v>Jul 2020</v>
      </c>
      <c r="N671" t="str">
        <f t="shared" si="30"/>
        <v>Trading Day</v>
      </c>
      <c r="O671" t="str">
        <f t="shared" si="31"/>
        <v>No Change</v>
      </c>
      <c r="P671" t="str">
        <f t="shared" si="32"/>
        <v>Positive</v>
      </c>
    </row>
    <row r="672" spans="1:16" x14ac:dyDescent="0.3">
      <c r="A672" s="1">
        <v>44025</v>
      </c>
      <c r="B672">
        <v>52.55</v>
      </c>
      <c r="C672">
        <v>183990000</v>
      </c>
      <c r="D672">
        <v>-7.4790000000000001</v>
      </c>
      <c r="E672">
        <v>79</v>
      </c>
      <c r="F672">
        <v>3.52</v>
      </c>
      <c r="G672">
        <v>0.42020000000000002</v>
      </c>
      <c r="H672">
        <v>0</v>
      </c>
      <c r="J672">
        <v>1</v>
      </c>
      <c r="K672">
        <f>YEAR(NetflixData[[#This Row],[date]])</f>
        <v>2020</v>
      </c>
      <c r="L672" t="str">
        <f>TEXT(NetflixData[[#This Row],[date]],"mmm")</f>
        <v>Jul</v>
      </c>
      <c r="M672" t="str">
        <f>TEXT(NetflixData[[#This Row],[date]],"mmm yyyy")</f>
        <v>Jul 2020</v>
      </c>
      <c r="N672" t="str">
        <f t="shared" si="30"/>
        <v>Trading Day</v>
      </c>
      <c r="O672" t="str">
        <f t="shared" si="31"/>
        <v>Negative</v>
      </c>
      <c r="P672" t="str">
        <f t="shared" si="32"/>
        <v>Positive</v>
      </c>
    </row>
    <row r="673" spans="1:16" x14ac:dyDescent="0.3">
      <c r="A673" s="1">
        <v>44026</v>
      </c>
      <c r="B673">
        <v>52.49</v>
      </c>
      <c r="C673">
        <v>150833000</v>
      </c>
      <c r="D673">
        <v>1.508</v>
      </c>
      <c r="E673">
        <v>77</v>
      </c>
      <c r="F673">
        <v>3.18</v>
      </c>
      <c r="G673">
        <v>0.2712</v>
      </c>
      <c r="H673">
        <v>3</v>
      </c>
      <c r="I673">
        <v>6.45</v>
      </c>
      <c r="J673">
        <v>1</v>
      </c>
      <c r="K673">
        <f>YEAR(NetflixData[[#This Row],[date]])</f>
        <v>2020</v>
      </c>
      <c r="L673" t="str">
        <f>TEXT(NetflixData[[#This Row],[date]],"mmm")</f>
        <v>Jul</v>
      </c>
      <c r="M673" t="str">
        <f>TEXT(NetflixData[[#This Row],[date]],"mmm yyyy")</f>
        <v>Jul 2020</v>
      </c>
      <c r="N673" t="str">
        <f t="shared" si="30"/>
        <v>Trading Day</v>
      </c>
      <c r="O673" t="str">
        <f t="shared" si="31"/>
        <v>Positive</v>
      </c>
      <c r="P673" t="str">
        <f t="shared" si="32"/>
        <v>Positive</v>
      </c>
    </row>
    <row r="674" spans="1:16" x14ac:dyDescent="0.3">
      <c r="A674" s="1">
        <v>44027</v>
      </c>
      <c r="B674">
        <v>52.33</v>
      </c>
      <c r="C674">
        <v>100667000</v>
      </c>
      <c r="D674">
        <v>1.3480000000000001</v>
      </c>
      <c r="E674">
        <v>108</v>
      </c>
      <c r="F674">
        <v>3.35</v>
      </c>
      <c r="G674">
        <v>0.24990000000000001</v>
      </c>
      <c r="H674">
        <v>7</v>
      </c>
      <c r="I674">
        <v>5.45</v>
      </c>
      <c r="J674">
        <v>1</v>
      </c>
      <c r="K674">
        <f>YEAR(NetflixData[[#This Row],[date]])</f>
        <v>2020</v>
      </c>
      <c r="L674" t="str">
        <f>TEXT(NetflixData[[#This Row],[date]],"mmm")</f>
        <v>Jul</v>
      </c>
      <c r="M674" t="str">
        <f>TEXT(NetflixData[[#This Row],[date]],"mmm yyyy")</f>
        <v>Jul 2020</v>
      </c>
      <c r="N674" t="str">
        <f t="shared" si="30"/>
        <v>Trading Day</v>
      </c>
      <c r="O674" t="str">
        <f t="shared" si="31"/>
        <v>Positive</v>
      </c>
      <c r="P674" t="str">
        <f t="shared" si="32"/>
        <v>Positive</v>
      </c>
    </row>
    <row r="675" spans="1:16" x14ac:dyDescent="0.3">
      <c r="A675" s="1">
        <v>44028</v>
      </c>
      <c r="B675">
        <v>52.74</v>
      </c>
      <c r="C675">
        <v>244990000</v>
      </c>
      <c r="D675">
        <v>0.17299999999999999</v>
      </c>
      <c r="E675">
        <v>84</v>
      </c>
      <c r="F675">
        <v>3.25</v>
      </c>
      <c r="G675">
        <v>0.25409999999999999</v>
      </c>
      <c r="H675">
        <v>4</v>
      </c>
      <c r="I675">
        <v>5.28</v>
      </c>
      <c r="J675">
        <v>1</v>
      </c>
      <c r="K675">
        <f>YEAR(NetflixData[[#This Row],[date]])</f>
        <v>2020</v>
      </c>
      <c r="L675" t="str">
        <f>TEXT(NetflixData[[#This Row],[date]],"mmm")</f>
        <v>Jul</v>
      </c>
      <c r="M675" t="str">
        <f>TEXT(NetflixData[[#This Row],[date]],"mmm yyyy")</f>
        <v>Jul 2020</v>
      </c>
      <c r="N675" t="str">
        <f t="shared" si="30"/>
        <v>Trading Day</v>
      </c>
      <c r="O675" t="str">
        <f t="shared" si="31"/>
        <v>Positive</v>
      </c>
      <c r="P675" t="str">
        <f t="shared" si="32"/>
        <v>Positive</v>
      </c>
    </row>
    <row r="676" spans="1:16" x14ac:dyDescent="0.3">
      <c r="A676" s="1">
        <v>44029</v>
      </c>
      <c r="B676">
        <v>49.3</v>
      </c>
      <c r="C676">
        <v>249914000</v>
      </c>
      <c r="D676">
        <v>-0.38</v>
      </c>
      <c r="E676">
        <v>100</v>
      </c>
      <c r="F676">
        <v>2.62</v>
      </c>
      <c r="G676">
        <v>0.13550000000000001</v>
      </c>
      <c r="H676">
        <v>5</v>
      </c>
      <c r="I676">
        <v>6.44</v>
      </c>
      <c r="J676">
        <v>1</v>
      </c>
      <c r="K676">
        <f>YEAR(NetflixData[[#This Row],[date]])</f>
        <v>2020</v>
      </c>
      <c r="L676" t="str">
        <f>TEXT(NetflixData[[#This Row],[date]],"mmm")</f>
        <v>Jul</v>
      </c>
      <c r="M676" t="str">
        <f>TEXT(NetflixData[[#This Row],[date]],"mmm yyyy")</f>
        <v>Jul 2020</v>
      </c>
      <c r="N676" t="str">
        <f t="shared" si="30"/>
        <v>Non-Trading Day</v>
      </c>
      <c r="O676" t="str">
        <f t="shared" si="31"/>
        <v>Negative</v>
      </c>
      <c r="P676" t="str">
        <f t="shared" si="32"/>
        <v>Positive</v>
      </c>
    </row>
    <row r="677" spans="1:16" x14ac:dyDescent="0.3">
      <c r="A677" s="1">
        <v>44030</v>
      </c>
      <c r="B677">
        <v>49.3</v>
      </c>
      <c r="C677">
        <v>0</v>
      </c>
      <c r="D677">
        <v>0</v>
      </c>
      <c r="E677">
        <v>94</v>
      </c>
      <c r="F677">
        <v>2.74</v>
      </c>
      <c r="G677">
        <v>0.19989999999999999</v>
      </c>
      <c r="H677">
        <v>3</v>
      </c>
      <c r="I677">
        <v>6.77</v>
      </c>
      <c r="J677">
        <v>0</v>
      </c>
      <c r="K677">
        <f>YEAR(NetflixData[[#This Row],[date]])</f>
        <v>2020</v>
      </c>
      <c r="L677" t="str">
        <f>TEXT(NetflixData[[#This Row],[date]],"mmm")</f>
        <v>Jul</v>
      </c>
      <c r="M677" t="str">
        <f>TEXT(NetflixData[[#This Row],[date]],"mmm yyyy")</f>
        <v>Jul 2020</v>
      </c>
      <c r="N677" t="str">
        <f t="shared" si="30"/>
        <v>Non-Trading Day</v>
      </c>
      <c r="O677" t="str">
        <f t="shared" si="31"/>
        <v>No Change</v>
      </c>
      <c r="P677" t="str">
        <f t="shared" si="32"/>
        <v>Positive</v>
      </c>
    </row>
    <row r="678" spans="1:16" x14ac:dyDescent="0.3">
      <c r="A678" s="1">
        <v>44031</v>
      </c>
      <c r="B678">
        <v>49.3</v>
      </c>
      <c r="C678">
        <v>0</v>
      </c>
      <c r="D678">
        <v>0</v>
      </c>
      <c r="E678">
        <v>78</v>
      </c>
      <c r="F678">
        <v>2.9</v>
      </c>
      <c r="G678">
        <v>0.16839999999999999</v>
      </c>
      <c r="H678">
        <v>2</v>
      </c>
      <c r="I678">
        <v>7.8</v>
      </c>
      <c r="J678">
        <v>0</v>
      </c>
      <c r="K678">
        <f>YEAR(NetflixData[[#This Row],[date]])</f>
        <v>2020</v>
      </c>
      <c r="L678" t="str">
        <f>TEXT(NetflixData[[#This Row],[date]],"mmm")</f>
        <v>Jul</v>
      </c>
      <c r="M678" t="str">
        <f>TEXT(NetflixData[[#This Row],[date]],"mmm yyyy")</f>
        <v>Jul 2020</v>
      </c>
      <c r="N678" t="str">
        <f t="shared" si="30"/>
        <v>Trading Day</v>
      </c>
      <c r="O678" t="str">
        <f t="shared" si="31"/>
        <v>No Change</v>
      </c>
      <c r="P678" t="str">
        <f t="shared" si="32"/>
        <v>Positive</v>
      </c>
    </row>
    <row r="679" spans="1:16" x14ac:dyDescent="0.3">
      <c r="A679" s="1">
        <v>44032</v>
      </c>
      <c r="B679">
        <v>50.24</v>
      </c>
      <c r="C679">
        <v>119403000</v>
      </c>
      <c r="D679">
        <v>2.7130000000000001</v>
      </c>
      <c r="E679">
        <v>88</v>
      </c>
      <c r="F679">
        <v>3.2</v>
      </c>
      <c r="G679">
        <v>0.32569999999999999</v>
      </c>
      <c r="H679">
        <v>0</v>
      </c>
      <c r="J679">
        <v>1</v>
      </c>
      <c r="K679">
        <f>YEAR(NetflixData[[#This Row],[date]])</f>
        <v>2020</v>
      </c>
      <c r="L679" t="str">
        <f>TEXT(NetflixData[[#This Row],[date]],"mmm")</f>
        <v>Jul</v>
      </c>
      <c r="M679" t="str">
        <f>TEXT(NetflixData[[#This Row],[date]],"mmm yyyy")</f>
        <v>Jul 2020</v>
      </c>
      <c r="N679" t="str">
        <f t="shared" si="30"/>
        <v>Trading Day</v>
      </c>
      <c r="O679" t="str">
        <f t="shared" si="31"/>
        <v>Positive</v>
      </c>
      <c r="P679" t="str">
        <f t="shared" si="32"/>
        <v>Positive</v>
      </c>
    </row>
    <row r="680" spans="1:16" x14ac:dyDescent="0.3">
      <c r="A680" s="1">
        <v>44033</v>
      </c>
      <c r="B680">
        <v>49.01</v>
      </c>
      <c r="C680">
        <v>91137000</v>
      </c>
      <c r="D680">
        <v>-3.1419999999999999</v>
      </c>
      <c r="E680">
        <v>74</v>
      </c>
      <c r="F680">
        <v>2.65</v>
      </c>
      <c r="G680">
        <v>0.1193</v>
      </c>
      <c r="H680">
        <v>4</v>
      </c>
      <c r="I680">
        <v>7.47</v>
      </c>
      <c r="J680">
        <v>1</v>
      </c>
      <c r="K680">
        <f>YEAR(NetflixData[[#This Row],[date]])</f>
        <v>2020</v>
      </c>
      <c r="L680" t="str">
        <f>TEXT(NetflixData[[#This Row],[date]],"mmm")</f>
        <v>Jul</v>
      </c>
      <c r="M680" t="str">
        <f>TEXT(NetflixData[[#This Row],[date]],"mmm yyyy")</f>
        <v>Jul 2020</v>
      </c>
      <c r="N680" t="str">
        <f t="shared" si="30"/>
        <v>Trading Day</v>
      </c>
      <c r="O680" t="str">
        <f t="shared" si="31"/>
        <v>Negative</v>
      </c>
      <c r="P680" t="str">
        <f t="shared" si="32"/>
        <v>Positive</v>
      </c>
    </row>
    <row r="681" spans="1:16" x14ac:dyDescent="0.3">
      <c r="A681" s="1">
        <v>44034</v>
      </c>
      <c r="B681">
        <v>48.98</v>
      </c>
      <c r="C681">
        <v>69541000</v>
      </c>
      <c r="D681">
        <v>-0.48199999999999998</v>
      </c>
      <c r="E681">
        <v>99</v>
      </c>
      <c r="F681">
        <v>3.1</v>
      </c>
      <c r="G681">
        <v>0.2462</v>
      </c>
      <c r="H681">
        <v>5</v>
      </c>
      <c r="I681">
        <v>7.6</v>
      </c>
      <c r="J681">
        <v>1</v>
      </c>
      <c r="K681">
        <f>YEAR(NetflixData[[#This Row],[date]])</f>
        <v>2020</v>
      </c>
      <c r="L681" t="str">
        <f>TEXT(NetflixData[[#This Row],[date]],"mmm")</f>
        <v>Jul</v>
      </c>
      <c r="M681" t="str">
        <f>TEXT(NetflixData[[#This Row],[date]],"mmm yyyy")</f>
        <v>Jul 2020</v>
      </c>
      <c r="N681" t="str">
        <f t="shared" si="30"/>
        <v>Trading Day</v>
      </c>
      <c r="O681" t="str">
        <f t="shared" si="31"/>
        <v>Negative</v>
      </c>
      <c r="P681" t="str">
        <f t="shared" si="32"/>
        <v>Positive</v>
      </c>
    </row>
    <row r="682" spans="1:16" x14ac:dyDescent="0.3">
      <c r="A682" s="1">
        <v>44035</v>
      </c>
      <c r="B682">
        <v>47.76</v>
      </c>
      <c r="C682">
        <v>77220000</v>
      </c>
      <c r="D682">
        <v>-2.7589999999999999</v>
      </c>
      <c r="E682">
        <v>84</v>
      </c>
      <c r="F682">
        <v>3.21</v>
      </c>
      <c r="G682">
        <v>0.25619999999999998</v>
      </c>
      <c r="H682">
        <v>3</v>
      </c>
      <c r="I682">
        <v>6.6</v>
      </c>
      <c r="J682">
        <v>1</v>
      </c>
      <c r="K682">
        <f>YEAR(NetflixData[[#This Row],[date]])</f>
        <v>2020</v>
      </c>
      <c r="L682" t="str">
        <f>TEXT(NetflixData[[#This Row],[date]],"mmm")</f>
        <v>Jul</v>
      </c>
      <c r="M682" t="str">
        <f>TEXT(NetflixData[[#This Row],[date]],"mmm yyyy")</f>
        <v>Jul 2020</v>
      </c>
      <c r="N682" t="str">
        <f t="shared" si="30"/>
        <v>Trading Day</v>
      </c>
      <c r="O682" t="str">
        <f t="shared" si="31"/>
        <v>Negative</v>
      </c>
      <c r="P682" t="str">
        <f t="shared" si="32"/>
        <v>Positive</v>
      </c>
    </row>
    <row r="683" spans="1:16" x14ac:dyDescent="0.3">
      <c r="A683" s="1">
        <v>44036</v>
      </c>
      <c r="B683">
        <v>48.04</v>
      </c>
      <c r="C683">
        <v>77462000</v>
      </c>
      <c r="D683">
        <v>2.492</v>
      </c>
      <c r="E683">
        <v>80</v>
      </c>
      <c r="F683">
        <v>3.11</v>
      </c>
      <c r="G683">
        <v>0.20200000000000001</v>
      </c>
      <c r="H683">
        <v>8</v>
      </c>
      <c r="I683">
        <v>5.84</v>
      </c>
      <c r="J683">
        <v>1</v>
      </c>
      <c r="K683">
        <f>YEAR(NetflixData[[#This Row],[date]])</f>
        <v>2020</v>
      </c>
      <c r="L683" t="str">
        <f>TEXT(NetflixData[[#This Row],[date]],"mmm")</f>
        <v>Jul</v>
      </c>
      <c r="M683" t="str">
        <f>TEXT(NetflixData[[#This Row],[date]],"mmm yyyy")</f>
        <v>Jul 2020</v>
      </c>
      <c r="N683" t="str">
        <f t="shared" si="30"/>
        <v>Non-Trading Day</v>
      </c>
      <c r="O683" t="str">
        <f t="shared" si="31"/>
        <v>Positive</v>
      </c>
      <c r="P683" t="str">
        <f t="shared" si="32"/>
        <v>Positive</v>
      </c>
    </row>
    <row r="684" spans="1:16" x14ac:dyDescent="0.3">
      <c r="A684" s="1">
        <v>44037</v>
      </c>
      <c r="B684">
        <v>48.04</v>
      </c>
      <c r="C684">
        <v>0</v>
      </c>
      <c r="D684">
        <v>0</v>
      </c>
      <c r="E684">
        <v>110</v>
      </c>
      <c r="F684">
        <v>3.2</v>
      </c>
      <c r="G684">
        <v>0.2747</v>
      </c>
      <c r="H684">
        <v>3</v>
      </c>
      <c r="I684">
        <v>6.4</v>
      </c>
      <c r="J684">
        <v>0</v>
      </c>
      <c r="K684">
        <f>YEAR(NetflixData[[#This Row],[date]])</f>
        <v>2020</v>
      </c>
      <c r="L684" t="str">
        <f>TEXT(NetflixData[[#This Row],[date]],"mmm")</f>
        <v>Jul</v>
      </c>
      <c r="M684" t="str">
        <f>TEXT(NetflixData[[#This Row],[date]],"mmm yyyy")</f>
        <v>Jul 2020</v>
      </c>
      <c r="N684" t="str">
        <f t="shared" si="30"/>
        <v>Non-Trading Day</v>
      </c>
      <c r="O684" t="str">
        <f t="shared" si="31"/>
        <v>No Change</v>
      </c>
      <c r="P684" t="str">
        <f t="shared" si="32"/>
        <v>Positive</v>
      </c>
    </row>
    <row r="685" spans="1:16" x14ac:dyDescent="0.3">
      <c r="A685" s="1">
        <v>44038</v>
      </c>
      <c r="B685">
        <v>48.04</v>
      </c>
      <c r="C685">
        <v>0</v>
      </c>
      <c r="D685">
        <v>0</v>
      </c>
      <c r="E685">
        <v>83</v>
      </c>
      <c r="F685">
        <v>3.04</v>
      </c>
      <c r="G685">
        <v>0.2462</v>
      </c>
      <c r="H685">
        <v>2</v>
      </c>
      <c r="J685">
        <v>0</v>
      </c>
      <c r="K685">
        <f>YEAR(NetflixData[[#This Row],[date]])</f>
        <v>2020</v>
      </c>
      <c r="L685" t="str">
        <f>TEXT(NetflixData[[#This Row],[date]],"mmm")</f>
        <v>Jul</v>
      </c>
      <c r="M685" t="str">
        <f>TEXT(NetflixData[[#This Row],[date]],"mmm yyyy")</f>
        <v>Jul 2020</v>
      </c>
      <c r="N685" t="str">
        <f t="shared" si="30"/>
        <v>Trading Day</v>
      </c>
      <c r="O685" t="str">
        <f t="shared" si="31"/>
        <v>No Change</v>
      </c>
      <c r="P685" t="str">
        <f t="shared" si="32"/>
        <v>Positive</v>
      </c>
    </row>
    <row r="686" spans="1:16" x14ac:dyDescent="0.3">
      <c r="A686" s="1">
        <v>44039</v>
      </c>
      <c r="B686">
        <v>49.56</v>
      </c>
      <c r="C686">
        <v>78631000</v>
      </c>
      <c r="D686">
        <v>2.2989999999999999</v>
      </c>
      <c r="E686">
        <v>85</v>
      </c>
      <c r="F686">
        <v>3.59</v>
      </c>
      <c r="G686">
        <v>0.27500000000000002</v>
      </c>
      <c r="H686">
        <v>0</v>
      </c>
      <c r="J686">
        <v>1</v>
      </c>
      <c r="K686">
        <f>YEAR(NetflixData[[#This Row],[date]])</f>
        <v>2020</v>
      </c>
      <c r="L686" t="str">
        <f>TEXT(NetflixData[[#This Row],[date]],"mmm")</f>
        <v>Jul</v>
      </c>
      <c r="M686" t="str">
        <f>TEXT(NetflixData[[#This Row],[date]],"mmm yyyy")</f>
        <v>Jul 2020</v>
      </c>
      <c r="N686" t="str">
        <f t="shared" si="30"/>
        <v>Trading Day</v>
      </c>
      <c r="O686" t="str">
        <f t="shared" si="31"/>
        <v>Positive</v>
      </c>
      <c r="P686" t="str">
        <f t="shared" si="32"/>
        <v>Positive</v>
      </c>
    </row>
    <row r="687" spans="1:16" x14ac:dyDescent="0.3">
      <c r="A687" s="1">
        <v>44040</v>
      </c>
      <c r="B687">
        <v>48.85</v>
      </c>
      <c r="C687">
        <v>59867000</v>
      </c>
      <c r="D687">
        <v>-1.514</v>
      </c>
      <c r="E687">
        <v>100</v>
      </c>
      <c r="F687">
        <v>3.32</v>
      </c>
      <c r="G687">
        <v>0.31509999999999999</v>
      </c>
      <c r="H687">
        <v>1</v>
      </c>
      <c r="J687">
        <v>1</v>
      </c>
      <c r="K687">
        <f>YEAR(NetflixData[[#This Row],[date]])</f>
        <v>2020</v>
      </c>
      <c r="L687" t="str">
        <f>TEXT(NetflixData[[#This Row],[date]],"mmm")</f>
        <v>Jul</v>
      </c>
      <c r="M687" t="str">
        <f>TEXT(NetflixData[[#This Row],[date]],"mmm yyyy")</f>
        <v>Jul 2020</v>
      </c>
      <c r="N687" t="str">
        <f t="shared" si="30"/>
        <v>Trading Day</v>
      </c>
      <c r="O687" t="str">
        <f t="shared" si="31"/>
        <v>Negative</v>
      </c>
      <c r="P687" t="str">
        <f t="shared" si="32"/>
        <v>Positive</v>
      </c>
    </row>
    <row r="688" spans="1:16" x14ac:dyDescent="0.3">
      <c r="A688" s="1">
        <v>44041</v>
      </c>
      <c r="B688">
        <v>48.45</v>
      </c>
      <c r="C688">
        <v>66118000</v>
      </c>
      <c r="D688">
        <v>-1.5780000000000001</v>
      </c>
      <c r="E688">
        <v>78</v>
      </c>
      <c r="F688">
        <v>2.99</v>
      </c>
      <c r="G688">
        <v>0.1923</v>
      </c>
      <c r="H688">
        <v>5</v>
      </c>
      <c r="I688">
        <v>6.68</v>
      </c>
      <c r="J688">
        <v>1</v>
      </c>
      <c r="K688">
        <f>YEAR(NetflixData[[#This Row],[date]])</f>
        <v>2020</v>
      </c>
      <c r="L688" t="str">
        <f>TEXT(NetflixData[[#This Row],[date]],"mmm")</f>
        <v>Jul</v>
      </c>
      <c r="M688" t="str">
        <f>TEXT(NetflixData[[#This Row],[date]],"mmm yyyy")</f>
        <v>Jul 2020</v>
      </c>
      <c r="N688" t="str">
        <f t="shared" si="30"/>
        <v>Trading Day</v>
      </c>
      <c r="O688" t="str">
        <f t="shared" si="31"/>
        <v>Negative</v>
      </c>
      <c r="P688" t="str">
        <f t="shared" si="32"/>
        <v>Positive</v>
      </c>
    </row>
    <row r="689" spans="1:16" x14ac:dyDescent="0.3">
      <c r="A689" s="1">
        <v>44042</v>
      </c>
      <c r="B689">
        <v>48.58</v>
      </c>
      <c r="C689">
        <v>66086000</v>
      </c>
      <c r="D689">
        <v>1.0589999999999999</v>
      </c>
      <c r="E689">
        <v>95</v>
      </c>
      <c r="F689">
        <v>3.44</v>
      </c>
      <c r="G689">
        <v>0.28160000000000002</v>
      </c>
      <c r="H689">
        <v>4</v>
      </c>
      <c r="I689">
        <v>7.25</v>
      </c>
      <c r="J689">
        <v>1</v>
      </c>
      <c r="K689">
        <f>YEAR(NetflixData[[#This Row],[date]])</f>
        <v>2020</v>
      </c>
      <c r="L689" t="str">
        <f>TEXT(NetflixData[[#This Row],[date]],"mmm")</f>
        <v>Jul</v>
      </c>
      <c r="M689" t="str">
        <f>TEXT(NetflixData[[#This Row],[date]],"mmm yyyy")</f>
        <v>Jul 2020</v>
      </c>
      <c r="N689" t="str">
        <f t="shared" si="30"/>
        <v>Trading Day</v>
      </c>
      <c r="O689" t="str">
        <f t="shared" si="31"/>
        <v>Positive</v>
      </c>
      <c r="P689" t="str">
        <f t="shared" si="32"/>
        <v>Positive</v>
      </c>
    </row>
    <row r="690" spans="1:16" x14ac:dyDescent="0.3">
      <c r="A690" s="1">
        <v>44043</v>
      </c>
      <c r="B690">
        <v>48.89</v>
      </c>
      <c r="C690">
        <v>59163000</v>
      </c>
      <c r="D690">
        <v>0.121</v>
      </c>
      <c r="E690">
        <v>96</v>
      </c>
      <c r="F690">
        <v>3.14</v>
      </c>
      <c r="G690">
        <v>0.27829999999999999</v>
      </c>
      <c r="H690">
        <v>8</v>
      </c>
      <c r="I690">
        <v>6.26</v>
      </c>
      <c r="J690">
        <v>1</v>
      </c>
      <c r="K690">
        <f>YEAR(NetflixData[[#This Row],[date]])</f>
        <v>2020</v>
      </c>
      <c r="L690" t="str">
        <f>TEXT(NetflixData[[#This Row],[date]],"mmm")</f>
        <v>Jul</v>
      </c>
      <c r="M690" t="str">
        <f>TEXT(NetflixData[[#This Row],[date]],"mmm yyyy")</f>
        <v>Jul 2020</v>
      </c>
      <c r="N690" t="str">
        <f t="shared" si="30"/>
        <v>Non-Trading Day</v>
      </c>
      <c r="O690" t="str">
        <f t="shared" si="31"/>
        <v>Positive</v>
      </c>
      <c r="P690" t="str">
        <f t="shared" si="32"/>
        <v>Positive</v>
      </c>
    </row>
    <row r="691" spans="1:16" x14ac:dyDescent="0.3">
      <c r="A691" s="1">
        <v>44044</v>
      </c>
      <c r="B691">
        <v>48.89</v>
      </c>
      <c r="C691">
        <v>0</v>
      </c>
      <c r="D691">
        <v>0</v>
      </c>
      <c r="E691">
        <v>94</v>
      </c>
      <c r="F691">
        <v>3.2</v>
      </c>
      <c r="G691">
        <v>0.28689999999999999</v>
      </c>
      <c r="H691">
        <v>22</v>
      </c>
      <c r="I691">
        <v>5.99</v>
      </c>
      <c r="J691">
        <v>0</v>
      </c>
      <c r="K691">
        <f>YEAR(NetflixData[[#This Row],[date]])</f>
        <v>2020</v>
      </c>
      <c r="L691" t="str">
        <f>TEXT(NetflixData[[#This Row],[date]],"mmm")</f>
        <v>Aug</v>
      </c>
      <c r="M691" t="str">
        <f>TEXT(NetflixData[[#This Row],[date]],"mmm yyyy")</f>
        <v>Aug 2020</v>
      </c>
      <c r="N691" t="str">
        <f t="shared" si="30"/>
        <v>Non-Trading Day</v>
      </c>
      <c r="O691" t="str">
        <f t="shared" si="31"/>
        <v>No Change</v>
      </c>
      <c r="P691" t="str">
        <f t="shared" si="32"/>
        <v>Positive</v>
      </c>
    </row>
    <row r="692" spans="1:16" x14ac:dyDescent="0.3">
      <c r="A692" s="1">
        <v>44045</v>
      </c>
      <c r="B692">
        <v>48.89</v>
      </c>
      <c r="C692">
        <v>0</v>
      </c>
      <c r="D692">
        <v>0</v>
      </c>
      <c r="E692">
        <v>84</v>
      </c>
      <c r="F692">
        <v>2.4900000000000002</v>
      </c>
      <c r="G692">
        <v>4.6399999999999997E-2</v>
      </c>
      <c r="H692">
        <v>3</v>
      </c>
      <c r="I692">
        <v>6.7</v>
      </c>
      <c r="J692">
        <v>0</v>
      </c>
      <c r="K692">
        <f>YEAR(NetflixData[[#This Row],[date]])</f>
        <v>2020</v>
      </c>
      <c r="L692" t="str">
        <f>TEXT(NetflixData[[#This Row],[date]],"mmm")</f>
        <v>Aug</v>
      </c>
      <c r="M692" t="str">
        <f>TEXT(NetflixData[[#This Row],[date]],"mmm yyyy")</f>
        <v>Aug 2020</v>
      </c>
      <c r="N692" t="str">
        <f t="shared" si="30"/>
        <v>Trading Day</v>
      </c>
      <c r="O692" t="str">
        <f t="shared" si="31"/>
        <v>No Change</v>
      </c>
      <c r="P692" t="str">
        <f t="shared" si="32"/>
        <v>Neutral</v>
      </c>
    </row>
    <row r="693" spans="1:16" x14ac:dyDescent="0.3">
      <c r="A693" s="1">
        <v>44046</v>
      </c>
      <c r="B693">
        <v>49.86</v>
      </c>
      <c r="C693">
        <v>58731000</v>
      </c>
      <c r="D693">
        <v>1.581</v>
      </c>
      <c r="E693">
        <v>73</v>
      </c>
      <c r="F693">
        <v>3.07</v>
      </c>
      <c r="G693">
        <v>0.25240000000000001</v>
      </c>
      <c r="H693">
        <v>1</v>
      </c>
      <c r="I693">
        <v>7.6</v>
      </c>
      <c r="J693">
        <v>1</v>
      </c>
      <c r="K693">
        <f>YEAR(NetflixData[[#This Row],[date]])</f>
        <v>2020</v>
      </c>
      <c r="L693" t="str">
        <f>TEXT(NetflixData[[#This Row],[date]],"mmm")</f>
        <v>Aug</v>
      </c>
      <c r="M693" t="str">
        <f>TEXT(NetflixData[[#This Row],[date]],"mmm yyyy")</f>
        <v>Aug 2020</v>
      </c>
      <c r="N693" t="str">
        <f t="shared" si="30"/>
        <v>Trading Day</v>
      </c>
      <c r="O693" t="str">
        <f t="shared" si="31"/>
        <v>Positive</v>
      </c>
      <c r="P693" t="str">
        <f t="shared" si="32"/>
        <v>Positive</v>
      </c>
    </row>
    <row r="694" spans="1:16" x14ac:dyDescent="0.3">
      <c r="A694" s="1">
        <v>44047</v>
      </c>
      <c r="B694">
        <v>50.96</v>
      </c>
      <c r="C694">
        <v>56080000</v>
      </c>
      <c r="D694">
        <v>2.2040000000000002</v>
      </c>
      <c r="E694">
        <v>65</v>
      </c>
      <c r="F694">
        <v>3.28</v>
      </c>
      <c r="G694">
        <v>0.3609</v>
      </c>
      <c r="H694">
        <v>4</v>
      </c>
      <c r="I694">
        <v>6.2</v>
      </c>
      <c r="J694">
        <v>1</v>
      </c>
      <c r="K694">
        <f>YEAR(NetflixData[[#This Row],[date]])</f>
        <v>2020</v>
      </c>
      <c r="L694" t="str">
        <f>TEXT(NetflixData[[#This Row],[date]],"mmm")</f>
        <v>Aug</v>
      </c>
      <c r="M694" t="str">
        <f>TEXT(NetflixData[[#This Row],[date]],"mmm yyyy")</f>
        <v>Aug 2020</v>
      </c>
      <c r="N694" t="str">
        <f t="shared" si="30"/>
        <v>Trading Day</v>
      </c>
      <c r="O694" t="str">
        <f t="shared" si="31"/>
        <v>Positive</v>
      </c>
      <c r="P694" t="str">
        <f t="shared" si="32"/>
        <v>Positive</v>
      </c>
    </row>
    <row r="695" spans="1:16" x14ac:dyDescent="0.3">
      <c r="A695" s="1">
        <v>44048</v>
      </c>
      <c r="B695">
        <v>50.21</v>
      </c>
      <c r="C695">
        <v>43082000</v>
      </c>
      <c r="D695">
        <v>-1.292</v>
      </c>
      <c r="E695">
        <v>65</v>
      </c>
      <c r="F695">
        <v>3.23</v>
      </c>
      <c r="G695">
        <v>0.22090000000000001</v>
      </c>
      <c r="H695">
        <v>3</v>
      </c>
      <c r="I695">
        <v>5.57</v>
      </c>
      <c r="J695">
        <v>1</v>
      </c>
      <c r="K695">
        <f>YEAR(NetflixData[[#This Row],[date]])</f>
        <v>2020</v>
      </c>
      <c r="L695" t="str">
        <f>TEXT(NetflixData[[#This Row],[date]],"mmm")</f>
        <v>Aug</v>
      </c>
      <c r="M695" t="str">
        <f>TEXT(NetflixData[[#This Row],[date]],"mmm yyyy")</f>
        <v>Aug 2020</v>
      </c>
      <c r="N695" t="str">
        <f t="shared" si="30"/>
        <v>Trading Day</v>
      </c>
      <c r="O695" t="str">
        <f t="shared" si="31"/>
        <v>Negative</v>
      </c>
      <c r="P695" t="str">
        <f t="shared" si="32"/>
        <v>Positive</v>
      </c>
    </row>
    <row r="696" spans="1:16" x14ac:dyDescent="0.3">
      <c r="A696" s="1">
        <v>44049</v>
      </c>
      <c r="B696">
        <v>50.91</v>
      </c>
      <c r="C696">
        <v>37259000</v>
      </c>
      <c r="D696">
        <v>0.98599999999999999</v>
      </c>
      <c r="E696">
        <v>92</v>
      </c>
      <c r="F696">
        <v>3.04</v>
      </c>
      <c r="G696">
        <v>0.23369999999999999</v>
      </c>
      <c r="H696">
        <v>4</v>
      </c>
      <c r="I696">
        <v>6.2</v>
      </c>
      <c r="J696">
        <v>1</v>
      </c>
      <c r="K696">
        <f>YEAR(NetflixData[[#This Row],[date]])</f>
        <v>2020</v>
      </c>
      <c r="L696" t="str">
        <f>TEXT(NetflixData[[#This Row],[date]],"mmm")</f>
        <v>Aug</v>
      </c>
      <c r="M696" t="str">
        <f>TEXT(NetflixData[[#This Row],[date]],"mmm yyyy")</f>
        <v>Aug 2020</v>
      </c>
      <c r="N696" t="str">
        <f t="shared" si="30"/>
        <v>Trading Day</v>
      </c>
      <c r="O696" t="str">
        <f t="shared" si="31"/>
        <v>Positive</v>
      </c>
      <c r="P696" t="str">
        <f t="shared" si="32"/>
        <v>Positive</v>
      </c>
    </row>
    <row r="697" spans="1:16" x14ac:dyDescent="0.3">
      <c r="A697" s="1">
        <v>44050</v>
      </c>
      <c r="B697">
        <v>49.47</v>
      </c>
      <c r="C697">
        <v>59103000</v>
      </c>
      <c r="D697">
        <v>-2.121</v>
      </c>
      <c r="E697">
        <v>96</v>
      </c>
      <c r="F697">
        <v>3</v>
      </c>
      <c r="G697">
        <v>0.33200000000000002</v>
      </c>
      <c r="H697">
        <v>11</v>
      </c>
      <c r="I697">
        <v>5.84</v>
      </c>
      <c r="J697">
        <v>1</v>
      </c>
      <c r="K697">
        <f>YEAR(NetflixData[[#This Row],[date]])</f>
        <v>2020</v>
      </c>
      <c r="L697" t="str">
        <f>TEXT(NetflixData[[#This Row],[date]],"mmm")</f>
        <v>Aug</v>
      </c>
      <c r="M697" t="str">
        <f>TEXT(NetflixData[[#This Row],[date]],"mmm yyyy")</f>
        <v>Aug 2020</v>
      </c>
      <c r="N697" t="str">
        <f t="shared" si="30"/>
        <v>Non-Trading Day</v>
      </c>
      <c r="O697" t="str">
        <f t="shared" si="31"/>
        <v>Negative</v>
      </c>
      <c r="P697" t="str">
        <f t="shared" si="32"/>
        <v>Positive</v>
      </c>
    </row>
    <row r="698" spans="1:16" x14ac:dyDescent="0.3">
      <c r="A698" s="1">
        <v>44051</v>
      </c>
      <c r="B698">
        <v>49.47</v>
      </c>
      <c r="C698">
        <v>0</v>
      </c>
      <c r="D698">
        <v>0</v>
      </c>
      <c r="E698">
        <v>86</v>
      </c>
      <c r="F698">
        <v>2.7</v>
      </c>
      <c r="G698">
        <v>0.26429999999999998</v>
      </c>
      <c r="H698">
        <v>3</v>
      </c>
      <c r="I698">
        <v>5.07</v>
      </c>
      <c r="J698">
        <v>0</v>
      </c>
      <c r="K698">
        <f>YEAR(NetflixData[[#This Row],[date]])</f>
        <v>2020</v>
      </c>
      <c r="L698" t="str">
        <f>TEXT(NetflixData[[#This Row],[date]],"mmm")</f>
        <v>Aug</v>
      </c>
      <c r="M698" t="str">
        <f>TEXT(NetflixData[[#This Row],[date]],"mmm yyyy")</f>
        <v>Aug 2020</v>
      </c>
      <c r="N698" t="str">
        <f t="shared" si="30"/>
        <v>Non-Trading Day</v>
      </c>
      <c r="O698" t="str">
        <f t="shared" si="31"/>
        <v>No Change</v>
      </c>
      <c r="P698" t="str">
        <f t="shared" si="32"/>
        <v>Positive</v>
      </c>
    </row>
    <row r="699" spans="1:16" x14ac:dyDescent="0.3">
      <c r="A699" s="1">
        <v>44052</v>
      </c>
      <c r="B699">
        <v>49.47</v>
      </c>
      <c r="C699">
        <v>0</v>
      </c>
      <c r="D699">
        <v>0</v>
      </c>
      <c r="E699">
        <v>108</v>
      </c>
      <c r="F699">
        <v>2.69</v>
      </c>
      <c r="G699">
        <v>0.15290000000000001</v>
      </c>
      <c r="H699">
        <v>1</v>
      </c>
      <c r="I699">
        <v>6.1</v>
      </c>
      <c r="J699">
        <v>0</v>
      </c>
      <c r="K699">
        <f>YEAR(NetflixData[[#This Row],[date]])</f>
        <v>2020</v>
      </c>
      <c r="L699" t="str">
        <f>TEXT(NetflixData[[#This Row],[date]],"mmm")</f>
        <v>Aug</v>
      </c>
      <c r="M699" t="str">
        <f>TEXT(NetflixData[[#This Row],[date]],"mmm yyyy")</f>
        <v>Aug 2020</v>
      </c>
      <c r="N699" t="str">
        <f t="shared" si="30"/>
        <v>Trading Day</v>
      </c>
      <c r="O699" t="str">
        <f t="shared" si="31"/>
        <v>No Change</v>
      </c>
      <c r="P699" t="str">
        <f t="shared" si="32"/>
        <v>Positive</v>
      </c>
    </row>
    <row r="700" spans="1:16" x14ac:dyDescent="0.3">
      <c r="A700" s="1">
        <v>44053</v>
      </c>
      <c r="B700">
        <v>48.34</v>
      </c>
      <c r="C700">
        <v>46912000</v>
      </c>
      <c r="D700">
        <v>-2.0209999999999999</v>
      </c>
      <c r="E700">
        <v>65</v>
      </c>
      <c r="F700">
        <v>3.08</v>
      </c>
      <c r="G700">
        <v>0.24640000000000001</v>
      </c>
      <c r="H700">
        <v>5</v>
      </c>
      <c r="I700">
        <v>6.7</v>
      </c>
      <c r="J700">
        <v>1</v>
      </c>
      <c r="K700">
        <f>YEAR(NetflixData[[#This Row],[date]])</f>
        <v>2020</v>
      </c>
      <c r="L700" t="str">
        <f>TEXT(NetflixData[[#This Row],[date]],"mmm")</f>
        <v>Aug</v>
      </c>
      <c r="M700" t="str">
        <f>TEXT(NetflixData[[#This Row],[date]],"mmm yyyy")</f>
        <v>Aug 2020</v>
      </c>
      <c r="N700" t="str">
        <f t="shared" si="30"/>
        <v>Trading Day</v>
      </c>
      <c r="O700" t="str">
        <f t="shared" si="31"/>
        <v>Negative</v>
      </c>
      <c r="P700" t="str">
        <f t="shared" si="32"/>
        <v>Positive</v>
      </c>
    </row>
    <row r="701" spans="1:16" x14ac:dyDescent="0.3">
      <c r="A701" s="1">
        <v>44054</v>
      </c>
      <c r="B701">
        <v>46.69</v>
      </c>
      <c r="C701">
        <v>73292000</v>
      </c>
      <c r="D701">
        <v>-2.6720000000000002</v>
      </c>
      <c r="E701">
        <v>79</v>
      </c>
      <c r="F701">
        <v>3.16</v>
      </c>
      <c r="G701">
        <v>0.27810000000000001</v>
      </c>
      <c r="H701">
        <v>2</v>
      </c>
      <c r="I701">
        <v>6.8</v>
      </c>
      <c r="J701">
        <v>1</v>
      </c>
      <c r="K701">
        <f>YEAR(NetflixData[[#This Row],[date]])</f>
        <v>2020</v>
      </c>
      <c r="L701" t="str">
        <f>TEXT(NetflixData[[#This Row],[date]],"mmm")</f>
        <v>Aug</v>
      </c>
      <c r="M701" t="str">
        <f>TEXT(NetflixData[[#This Row],[date]],"mmm yyyy")</f>
        <v>Aug 2020</v>
      </c>
      <c r="N701" t="str">
        <f t="shared" si="30"/>
        <v>Trading Day</v>
      </c>
      <c r="O701" t="str">
        <f t="shared" si="31"/>
        <v>Negative</v>
      </c>
      <c r="P701" t="str">
        <f t="shared" si="32"/>
        <v>Positive</v>
      </c>
    </row>
    <row r="702" spans="1:16" x14ac:dyDescent="0.3">
      <c r="A702" s="1">
        <v>44055</v>
      </c>
      <c r="B702">
        <v>47.55</v>
      </c>
      <c r="C702">
        <v>54392000</v>
      </c>
      <c r="D702">
        <v>0.876</v>
      </c>
      <c r="E702">
        <v>80</v>
      </c>
      <c r="F702">
        <v>3.28</v>
      </c>
      <c r="G702">
        <v>0.30709999999999998</v>
      </c>
      <c r="H702">
        <v>3</v>
      </c>
      <c r="I702">
        <v>5.2</v>
      </c>
      <c r="J702">
        <v>1</v>
      </c>
      <c r="K702">
        <f>YEAR(NetflixData[[#This Row],[date]])</f>
        <v>2020</v>
      </c>
      <c r="L702" t="str">
        <f>TEXT(NetflixData[[#This Row],[date]],"mmm")</f>
        <v>Aug</v>
      </c>
      <c r="M702" t="str">
        <f>TEXT(NetflixData[[#This Row],[date]],"mmm yyyy")</f>
        <v>Aug 2020</v>
      </c>
      <c r="N702" t="str">
        <f t="shared" si="30"/>
        <v>Trading Day</v>
      </c>
      <c r="O702" t="str">
        <f t="shared" si="31"/>
        <v>Positive</v>
      </c>
      <c r="P702" t="str">
        <f t="shared" si="32"/>
        <v>Positive</v>
      </c>
    </row>
    <row r="703" spans="1:16" x14ac:dyDescent="0.3">
      <c r="A703" s="1">
        <v>44056</v>
      </c>
      <c r="B703">
        <v>48.13</v>
      </c>
      <c r="C703">
        <v>30089000</v>
      </c>
      <c r="D703">
        <v>0.61199999999999999</v>
      </c>
      <c r="E703">
        <v>86</v>
      </c>
      <c r="F703">
        <v>2.84</v>
      </c>
      <c r="G703">
        <v>0.23080000000000001</v>
      </c>
      <c r="H703">
        <v>7</v>
      </c>
      <c r="I703">
        <v>5.8</v>
      </c>
      <c r="J703">
        <v>1</v>
      </c>
      <c r="K703">
        <f>YEAR(NetflixData[[#This Row],[date]])</f>
        <v>2020</v>
      </c>
      <c r="L703" t="str">
        <f>TEXT(NetflixData[[#This Row],[date]],"mmm")</f>
        <v>Aug</v>
      </c>
      <c r="M703" t="str">
        <f>TEXT(NetflixData[[#This Row],[date]],"mmm yyyy")</f>
        <v>Aug 2020</v>
      </c>
      <c r="N703" t="str">
        <f t="shared" si="30"/>
        <v>Trading Day</v>
      </c>
      <c r="O703" t="str">
        <f t="shared" si="31"/>
        <v>Positive</v>
      </c>
      <c r="P703" t="str">
        <f t="shared" si="32"/>
        <v>Positive</v>
      </c>
    </row>
    <row r="704" spans="1:16" x14ac:dyDescent="0.3">
      <c r="A704" s="1">
        <v>44057</v>
      </c>
      <c r="B704">
        <v>48.27</v>
      </c>
      <c r="C704">
        <v>29435000</v>
      </c>
      <c r="D704">
        <v>-2.9000000000000001E-2</v>
      </c>
      <c r="E704">
        <v>116</v>
      </c>
      <c r="F704">
        <v>3.23</v>
      </c>
      <c r="G704">
        <v>0.29120000000000001</v>
      </c>
      <c r="H704">
        <v>11</v>
      </c>
      <c r="I704">
        <v>6.56</v>
      </c>
      <c r="J704">
        <v>1</v>
      </c>
      <c r="K704">
        <f>YEAR(NetflixData[[#This Row],[date]])</f>
        <v>2020</v>
      </c>
      <c r="L704" t="str">
        <f>TEXT(NetflixData[[#This Row],[date]],"mmm")</f>
        <v>Aug</v>
      </c>
      <c r="M704" t="str">
        <f>TEXT(NetflixData[[#This Row],[date]],"mmm yyyy")</f>
        <v>Aug 2020</v>
      </c>
      <c r="N704" t="str">
        <f t="shared" si="30"/>
        <v>Non-Trading Day</v>
      </c>
      <c r="O704" t="str">
        <f t="shared" si="31"/>
        <v>Negative</v>
      </c>
      <c r="P704" t="str">
        <f t="shared" si="32"/>
        <v>Positive</v>
      </c>
    </row>
    <row r="705" spans="1:16" x14ac:dyDescent="0.3">
      <c r="A705" s="1">
        <v>44058</v>
      </c>
      <c r="B705">
        <v>48.27</v>
      </c>
      <c r="C705">
        <v>0</v>
      </c>
      <c r="D705">
        <v>0</v>
      </c>
      <c r="E705">
        <v>102</v>
      </c>
      <c r="F705">
        <v>3.2</v>
      </c>
      <c r="G705">
        <v>0.24030000000000001</v>
      </c>
      <c r="H705">
        <v>6</v>
      </c>
      <c r="I705">
        <v>5.68</v>
      </c>
      <c r="J705">
        <v>0</v>
      </c>
      <c r="K705">
        <f>YEAR(NetflixData[[#This Row],[date]])</f>
        <v>2020</v>
      </c>
      <c r="L705" t="str">
        <f>TEXT(NetflixData[[#This Row],[date]],"mmm")</f>
        <v>Aug</v>
      </c>
      <c r="M705" t="str">
        <f>TEXT(NetflixData[[#This Row],[date]],"mmm yyyy")</f>
        <v>Aug 2020</v>
      </c>
      <c r="N705" t="str">
        <f t="shared" si="30"/>
        <v>Non-Trading Day</v>
      </c>
      <c r="O705" t="str">
        <f t="shared" si="31"/>
        <v>No Change</v>
      </c>
      <c r="P705" t="str">
        <f t="shared" si="32"/>
        <v>Positive</v>
      </c>
    </row>
    <row r="706" spans="1:16" x14ac:dyDescent="0.3">
      <c r="A706" s="1">
        <v>44059</v>
      </c>
      <c r="B706">
        <v>48.27</v>
      </c>
      <c r="C706">
        <v>0</v>
      </c>
      <c r="D706">
        <v>0</v>
      </c>
      <c r="E706">
        <v>86</v>
      </c>
      <c r="F706">
        <v>3</v>
      </c>
      <c r="G706">
        <v>0.16839999999999999</v>
      </c>
      <c r="H706">
        <v>3</v>
      </c>
      <c r="I706">
        <v>6.73</v>
      </c>
      <c r="J706">
        <v>0</v>
      </c>
      <c r="K706">
        <f>YEAR(NetflixData[[#This Row],[date]])</f>
        <v>2020</v>
      </c>
      <c r="L706" t="str">
        <f>TEXT(NetflixData[[#This Row],[date]],"mmm")</f>
        <v>Aug</v>
      </c>
      <c r="M706" t="str">
        <f>TEXT(NetflixData[[#This Row],[date]],"mmm yyyy")</f>
        <v>Aug 2020</v>
      </c>
      <c r="N706" t="str">
        <f t="shared" ref="N706:N769" si="33">IF(J707=1,"Trading Day","Non-Trading Day")</f>
        <v>Trading Day</v>
      </c>
      <c r="O706" t="str">
        <f t="shared" ref="O706:O769" si="34">IF(D706&gt;0,"Positive",IF(D706&lt;0,"Negative","No Change"))</f>
        <v>No Change</v>
      </c>
      <c r="P706" t="str">
        <f t="shared" ref="P706:P769" si="35">IF(G706&gt;0.1,"Positive",IF(G706&lt;-0.1,"Negative","Neutral"))</f>
        <v>Positive</v>
      </c>
    </row>
    <row r="707" spans="1:16" x14ac:dyDescent="0.3">
      <c r="A707" s="1">
        <v>44060</v>
      </c>
      <c r="B707">
        <v>48.24</v>
      </c>
      <c r="C707">
        <v>24235000</v>
      </c>
      <c r="D707">
        <v>-0.38</v>
      </c>
      <c r="E707">
        <v>69</v>
      </c>
      <c r="F707">
        <v>2.87</v>
      </c>
      <c r="G707">
        <v>0.1366</v>
      </c>
      <c r="H707">
        <v>3</v>
      </c>
      <c r="I707">
        <v>6.95</v>
      </c>
      <c r="J707">
        <v>1</v>
      </c>
      <c r="K707">
        <f>YEAR(NetflixData[[#This Row],[date]])</f>
        <v>2020</v>
      </c>
      <c r="L707" t="str">
        <f>TEXT(NetflixData[[#This Row],[date]],"mmm")</f>
        <v>Aug</v>
      </c>
      <c r="M707" t="str">
        <f>TEXT(NetflixData[[#This Row],[date]],"mmm yyyy")</f>
        <v>Aug 2020</v>
      </c>
      <c r="N707" t="str">
        <f t="shared" si="33"/>
        <v>Trading Day</v>
      </c>
      <c r="O707" t="str">
        <f t="shared" si="34"/>
        <v>Negative</v>
      </c>
      <c r="P707" t="str">
        <f t="shared" si="35"/>
        <v>Positive</v>
      </c>
    </row>
    <row r="708" spans="1:16" x14ac:dyDescent="0.3">
      <c r="A708" s="1">
        <v>44061</v>
      </c>
      <c r="B708">
        <v>49.19</v>
      </c>
      <c r="C708">
        <v>35055000</v>
      </c>
      <c r="D708">
        <v>1.5529999999999999</v>
      </c>
      <c r="E708">
        <v>76</v>
      </c>
      <c r="F708">
        <v>3.17</v>
      </c>
      <c r="G708">
        <v>0.2918</v>
      </c>
      <c r="H708">
        <v>2</v>
      </c>
      <c r="I708">
        <v>4.8499999999999996</v>
      </c>
      <c r="J708">
        <v>1</v>
      </c>
      <c r="K708">
        <f>YEAR(NetflixData[[#This Row],[date]])</f>
        <v>2020</v>
      </c>
      <c r="L708" t="str">
        <f>TEXT(NetflixData[[#This Row],[date]],"mmm")</f>
        <v>Aug</v>
      </c>
      <c r="M708" t="str">
        <f>TEXT(NetflixData[[#This Row],[date]],"mmm yyyy")</f>
        <v>Aug 2020</v>
      </c>
      <c r="N708" t="str">
        <f t="shared" si="33"/>
        <v>Trading Day</v>
      </c>
      <c r="O708" t="str">
        <f t="shared" si="34"/>
        <v>Positive</v>
      </c>
      <c r="P708" t="str">
        <f t="shared" si="35"/>
        <v>Positive</v>
      </c>
    </row>
    <row r="709" spans="1:16" x14ac:dyDescent="0.3">
      <c r="A709" s="1">
        <v>44062</v>
      </c>
      <c r="B709">
        <v>48.45</v>
      </c>
      <c r="C709">
        <v>31562000</v>
      </c>
      <c r="D709">
        <v>-1.903</v>
      </c>
      <c r="E709">
        <v>75</v>
      </c>
      <c r="F709">
        <v>3.21</v>
      </c>
      <c r="G709">
        <v>0.26350000000000001</v>
      </c>
      <c r="H709">
        <v>3</v>
      </c>
      <c r="I709">
        <v>6.87</v>
      </c>
      <c r="J709">
        <v>1</v>
      </c>
      <c r="K709">
        <f>YEAR(NetflixData[[#This Row],[date]])</f>
        <v>2020</v>
      </c>
      <c r="L709" t="str">
        <f>TEXT(NetflixData[[#This Row],[date]],"mmm")</f>
        <v>Aug</v>
      </c>
      <c r="M709" t="str">
        <f>TEXT(NetflixData[[#This Row],[date]],"mmm yyyy")</f>
        <v>Aug 2020</v>
      </c>
      <c r="N709" t="str">
        <f t="shared" si="33"/>
        <v>Trading Day</v>
      </c>
      <c r="O709" t="str">
        <f t="shared" si="34"/>
        <v>Negative</v>
      </c>
      <c r="P709" t="str">
        <f t="shared" si="35"/>
        <v>Positive</v>
      </c>
    </row>
    <row r="710" spans="1:16" x14ac:dyDescent="0.3">
      <c r="A710" s="1">
        <v>44063</v>
      </c>
      <c r="B710">
        <v>49.79</v>
      </c>
      <c r="C710">
        <v>51325000</v>
      </c>
      <c r="D710">
        <v>2.7250000000000001</v>
      </c>
      <c r="E710">
        <v>88</v>
      </c>
      <c r="F710">
        <v>3.06</v>
      </c>
      <c r="G710">
        <v>0.20200000000000001</v>
      </c>
      <c r="H710">
        <v>6</v>
      </c>
      <c r="I710">
        <v>5.66</v>
      </c>
      <c r="J710">
        <v>1</v>
      </c>
      <c r="K710">
        <f>YEAR(NetflixData[[#This Row],[date]])</f>
        <v>2020</v>
      </c>
      <c r="L710" t="str">
        <f>TEXT(NetflixData[[#This Row],[date]],"mmm")</f>
        <v>Aug</v>
      </c>
      <c r="M710" t="str">
        <f>TEXT(NetflixData[[#This Row],[date]],"mmm yyyy")</f>
        <v>Aug 2020</v>
      </c>
      <c r="N710" t="str">
        <f t="shared" si="33"/>
        <v>Trading Day</v>
      </c>
      <c r="O710" t="str">
        <f t="shared" si="34"/>
        <v>Positive</v>
      </c>
      <c r="P710" t="str">
        <f t="shared" si="35"/>
        <v>Positive</v>
      </c>
    </row>
    <row r="711" spans="1:16" x14ac:dyDescent="0.3">
      <c r="A711" s="1">
        <v>44064</v>
      </c>
      <c r="B711">
        <v>49.23</v>
      </c>
      <c r="C711">
        <v>39213000</v>
      </c>
      <c r="D711">
        <v>-0.83599999999999997</v>
      </c>
      <c r="E711">
        <v>108</v>
      </c>
      <c r="F711">
        <v>2.85</v>
      </c>
      <c r="G711">
        <v>0.26379999999999998</v>
      </c>
      <c r="H711">
        <v>10</v>
      </c>
      <c r="I711">
        <v>5.51</v>
      </c>
      <c r="J711">
        <v>1</v>
      </c>
      <c r="K711">
        <f>YEAR(NetflixData[[#This Row],[date]])</f>
        <v>2020</v>
      </c>
      <c r="L711" t="str">
        <f>TEXT(NetflixData[[#This Row],[date]],"mmm")</f>
        <v>Aug</v>
      </c>
      <c r="M711" t="str">
        <f>TEXT(NetflixData[[#This Row],[date]],"mmm yyyy")</f>
        <v>Aug 2020</v>
      </c>
      <c r="N711" t="str">
        <f t="shared" si="33"/>
        <v>Non-Trading Day</v>
      </c>
      <c r="O711" t="str">
        <f t="shared" si="34"/>
        <v>Negative</v>
      </c>
      <c r="P711" t="str">
        <f t="shared" si="35"/>
        <v>Positive</v>
      </c>
    </row>
    <row r="712" spans="1:16" x14ac:dyDescent="0.3">
      <c r="A712" s="1">
        <v>44065</v>
      </c>
      <c r="B712">
        <v>49.23</v>
      </c>
      <c r="C712">
        <v>0</v>
      </c>
      <c r="D712">
        <v>0</v>
      </c>
      <c r="E712">
        <v>98</v>
      </c>
      <c r="F712">
        <v>2.95</v>
      </c>
      <c r="G712">
        <v>0.26840000000000003</v>
      </c>
      <c r="H712">
        <v>2</v>
      </c>
      <c r="I712">
        <v>6.3</v>
      </c>
      <c r="J712">
        <v>0</v>
      </c>
      <c r="K712">
        <f>YEAR(NetflixData[[#This Row],[date]])</f>
        <v>2020</v>
      </c>
      <c r="L712" t="str">
        <f>TEXT(NetflixData[[#This Row],[date]],"mmm")</f>
        <v>Aug</v>
      </c>
      <c r="M712" t="str">
        <f>TEXT(NetflixData[[#This Row],[date]],"mmm yyyy")</f>
        <v>Aug 2020</v>
      </c>
      <c r="N712" t="str">
        <f t="shared" si="33"/>
        <v>Non-Trading Day</v>
      </c>
      <c r="O712" t="str">
        <f t="shared" si="34"/>
        <v>No Change</v>
      </c>
      <c r="P712" t="str">
        <f t="shared" si="35"/>
        <v>Positive</v>
      </c>
    </row>
    <row r="713" spans="1:16" x14ac:dyDescent="0.3">
      <c r="A713" s="1">
        <v>44066</v>
      </c>
      <c r="B713">
        <v>49.23</v>
      </c>
      <c r="C713">
        <v>0</v>
      </c>
      <c r="D713">
        <v>0</v>
      </c>
      <c r="E713">
        <v>70</v>
      </c>
      <c r="F713">
        <v>2.57</v>
      </c>
      <c r="G713">
        <v>0.36170000000000002</v>
      </c>
      <c r="H713">
        <v>1</v>
      </c>
      <c r="I713">
        <v>5.8</v>
      </c>
      <c r="J713">
        <v>0</v>
      </c>
      <c r="K713">
        <f>YEAR(NetflixData[[#This Row],[date]])</f>
        <v>2020</v>
      </c>
      <c r="L713" t="str">
        <f>TEXT(NetflixData[[#This Row],[date]],"mmm")</f>
        <v>Aug</v>
      </c>
      <c r="M713" t="str">
        <f>TEXT(NetflixData[[#This Row],[date]],"mmm yyyy")</f>
        <v>Aug 2020</v>
      </c>
      <c r="N713" t="str">
        <f t="shared" si="33"/>
        <v>Trading Day</v>
      </c>
      <c r="O713" t="str">
        <f t="shared" si="34"/>
        <v>No Change</v>
      </c>
      <c r="P713" t="str">
        <f t="shared" si="35"/>
        <v>Positive</v>
      </c>
    </row>
    <row r="714" spans="1:16" x14ac:dyDescent="0.3">
      <c r="A714" s="1">
        <v>44067</v>
      </c>
      <c r="B714">
        <v>48.88</v>
      </c>
      <c r="C714">
        <v>47622000</v>
      </c>
      <c r="D714">
        <v>-1.3380000000000001</v>
      </c>
      <c r="E714">
        <v>75</v>
      </c>
      <c r="F714">
        <v>3.36</v>
      </c>
      <c r="G714">
        <v>0.34200000000000003</v>
      </c>
      <c r="H714">
        <v>3</v>
      </c>
      <c r="I714">
        <v>6.2</v>
      </c>
      <c r="J714">
        <v>1</v>
      </c>
      <c r="K714">
        <f>YEAR(NetflixData[[#This Row],[date]])</f>
        <v>2020</v>
      </c>
      <c r="L714" t="str">
        <f>TEXT(NetflixData[[#This Row],[date]],"mmm")</f>
        <v>Aug</v>
      </c>
      <c r="M714" t="str">
        <f>TEXT(NetflixData[[#This Row],[date]],"mmm yyyy")</f>
        <v>Aug 2020</v>
      </c>
      <c r="N714" t="str">
        <f t="shared" si="33"/>
        <v>Trading Day</v>
      </c>
      <c r="O714" t="str">
        <f t="shared" si="34"/>
        <v>Negative</v>
      </c>
      <c r="P714" t="str">
        <f t="shared" si="35"/>
        <v>Positive</v>
      </c>
    </row>
    <row r="715" spans="1:16" x14ac:dyDescent="0.3">
      <c r="A715" s="1">
        <v>44068</v>
      </c>
      <c r="B715">
        <v>49.06</v>
      </c>
      <c r="C715">
        <v>57277000</v>
      </c>
      <c r="D715">
        <v>0.49</v>
      </c>
      <c r="E715">
        <v>86</v>
      </c>
      <c r="F715">
        <v>3.36</v>
      </c>
      <c r="G715">
        <v>0.24959999999999999</v>
      </c>
      <c r="H715">
        <v>2</v>
      </c>
      <c r="I715">
        <v>7.75</v>
      </c>
      <c r="J715">
        <v>1</v>
      </c>
      <c r="K715">
        <f>YEAR(NetflixData[[#This Row],[date]])</f>
        <v>2020</v>
      </c>
      <c r="L715" t="str">
        <f>TEXT(NetflixData[[#This Row],[date]],"mmm")</f>
        <v>Aug</v>
      </c>
      <c r="M715" t="str">
        <f>TEXT(NetflixData[[#This Row],[date]],"mmm yyyy")</f>
        <v>Aug 2020</v>
      </c>
      <c r="N715" t="str">
        <f t="shared" si="33"/>
        <v>Trading Day</v>
      </c>
      <c r="O715" t="str">
        <f t="shared" si="34"/>
        <v>Positive</v>
      </c>
      <c r="P715" t="str">
        <f t="shared" si="35"/>
        <v>Positive</v>
      </c>
    </row>
    <row r="716" spans="1:16" x14ac:dyDescent="0.3">
      <c r="A716" s="1">
        <v>44069</v>
      </c>
      <c r="B716">
        <v>54.75</v>
      </c>
      <c r="C716">
        <v>203737000</v>
      </c>
      <c r="D716">
        <v>11.173999999999999</v>
      </c>
      <c r="E716">
        <v>59</v>
      </c>
      <c r="F716">
        <v>2.93</v>
      </c>
      <c r="G716">
        <v>0.11749999999999999</v>
      </c>
      <c r="H716">
        <v>5</v>
      </c>
      <c r="I716">
        <v>6.7</v>
      </c>
      <c r="J716">
        <v>1</v>
      </c>
      <c r="K716">
        <f>YEAR(NetflixData[[#This Row],[date]])</f>
        <v>2020</v>
      </c>
      <c r="L716" t="str">
        <f>TEXT(NetflixData[[#This Row],[date]],"mmm")</f>
        <v>Aug</v>
      </c>
      <c r="M716" t="str">
        <f>TEXT(NetflixData[[#This Row],[date]],"mmm yyyy")</f>
        <v>Aug 2020</v>
      </c>
      <c r="N716" t="str">
        <f t="shared" si="33"/>
        <v>Trading Day</v>
      </c>
      <c r="O716" t="str">
        <f t="shared" si="34"/>
        <v>Positive</v>
      </c>
      <c r="P716" t="str">
        <f t="shared" si="35"/>
        <v>Positive</v>
      </c>
    </row>
    <row r="717" spans="1:16" x14ac:dyDescent="0.3">
      <c r="A717" s="1">
        <v>44070</v>
      </c>
      <c r="B717">
        <v>52.63</v>
      </c>
      <c r="C717">
        <v>90629000</v>
      </c>
      <c r="D717">
        <v>-2.14</v>
      </c>
      <c r="E717">
        <v>82</v>
      </c>
      <c r="F717">
        <v>3.57</v>
      </c>
      <c r="G717">
        <v>0.36780000000000002</v>
      </c>
      <c r="H717">
        <v>6</v>
      </c>
      <c r="I717">
        <v>6.18</v>
      </c>
      <c r="J717">
        <v>1</v>
      </c>
      <c r="K717">
        <f>YEAR(NetflixData[[#This Row],[date]])</f>
        <v>2020</v>
      </c>
      <c r="L717" t="str">
        <f>TEXT(NetflixData[[#This Row],[date]],"mmm")</f>
        <v>Aug</v>
      </c>
      <c r="M717" t="str">
        <f>TEXT(NetflixData[[#This Row],[date]],"mmm yyyy")</f>
        <v>Aug 2020</v>
      </c>
      <c r="N717" t="str">
        <f t="shared" si="33"/>
        <v>Trading Day</v>
      </c>
      <c r="O717" t="str">
        <f t="shared" si="34"/>
        <v>Negative</v>
      </c>
      <c r="P717" t="str">
        <f t="shared" si="35"/>
        <v>Positive</v>
      </c>
    </row>
    <row r="718" spans="1:16" x14ac:dyDescent="0.3">
      <c r="A718" s="1">
        <v>44071</v>
      </c>
      <c r="B718">
        <v>52.39</v>
      </c>
      <c r="C718">
        <v>44175000</v>
      </c>
      <c r="D718">
        <v>-1.524</v>
      </c>
      <c r="E718">
        <v>75</v>
      </c>
      <c r="F718">
        <v>3.09</v>
      </c>
      <c r="G718">
        <v>0.24079999999999999</v>
      </c>
      <c r="H718">
        <v>5</v>
      </c>
      <c r="I718">
        <v>5.48</v>
      </c>
      <c r="J718">
        <v>1</v>
      </c>
      <c r="K718">
        <f>YEAR(NetflixData[[#This Row],[date]])</f>
        <v>2020</v>
      </c>
      <c r="L718" t="str">
        <f>TEXT(NetflixData[[#This Row],[date]],"mmm")</f>
        <v>Aug</v>
      </c>
      <c r="M718" t="str">
        <f>TEXT(NetflixData[[#This Row],[date]],"mmm yyyy")</f>
        <v>Aug 2020</v>
      </c>
      <c r="N718" t="str">
        <f t="shared" si="33"/>
        <v>Non-Trading Day</v>
      </c>
      <c r="O718" t="str">
        <f t="shared" si="34"/>
        <v>Negative</v>
      </c>
      <c r="P718" t="str">
        <f t="shared" si="35"/>
        <v>Positive</v>
      </c>
    </row>
    <row r="719" spans="1:16" x14ac:dyDescent="0.3">
      <c r="A719" s="1">
        <v>44072</v>
      </c>
      <c r="B719">
        <v>52.39</v>
      </c>
      <c r="C719">
        <v>0</v>
      </c>
      <c r="D719">
        <v>0</v>
      </c>
      <c r="E719">
        <v>71</v>
      </c>
      <c r="F719">
        <v>3.24</v>
      </c>
      <c r="G719">
        <v>0.1507</v>
      </c>
      <c r="H719">
        <v>1</v>
      </c>
      <c r="I719">
        <v>6.5</v>
      </c>
      <c r="J719">
        <v>0</v>
      </c>
      <c r="K719">
        <f>YEAR(NetflixData[[#This Row],[date]])</f>
        <v>2020</v>
      </c>
      <c r="L719" t="str">
        <f>TEXT(NetflixData[[#This Row],[date]],"mmm")</f>
        <v>Aug</v>
      </c>
      <c r="M719" t="str">
        <f>TEXT(NetflixData[[#This Row],[date]],"mmm yyyy")</f>
        <v>Aug 2020</v>
      </c>
      <c r="N719" t="str">
        <f t="shared" si="33"/>
        <v>Non-Trading Day</v>
      </c>
      <c r="O719" t="str">
        <f t="shared" si="34"/>
        <v>No Change</v>
      </c>
      <c r="P719" t="str">
        <f t="shared" si="35"/>
        <v>Positive</v>
      </c>
    </row>
    <row r="720" spans="1:16" x14ac:dyDescent="0.3">
      <c r="A720" s="1">
        <v>44073</v>
      </c>
      <c r="B720">
        <v>52.39</v>
      </c>
      <c r="C720">
        <v>0</v>
      </c>
      <c r="D720">
        <v>0</v>
      </c>
      <c r="E720">
        <v>86</v>
      </c>
      <c r="F720">
        <v>2.99</v>
      </c>
      <c r="G720">
        <v>0.28420000000000001</v>
      </c>
      <c r="H720">
        <v>2</v>
      </c>
      <c r="I720">
        <v>6.25</v>
      </c>
      <c r="J720">
        <v>0</v>
      </c>
      <c r="K720">
        <f>YEAR(NetflixData[[#This Row],[date]])</f>
        <v>2020</v>
      </c>
      <c r="L720" t="str">
        <f>TEXT(NetflixData[[#This Row],[date]],"mmm")</f>
        <v>Aug</v>
      </c>
      <c r="M720" t="str">
        <f>TEXT(NetflixData[[#This Row],[date]],"mmm yyyy")</f>
        <v>Aug 2020</v>
      </c>
      <c r="N720" t="str">
        <f t="shared" si="33"/>
        <v>Trading Day</v>
      </c>
      <c r="O720" t="str">
        <f t="shared" si="34"/>
        <v>No Change</v>
      </c>
      <c r="P720" t="str">
        <f t="shared" si="35"/>
        <v>Positive</v>
      </c>
    </row>
    <row r="721" spans="1:16" x14ac:dyDescent="0.3">
      <c r="A721" s="1">
        <v>44074</v>
      </c>
      <c r="B721">
        <v>52.96</v>
      </c>
      <c r="C721">
        <v>49414000</v>
      </c>
      <c r="D721">
        <v>1.6120000000000001</v>
      </c>
      <c r="E721">
        <v>78</v>
      </c>
      <c r="F721">
        <v>3.05</v>
      </c>
      <c r="G721">
        <v>0.22070000000000001</v>
      </c>
      <c r="H721">
        <v>4</v>
      </c>
      <c r="I721">
        <v>6.4</v>
      </c>
      <c r="J721">
        <v>1</v>
      </c>
      <c r="K721">
        <f>YEAR(NetflixData[[#This Row],[date]])</f>
        <v>2020</v>
      </c>
      <c r="L721" t="str">
        <f>TEXT(NetflixData[[#This Row],[date]],"mmm")</f>
        <v>Aug</v>
      </c>
      <c r="M721" t="str">
        <f>TEXT(NetflixData[[#This Row],[date]],"mmm yyyy")</f>
        <v>Aug 2020</v>
      </c>
      <c r="N721" t="str">
        <f t="shared" si="33"/>
        <v>Trading Day</v>
      </c>
      <c r="O721" t="str">
        <f t="shared" si="34"/>
        <v>Positive</v>
      </c>
      <c r="P721" t="str">
        <f t="shared" si="35"/>
        <v>Positive</v>
      </c>
    </row>
    <row r="722" spans="1:16" x14ac:dyDescent="0.3">
      <c r="A722" s="1">
        <v>44075</v>
      </c>
      <c r="B722">
        <v>55.65</v>
      </c>
      <c r="C722">
        <v>95727000</v>
      </c>
      <c r="D722">
        <v>4.4969999999999999</v>
      </c>
      <c r="E722">
        <v>81</v>
      </c>
      <c r="F722">
        <v>3.05</v>
      </c>
      <c r="G722">
        <v>0.2029</v>
      </c>
      <c r="H722">
        <v>27</v>
      </c>
      <c r="I722">
        <v>6.46</v>
      </c>
      <c r="J722">
        <v>1</v>
      </c>
      <c r="K722">
        <f>YEAR(NetflixData[[#This Row],[date]])</f>
        <v>2020</v>
      </c>
      <c r="L722" t="str">
        <f>TEXT(NetflixData[[#This Row],[date]],"mmm")</f>
        <v>Sep</v>
      </c>
      <c r="M722" t="str">
        <f>TEXT(NetflixData[[#This Row],[date]],"mmm yyyy")</f>
        <v>Sep 2020</v>
      </c>
      <c r="N722" t="str">
        <f t="shared" si="33"/>
        <v>Trading Day</v>
      </c>
      <c r="O722" t="str">
        <f t="shared" si="34"/>
        <v>Positive</v>
      </c>
      <c r="P722" t="str">
        <f t="shared" si="35"/>
        <v>Positive</v>
      </c>
    </row>
    <row r="723" spans="1:16" x14ac:dyDescent="0.3">
      <c r="A723" s="1">
        <v>44076</v>
      </c>
      <c r="B723">
        <v>55.28</v>
      </c>
      <c r="C723">
        <v>58869000</v>
      </c>
      <c r="D723">
        <v>-0.17</v>
      </c>
      <c r="E723">
        <v>69</v>
      </c>
      <c r="F723">
        <v>3.29</v>
      </c>
      <c r="G723">
        <v>0.25919999999999999</v>
      </c>
      <c r="H723">
        <v>5</v>
      </c>
      <c r="I723">
        <v>6.22</v>
      </c>
      <c r="J723">
        <v>1</v>
      </c>
      <c r="K723">
        <f>YEAR(NetflixData[[#This Row],[date]])</f>
        <v>2020</v>
      </c>
      <c r="L723" t="str">
        <f>TEXT(NetflixData[[#This Row],[date]],"mmm")</f>
        <v>Sep</v>
      </c>
      <c r="M723" t="str">
        <f>TEXT(NetflixData[[#This Row],[date]],"mmm yyyy")</f>
        <v>Sep 2020</v>
      </c>
      <c r="N723" t="str">
        <f t="shared" si="33"/>
        <v>Trading Day</v>
      </c>
      <c r="O723" t="str">
        <f t="shared" si="34"/>
        <v>Negative</v>
      </c>
      <c r="P723" t="str">
        <f t="shared" si="35"/>
        <v>Positive</v>
      </c>
    </row>
    <row r="724" spans="1:16" x14ac:dyDescent="0.3">
      <c r="A724" s="1">
        <v>44077</v>
      </c>
      <c r="B724">
        <v>52.58</v>
      </c>
      <c r="C724">
        <v>90711000</v>
      </c>
      <c r="D724">
        <v>-3.532</v>
      </c>
      <c r="E724">
        <v>92</v>
      </c>
      <c r="F724">
        <v>3.07</v>
      </c>
      <c r="G724">
        <v>0.34460000000000002</v>
      </c>
      <c r="H724">
        <v>5</v>
      </c>
      <c r="I724">
        <v>6.38</v>
      </c>
      <c r="J724">
        <v>1</v>
      </c>
      <c r="K724">
        <f>YEAR(NetflixData[[#This Row],[date]])</f>
        <v>2020</v>
      </c>
      <c r="L724" t="str">
        <f>TEXT(NetflixData[[#This Row],[date]],"mmm")</f>
        <v>Sep</v>
      </c>
      <c r="M724" t="str">
        <f>TEXT(NetflixData[[#This Row],[date]],"mmm yyyy")</f>
        <v>Sep 2020</v>
      </c>
      <c r="N724" t="str">
        <f t="shared" si="33"/>
        <v>Trading Day</v>
      </c>
      <c r="O724" t="str">
        <f t="shared" si="34"/>
        <v>Negative</v>
      </c>
      <c r="P724" t="str">
        <f t="shared" si="35"/>
        <v>Positive</v>
      </c>
    </row>
    <row r="725" spans="1:16" x14ac:dyDescent="0.3">
      <c r="A725" s="1">
        <v>44078</v>
      </c>
      <c r="B725">
        <v>51.6</v>
      </c>
      <c r="C725">
        <v>82701000</v>
      </c>
      <c r="D725">
        <v>-0.79400000000000004</v>
      </c>
      <c r="E725">
        <v>87</v>
      </c>
      <c r="F725">
        <v>2.89</v>
      </c>
      <c r="G725">
        <v>0.31330000000000002</v>
      </c>
      <c r="H725">
        <v>6</v>
      </c>
      <c r="I725">
        <v>6.17</v>
      </c>
      <c r="J725">
        <v>1</v>
      </c>
      <c r="K725">
        <f>YEAR(NetflixData[[#This Row],[date]])</f>
        <v>2020</v>
      </c>
      <c r="L725" t="str">
        <f>TEXT(NetflixData[[#This Row],[date]],"mmm")</f>
        <v>Sep</v>
      </c>
      <c r="M725" t="str">
        <f>TEXT(NetflixData[[#This Row],[date]],"mmm yyyy")</f>
        <v>Sep 2020</v>
      </c>
      <c r="N725" t="str">
        <f t="shared" si="33"/>
        <v>Non-Trading Day</v>
      </c>
      <c r="O725" t="str">
        <f t="shared" si="34"/>
        <v>Negative</v>
      </c>
      <c r="P725" t="str">
        <f t="shared" si="35"/>
        <v>Positive</v>
      </c>
    </row>
    <row r="726" spans="1:16" x14ac:dyDescent="0.3">
      <c r="A726" s="1">
        <v>44079</v>
      </c>
      <c r="B726">
        <v>51.6</v>
      </c>
      <c r="C726">
        <v>0</v>
      </c>
      <c r="D726">
        <v>0</v>
      </c>
      <c r="E726">
        <v>65</v>
      </c>
      <c r="F726">
        <v>3.06</v>
      </c>
      <c r="G726">
        <v>0.24590000000000001</v>
      </c>
      <c r="H726">
        <v>3</v>
      </c>
      <c r="I726">
        <v>6</v>
      </c>
      <c r="J726">
        <v>0</v>
      </c>
      <c r="K726">
        <f>YEAR(NetflixData[[#This Row],[date]])</f>
        <v>2020</v>
      </c>
      <c r="L726" t="str">
        <f>TEXT(NetflixData[[#This Row],[date]],"mmm")</f>
        <v>Sep</v>
      </c>
      <c r="M726" t="str">
        <f>TEXT(NetflixData[[#This Row],[date]],"mmm yyyy")</f>
        <v>Sep 2020</v>
      </c>
      <c r="N726" t="str">
        <f t="shared" si="33"/>
        <v>Non-Trading Day</v>
      </c>
      <c r="O726" t="str">
        <f t="shared" si="34"/>
        <v>No Change</v>
      </c>
      <c r="P726" t="str">
        <f t="shared" si="35"/>
        <v>Positive</v>
      </c>
    </row>
    <row r="727" spans="1:16" x14ac:dyDescent="0.3">
      <c r="A727" s="1">
        <v>44080</v>
      </c>
      <c r="B727">
        <v>51.6</v>
      </c>
      <c r="C727">
        <v>0</v>
      </c>
      <c r="D727">
        <v>0</v>
      </c>
      <c r="E727">
        <v>78</v>
      </c>
      <c r="F727">
        <v>2.92</v>
      </c>
      <c r="G727">
        <v>8.4199999999999997E-2</v>
      </c>
      <c r="H727">
        <v>0</v>
      </c>
      <c r="J727">
        <v>0</v>
      </c>
      <c r="K727">
        <f>YEAR(NetflixData[[#This Row],[date]])</f>
        <v>2020</v>
      </c>
      <c r="L727" t="str">
        <f>TEXT(NetflixData[[#This Row],[date]],"mmm")</f>
        <v>Sep</v>
      </c>
      <c r="M727" t="str">
        <f>TEXT(NetflixData[[#This Row],[date]],"mmm yyyy")</f>
        <v>Sep 2020</v>
      </c>
      <c r="N727" t="str">
        <f t="shared" si="33"/>
        <v>Non-Trading Day</v>
      </c>
      <c r="O727" t="str">
        <f t="shared" si="34"/>
        <v>No Change</v>
      </c>
      <c r="P727" t="str">
        <f t="shared" si="35"/>
        <v>Neutral</v>
      </c>
    </row>
    <row r="728" spans="1:16" x14ac:dyDescent="0.3">
      <c r="A728" s="1">
        <v>44081</v>
      </c>
      <c r="B728">
        <v>51.6</v>
      </c>
      <c r="C728">
        <v>0</v>
      </c>
      <c r="D728">
        <v>0</v>
      </c>
      <c r="E728">
        <v>75</v>
      </c>
      <c r="F728">
        <v>3.21</v>
      </c>
      <c r="G728">
        <v>0.31359999999999999</v>
      </c>
      <c r="H728">
        <v>5</v>
      </c>
      <c r="I728">
        <v>7.37</v>
      </c>
      <c r="J728">
        <v>0</v>
      </c>
      <c r="K728">
        <f>YEAR(NetflixData[[#This Row],[date]])</f>
        <v>2020</v>
      </c>
      <c r="L728" t="str">
        <f>TEXT(NetflixData[[#This Row],[date]],"mmm")</f>
        <v>Sep</v>
      </c>
      <c r="M728" t="str">
        <f>TEXT(NetflixData[[#This Row],[date]],"mmm yyyy")</f>
        <v>Sep 2020</v>
      </c>
      <c r="N728" t="str">
        <f t="shared" si="33"/>
        <v>Trading Day</v>
      </c>
      <c r="O728" t="str">
        <f t="shared" si="34"/>
        <v>No Change</v>
      </c>
      <c r="P728" t="str">
        <f t="shared" si="35"/>
        <v>Positive</v>
      </c>
    </row>
    <row r="729" spans="1:16" x14ac:dyDescent="0.3">
      <c r="A729" s="1">
        <v>44082</v>
      </c>
      <c r="B729">
        <v>50.7</v>
      </c>
      <c r="C729">
        <v>55727000</v>
      </c>
      <c r="D729">
        <v>1.73</v>
      </c>
      <c r="E729">
        <v>74</v>
      </c>
      <c r="F729">
        <v>3.12</v>
      </c>
      <c r="G729">
        <v>0.2399</v>
      </c>
      <c r="H729">
        <v>5</v>
      </c>
      <c r="I729">
        <v>6.56</v>
      </c>
      <c r="J729">
        <v>1</v>
      </c>
      <c r="K729">
        <f>YEAR(NetflixData[[#This Row],[date]])</f>
        <v>2020</v>
      </c>
      <c r="L729" t="str">
        <f>TEXT(NetflixData[[#This Row],[date]],"mmm")</f>
        <v>Sep</v>
      </c>
      <c r="M729" t="str">
        <f>TEXT(NetflixData[[#This Row],[date]],"mmm yyyy")</f>
        <v>Sep 2020</v>
      </c>
      <c r="N729" t="str">
        <f t="shared" si="33"/>
        <v>Trading Day</v>
      </c>
      <c r="O729" t="str">
        <f t="shared" si="34"/>
        <v>Positive</v>
      </c>
      <c r="P729" t="str">
        <f t="shared" si="35"/>
        <v>Positive</v>
      </c>
    </row>
    <row r="730" spans="1:16" x14ac:dyDescent="0.3">
      <c r="A730" s="1">
        <v>44083</v>
      </c>
      <c r="B730">
        <v>50.02</v>
      </c>
      <c r="C730">
        <v>68481000</v>
      </c>
      <c r="D730">
        <v>-3.6629999999999998</v>
      </c>
      <c r="E730">
        <v>86</v>
      </c>
      <c r="F730">
        <v>2.93</v>
      </c>
      <c r="G730">
        <v>0.29409999999999997</v>
      </c>
      <c r="H730">
        <v>6</v>
      </c>
      <c r="I730">
        <v>5.72</v>
      </c>
      <c r="J730">
        <v>1</v>
      </c>
      <c r="K730">
        <f>YEAR(NetflixData[[#This Row],[date]])</f>
        <v>2020</v>
      </c>
      <c r="L730" t="str">
        <f>TEXT(NetflixData[[#This Row],[date]],"mmm")</f>
        <v>Sep</v>
      </c>
      <c r="M730" t="str">
        <f>TEXT(NetflixData[[#This Row],[date]],"mmm yyyy")</f>
        <v>Sep 2020</v>
      </c>
      <c r="N730" t="str">
        <f t="shared" si="33"/>
        <v>Trading Day</v>
      </c>
      <c r="O730" t="str">
        <f t="shared" si="34"/>
        <v>Negative</v>
      </c>
      <c r="P730" t="str">
        <f t="shared" si="35"/>
        <v>Positive</v>
      </c>
    </row>
    <row r="731" spans="1:16" x14ac:dyDescent="0.3">
      <c r="A731" s="1">
        <v>44084</v>
      </c>
      <c r="B731">
        <v>48.07</v>
      </c>
      <c r="C731">
        <v>62402000</v>
      </c>
      <c r="D731">
        <v>-4.5060000000000002</v>
      </c>
      <c r="E731">
        <v>79</v>
      </c>
      <c r="F731">
        <v>2.9</v>
      </c>
      <c r="G731">
        <v>0.1865</v>
      </c>
      <c r="H731">
        <v>16</v>
      </c>
      <c r="I731">
        <v>6.8</v>
      </c>
      <c r="J731">
        <v>1</v>
      </c>
      <c r="K731">
        <f>YEAR(NetflixData[[#This Row],[date]])</f>
        <v>2020</v>
      </c>
      <c r="L731" t="str">
        <f>TEXT(NetflixData[[#This Row],[date]],"mmm")</f>
        <v>Sep</v>
      </c>
      <c r="M731" t="str">
        <f>TEXT(NetflixData[[#This Row],[date]],"mmm yyyy")</f>
        <v>Sep 2020</v>
      </c>
      <c r="N731" t="str">
        <f t="shared" si="33"/>
        <v>Trading Day</v>
      </c>
      <c r="O731" t="str">
        <f t="shared" si="34"/>
        <v>Negative</v>
      </c>
      <c r="P731" t="str">
        <f t="shared" si="35"/>
        <v>Positive</v>
      </c>
    </row>
    <row r="732" spans="1:16" x14ac:dyDescent="0.3">
      <c r="A732" s="1">
        <v>44085</v>
      </c>
      <c r="B732">
        <v>48.2</v>
      </c>
      <c r="C732">
        <v>50352000</v>
      </c>
      <c r="D732">
        <v>-0.91700000000000004</v>
      </c>
      <c r="E732">
        <v>107</v>
      </c>
      <c r="F732">
        <v>2.59</v>
      </c>
      <c r="G732">
        <v>0.27800000000000002</v>
      </c>
      <c r="H732">
        <v>9</v>
      </c>
      <c r="I732">
        <v>6.44</v>
      </c>
      <c r="J732">
        <v>1</v>
      </c>
      <c r="K732">
        <f>YEAR(NetflixData[[#This Row],[date]])</f>
        <v>2020</v>
      </c>
      <c r="L732" t="str">
        <f>TEXT(NetflixData[[#This Row],[date]],"mmm")</f>
        <v>Sep</v>
      </c>
      <c r="M732" t="str">
        <f>TEXT(NetflixData[[#This Row],[date]],"mmm yyyy")</f>
        <v>Sep 2020</v>
      </c>
      <c r="N732" t="str">
        <f t="shared" si="33"/>
        <v>Non-Trading Day</v>
      </c>
      <c r="O732" t="str">
        <f t="shared" si="34"/>
        <v>Negative</v>
      </c>
      <c r="P732" t="str">
        <f t="shared" si="35"/>
        <v>Positive</v>
      </c>
    </row>
    <row r="733" spans="1:16" x14ac:dyDescent="0.3">
      <c r="A733" s="1">
        <v>44086</v>
      </c>
      <c r="B733">
        <v>48.2</v>
      </c>
      <c r="C733">
        <v>0</v>
      </c>
      <c r="D733">
        <v>0</v>
      </c>
      <c r="E733">
        <v>90</v>
      </c>
      <c r="F733">
        <v>2.74</v>
      </c>
      <c r="G733">
        <v>0.26600000000000001</v>
      </c>
      <c r="H733">
        <v>0</v>
      </c>
      <c r="J733">
        <v>0</v>
      </c>
      <c r="K733">
        <f>YEAR(NetflixData[[#This Row],[date]])</f>
        <v>2020</v>
      </c>
      <c r="L733" t="str">
        <f>TEXT(NetflixData[[#This Row],[date]],"mmm")</f>
        <v>Sep</v>
      </c>
      <c r="M733" t="str">
        <f>TEXT(NetflixData[[#This Row],[date]],"mmm yyyy")</f>
        <v>Sep 2020</v>
      </c>
      <c r="N733" t="str">
        <f t="shared" si="33"/>
        <v>Non-Trading Day</v>
      </c>
      <c r="O733" t="str">
        <f t="shared" si="34"/>
        <v>No Change</v>
      </c>
      <c r="P733" t="str">
        <f t="shared" si="35"/>
        <v>Positive</v>
      </c>
    </row>
    <row r="734" spans="1:16" x14ac:dyDescent="0.3">
      <c r="A734" s="1">
        <v>44087</v>
      </c>
      <c r="B734">
        <v>48.2</v>
      </c>
      <c r="C734">
        <v>0</v>
      </c>
      <c r="D734">
        <v>0</v>
      </c>
      <c r="E734">
        <v>104</v>
      </c>
      <c r="F734">
        <v>2.5</v>
      </c>
      <c r="G734">
        <v>9.1600000000000001E-2</v>
      </c>
      <c r="H734">
        <v>0</v>
      </c>
      <c r="J734">
        <v>0</v>
      </c>
      <c r="K734">
        <f>YEAR(NetflixData[[#This Row],[date]])</f>
        <v>2020</v>
      </c>
      <c r="L734" t="str">
        <f>TEXT(NetflixData[[#This Row],[date]],"mmm")</f>
        <v>Sep</v>
      </c>
      <c r="M734" t="str">
        <f>TEXT(NetflixData[[#This Row],[date]],"mmm yyyy")</f>
        <v>Sep 2020</v>
      </c>
      <c r="N734" t="str">
        <f t="shared" si="33"/>
        <v>Trading Day</v>
      </c>
      <c r="O734" t="str">
        <f t="shared" si="34"/>
        <v>No Change</v>
      </c>
      <c r="P734" t="str">
        <f t="shared" si="35"/>
        <v>Neutral</v>
      </c>
    </row>
    <row r="735" spans="1:16" x14ac:dyDescent="0.3">
      <c r="A735" s="1">
        <v>44088</v>
      </c>
      <c r="B735">
        <v>47.63</v>
      </c>
      <c r="C735">
        <v>73591000</v>
      </c>
      <c r="D735">
        <v>-0.90700000000000003</v>
      </c>
      <c r="E735">
        <v>70</v>
      </c>
      <c r="F735">
        <v>2.2000000000000002</v>
      </c>
      <c r="G735">
        <v>0.13150000000000001</v>
      </c>
      <c r="H735">
        <v>1</v>
      </c>
      <c r="I735">
        <v>5.5</v>
      </c>
      <c r="J735">
        <v>1</v>
      </c>
      <c r="K735">
        <f>YEAR(NetflixData[[#This Row],[date]])</f>
        <v>2020</v>
      </c>
      <c r="L735" t="str">
        <f>TEXT(NetflixData[[#This Row],[date]],"mmm")</f>
        <v>Sep</v>
      </c>
      <c r="M735" t="str">
        <f>TEXT(NetflixData[[#This Row],[date]],"mmm yyyy")</f>
        <v>Sep 2020</v>
      </c>
      <c r="N735" t="str">
        <f t="shared" si="33"/>
        <v>Trading Day</v>
      </c>
      <c r="O735" t="str">
        <f t="shared" si="34"/>
        <v>Negative</v>
      </c>
      <c r="P735" t="str">
        <f t="shared" si="35"/>
        <v>Positive</v>
      </c>
    </row>
    <row r="736" spans="1:16" x14ac:dyDescent="0.3">
      <c r="A736" s="1">
        <v>44089</v>
      </c>
      <c r="B736">
        <v>49.6</v>
      </c>
      <c r="C736">
        <v>53370000</v>
      </c>
      <c r="D736">
        <v>2.4769999999999999</v>
      </c>
      <c r="E736">
        <v>89</v>
      </c>
      <c r="F736">
        <v>2.85</v>
      </c>
      <c r="G736">
        <v>0.21099999999999999</v>
      </c>
      <c r="H736">
        <v>11</v>
      </c>
      <c r="I736">
        <v>6.77</v>
      </c>
      <c r="J736">
        <v>1</v>
      </c>
      <c r="K736">
        <f>YEAR(NetflixData[[#This Row],[date]])</f>
        <v>2020</v>
      </c>
      <c r="L736" t="str">
        <f>TEXT(NetflixData[[#This Row],[date]],"mmm")</f>
        <v>Sep</v>
      </c>
      <c r="M736" t="str">
        <f>TEXT(NetflixData[[#This Row],[date]],"mmm yyyy")</f>
        <v>Sep 2020</v>
      </c>
      <c r="N736" t="str">
        <f t="shared" si="33"/>
        <v>Trading Day</v>
      </c>
      <c r="O736" t="str">
        <f t="shared" si="34"/>
        <v>Positive</v>
      </c>
      <c r="P736" t="str">
        <f t="shared" si="35"/>
        <v>Positive</v>
      </c>
    </row>
    <row r="737" spans="1:16" x14ac:dyDescent="0.3">
      <c r="A737" s="1">
        <v>44090</v>
      </c>
      <c r="B737">
        <v>48.39</v>
      </c>
      <c r="C737">
        <v>43949000</v>
      </c>
      <c r="D737">
        <v>-3.226</v>
      </c>
      <c r="E737">
        <v>78</v>
      </c>
      <c r="F737">
        <v>2.85</v>
      </c>
      <c r="G737">
        <v>0.1648</v>
      </c>
      <c r="H737">
        <v>10</v>
      </c>
      <c r="I737">
        <v>6.38</v>
      </c>
      <c r="J737">
        <v>1</v>
      </c>
      <c r="K737">
        <f>YEAR(NetflixData[[#This Row],[date]])</f>
        <v>2020</v>
      </c>
      <c r="L737" t="str">
        <f>TEXT(NetflixData[[#This Row],[date]],"mmm")</f>
        <v>Sep</v>
      </c>
      <c r="M737" t="str">
        <f>TEXT(NetflixData[[#This Row],[date]],"mmm yyyy")</f>
        <v>Sep 2020</v>
      </c>
      <c r="N737" t="str">
        <f t="shared" si="33"/>
        <v>Trading Day</v>
      </c>
      <c r="O737" t="str">
        <f t="shared" si="34"/>
        <v>Negative</v>
      </c>
      <c r="P737" t="str">
        <f t="shared" si="35"/>
        <v>Positive</v>
      </c>
    </row>
    <row r="738" spans="1:16" x14ac:dyDescent="0.3">
      <c r="A738" s="1">
        <v>44091</v>
      </c>
      <c r="B738">
        <v>47.02</v>
      </c>
      <c r="C738">
        <v>53793000</v>
      </c>
      <c r="D738">
        <v>-1.044</v>
      </c>
      <c r="E738">
        <v>109</v>
      </c>
      <c r="F738">
        <v>2.95</v>
      </c>
      <c r="G738">
        <v>0.2525</v>
      </c>
      <c r="H738">
        <v>7</v>
      </c>
      <c r="I738">
        <v>6.38</v>
      </c>
      <c r="J738">
        <v>1</v>
      </c>
      <c r="K738">
        <f>YEAR(NetflixData[[#This Row],[date]])</f>
        <v>2020</v>
      </c>
      <c r="L738" t="str">
        <f>TEXT(NetflixData[[#This Row],[date]],"mmm")</f>
        <v>Sep</v>
      </c>
      <c r="M738" t="str">
        <f>TEXT(NetflixData[[#This Row],[date]],"mmm yyyy")</f>
        <v>Sep 2020</v>
      </c>
      <c r="N738" t="str">
        <f t="shared" si="33"/>
        <v>Trading Day</v>
      </c>
      <c r="O738" t="str">
        <f t="shared" si="34"/>
        <v>Negative</v>
      </c>
      <c r="P738" t="str">
        <f t="shared" si="35"/>
        <v>Positive</v>
      </c>
    </row>
    <row r="739" spans="1:16" x14ac:dyDescent="0.3">
      <c r="A739" s="1">
        <v>44092</v>
      </c>
      <c r="B739">
        <v>47</v>
      </c>
      <c r="C739">
        <v>67177000</v>
      </c>
      <c r="D739">
        <v>-0.54</v>
      </c>
      <c r="E739">
        <v>76</v>
      </c>
      <c r="F739">
        <v>2.87</v>
      </c>
      <c r="G739">
        <v>0.18679999999999999</v>
      </c>
      <c r="H739">
        <v>6</v>
      </c>
      <c r="I739">
        <v>6.66</v>
      </c>
      <c r="J739">
        <v>1</v>
      </c>
      <c r="K739">
        <f>YEAR(NetflixData[[#This Row],[date]])</f>
        <v>2020</v>
      </c>
      <c r="L739" t="str">
        <f>TEXT(NetflixData[[#This Row],[date]],"mmm")</f>
        <v>Sep</v>
      </c>
      <c r="M739" t="str">
        <f>TEXT(NetflixData[[#This Row],[date]],"mmm yyyy")</f>
        <v>Sep 2020</v>
      </c>
      <c r="N739" t="str">
        <f t="shared" si="33"/>
        <v>Non-Trading Day</v>
      </c>
      <c r="O739" t="str">
        <f t="shared" si="34"/>
        <v>Negative</v>
      </c>
      <c r="P739" t="str">
        <f t="shared" si="35"/>
        <v>Positive</v>
      </c>
    </row>
    <row r="740" spans="1:16" x14ac:dyDescent="0.3">
      <c r="A740" s="1">
        <v>44093</v>
      </c>
      <c r="B740">
        <v>47</v>
      </c>
      <c r="C740">
        <v>0</v>
      </c>
      <c r="D740">
        <v>0</v>
      </c>
      <c r="E740">
        <v>61</v>
      </c>
      <c r="F740">
        <v>3.05</v>
      </c>
      <c r="G740">
        <v>0.1321</v>
      </c>
      <c r="H740">
        <v>6</v>
      </c>
      <c r="I740">
        <v>6.1</v>
      </c>
      <c r="J740">
        <v>0</v>
      </c>
      <c r="K740">
        <f>YEAR(NetflixData[[#This Row],[date]])</f>
        <v>2020</v>
      </c>
      <c r="L740" t="str">
        <f>TEXT(NetflixData[[#This Row],[date]],"mmm")</f>
        <v>Sep</v>
      </c>
      <c r="M740" t="str">
        <f>TEXT(NetflixData[[#This Row],[date]],"mmm yyyy")</f>
        <v>Sep 2020</v>
      </c>
      <c r="N740" t="str">
        <f t="shared" si="33"/>
        <v>Non-Trading Day</v>
      </c>
      <c r="O740" t="str">
        <f t="shared" si="34"/>
        <v>No Change</v>
      </c>
      <c r="P740" t="str">
        <f t="shared" si="35"/>
        <v>Positive</v>
      </c>
    </row>
    <row r="741" spans="1:16" x14ac:dyDescent="0.3">
      <c r="A741" s="1">
        <v>44094</v>
      </c>
      <c r="B741">
        <v>47</v>
      </c>
      <c r="C741">
        <v>0</v>
      </c>
      <c r="D741">
        <v>0</v>
      </c>
      <c r="E741">
        <v>79</v>
      </c>
      <c r="F741">
        <v>3</v>
      </c>
      <c r="G741">
        <v>0.19700000000000001</v>
      </c>
      <c r="H741">
        <v>8</v>
      </c>
      <c r="I741">
        <v>6.87</v>
      </c>
      <c r="J741">
        <v>0</v>
      </c>
      <c r="K741">
        <f>YEAR(NetflixData[[#This Row],[date]])</f>
        <v>2020</v>
      </c>
      <c r="L741" t="str">
        <f>TEXT(NetflixData[[#This Row],[date]],"mmm")</f>
        <v>Sep</v>
      </c>
      <c r="M741" t="str">
        <f>TEXT(NetflixData[[#This Row],[date]],"mmm yyyy")</f>
        <v>Sep 2020</v>
      </c>
      <c r="N741" t="str">
        <f t="shared" si="33"/>
        <v>Trading Day</v>
      </c>
      <c r="O741" t="str">
        <f t="shared" si="34"/>
        <v>No Change</v>
      </c>
      <c r="P741" t="str">
        <f t="shared" si="35"/>
        <v>Positive</v>
      </c>
    </row>
    <row r="742" spans="1:16" x14ac:dyDescent="0.3">
      <c r="A742" s="1">
        <v>44095</v>
      </c>
      <c r="B742">
        <v>48.74</v>
      </c>
      <c r="C742">
        <v>54575000</v>
      </c>
      <c r="D742">
        <v>4.2039999999999997</v>
      </c>
      <c r="E742">
        <v>67</v>
      </c>
      <c r="F742">
        <v>2.73</v>
      </c>
      <c r="G742">
        <v>6.8199999999999997E-2</v>
      </c>
      <c r="H742">
        <v>1</v>
      </c>
      <c r="J742">
        <v>1</v>
      </c>
      <c r="K742">
        <f>YEAR(NetflixData[[#This Row],[date]])</f>
        <v>2020</v>
      </c>
      <c r="L742" t="str">
        <f>TEXT(NetflixData[[#This Row],[date]],"mmm")</f>
        <v>Sep</v>
      </c>
      <c r="M742" t="str">
        <f>TEXT(NetflixData[[#This Row],[date]],"mmm yyyy")</f>
        <v>Sep 2020</v>
      </c>
      <c r="N742" t="str">
        <f t="shared" si="33"/>
        <v>Trading Day</v>
      </c>
      <c r="O742" t="str">
        <f t="shared" si="34"/>
        <v>Positive</v>
      </c>
      <c r="P742" t="str">
        <f t="shared" si="35"/>
        <v>Neutral</v>
      </c>
    </row>
    <row r="743" spans="1:16" x14ac:dyDescent="0.3">
      <c r="A743" s="1">
        <v>44096</v>
      </c>
      <c r="B743">
        <v>49.12</v>
      </c>
      <c r="C743">
        <v>34823000</v>
      </c>
      <c r="D743">
        <v>0.442</v>
      </c>
      <c r="E743">
        <v>78</v>
      </c>
      <c r="F743">
        <v>2.91</v>
      </c>
      <c r="G743">
        <v>0.22670000000000001</v>
      </c>
      <c r="H743">
        <v>4</v>
      </c>
      <c r="I743">
        <v>6.43</v>
      </c>
      <c r="J743">
        <v>1</v>
      </c>
      <c r="K743">
        <f>YEAR(NetflixData[[#This Row],[date]])</f>
        <v>2020</v>
      </c>
      <c r="L743" t="str">
        <f>TEXT(NetflixData[[#This Row],[date]],"mmm")</f>
        <v>Sep</v>
      </c>
      <c r="M743" t="str">
        <f>TEXT(NetflixData[[#This Row],[date]],"mmm yyyy")</f>
        <v>Sep 2020</v>
      </c>
      <c r="N743" t="str">
        <f t="shared" si="33"/>
        <v>Trading Day</v>
      </c>
      <c r="O743" t="str">
        <f t="shared" si="34"/>
        <v>Positive</v>
      </c>
      <c r="P743" t="str">
        <f t="shared" si="35"/>
        <v>Positive</v>
      </c>
    </row>
    <row r="744" spans="1:16" x14ac:dyDescent="0.3">
      <c r="A744" s="1">
        <v>44097</v>
      </c>
      <c r="B744">
        <v>47.06</v>
      </c>
      <c r="C744">
        <v>37264000</v>
      </c>
      <c r="D744">
        <v>-4.1609999999999996</v>
      </c>
      <c r="E744">
        <v>80</v>
      </c>
      <c r="F744">
        <v>3.28</v>
      </c>
      <c r="G744">
        <v>0.31440000000000001</v>
      </c>
      <c r="H744">
        <v>2</v>
      </c>
      <c r="I744">
        <v>6.7</v>
      </c>
      <c r="J744">
        <v>1</v>
      </c>
      <c r="K744">
        <f>YEAR(NetflixData[[#This Row],[date]])</f>
        <v>2020</v>
      </c>
      <c r="L744" t="str">
        <f>TEXT(NetflixData[[#This Row],[date]],"mmm")</f>
        <v>Sep</v>
      </c>
      <c r="M744" t="str">
        <f>TEXT(NetflixData[[#This Row],[date]],"mmm yyyy")</f>
        <v>Sep 2020</v>
      </c>
      <c r="N744" t="str">
        <f t="shared" si="33"/>
        <v>Trading Day</v>
      </c>
      <c r="O744" t="str">
        <f t="shared" si="34"/>
        <v>Negative</v>
      </c>
      <c r="P744" t="str">
        <f t="shared" si="35"/>
        <v>Positive</v>
      </c>
    </row>
    <row r="745" spans="1:16" x14ac:dyDescent="0.3">
      <c r="A745" s="1">
        <v>44098</v>
      </c>
      <c r="B745">
        <v>47.31</v>
      </c>
      <c r="C745">
        <v>37272000</v>
      </c>
      <c r="D745">
        <v>0.54200000000000004</v>
      </c>
      <c r="E745">
        <v>76</v>
      </c>
      <c r="F745">
        <v>3.16</v>
      </c>
      <c r="G745">
        <v>0.28649999999999998</v>
      </c>
      <c r="H745">
        <v>2</v>
      </c>
      <c r="I745">
        <v>7.65</v>
      </c>
      <c r="J745">
        <v>1</v>
      </c>
      <c r="K745">
        <f>YEAR(NetflixData[[#This Row],[date]])</f>
        <v>2020</v>
      </c>
      <c r="L745" t="str">
        <f>TEXT(NetflixData[[#This Row],[date]],"mmm")</f>
        <v>Sep</v>
      </c>
      <c r="M745" t="str">
        <f>TEXT(NetflixData[[#This Row],[date]],"mmm yyyy")</f>
        <v>Sep 2020</v>
      </c>
      <c r="N745" t="str">
        <f t="shared" si="33"/>
        <v>Trading Day</v>
      </c>
      <c r="O745" t="str">
        <f t="shared" si="34"/>
        <v>Positive</v>
      </c>
      <c r="P745" t="str">
        <f t="shared" si="35"/>
        <v>Positive</v>
      </c>
    </row>
    <row r="746" spans="1:16" x14ac:dyDescent="0.3">
      <c r="A746" s="1">
        <v>44099</v>
      </c>
      <c r="B746">
        <v>48.29</v>
      </c>
      <c r="C746">
        <v>37694000</v>
      </c>
      <c r="D746">
        <v>1.79</v>
      </c>
      <c r="E746">
        <v>69</v>
      </c>
      <c r="F746">
        <v>3.01</v>
      </c>
      <c r="G746">
        <v>0.24060000000000001</v>
      </c>
      <c r="H746">
        <v>7</v>
      </c>
      <c r="I746">
        <v>6.68</v>
      </c>
      <c r="J746">
        <v>1</v>
      </c>
      <c r="K746">
        <f>YEAR(NetflixData[[#This Row],[date]])</f>
        <v>2020</v>
      </c>
      <c r="L746" t="str">
        <f>TEXT(NetflixData[[#This Row],[date]],"mmm")</f>
        <v>Sep</v>
      </c>
      <c r="M746" t="str">
        <f>TEXT(NetflixData[[#This Row],[date]],"mmm yyyy")</f>
        <v>Sep 2020</v>
      </c>
      <c r="N746" t="str">
        <f t="shared" si="33"/>
        <v>Non-Trading Day</v>
      </c>
      <c r="O746" t="str">
        <f t="shared" si="34"/>
        <v>Positive</v>
      </c>
      <c r="P746" t="str">
        <f t="shared" si="35"/>
        <v>Positive</v>
      </c>
    </row>
    <row r="747" spans="1:16" x14ac:dyDescent="0.3">
      <c r="A747" s="1">
        <v>44100</v>
      </c>
      <c r="B747">
        <v>48.29</v>
      </c>
      <c r="C747">
        <v>0</v>
      </c>
      <c r="D747">
        <v>0</v>
      </c>
      <c r="E747">
        <v>74</v>
      </c>
      <c r="F747">
        <v>2.5299999999999998</v>
      </c>
      <c r="G747">
        <v>7.0099999999999996E-2</v>
      </c>
      <c r="H747">
        <v>2</v>
      </c>
      <c r="I747">
        <v>6</v>
      </c>
      <c r="J747">
        <v>0</v>
      </c>
      <c r="K747">
        <f>YEAR(NetflixData[[#This Row],[date]])</f>
        <v>2020</v>
      </c>
      <c r="L747" t="str">
        <f>TEXT(NetflixData[[#This Row],[date]],"mmm")</f>
        <v>Sep</v>
      </c>
      <c r="M747" t="str">
        <f>TEXT(NetflixData[[#This Row],[date]],"mmm yyyy")</f>
        <v>Sep 2020</v>
      </c>
      <c r="N747" t="str">
        <f t="shared" si="33"/>
        <v>Non-Trading Day</v>
      </c>
      <c r="O747" t="str">
        <f t="shared" si="34"/>
        <v>No Change</v>
      </c>
      <c r="P747" t="str">
        <f t="shared" si="35"/>
        <v>Neutral</v>
      </c>
    </row>
    <row r="748" spans="1:16" x14ac:dyDescent="0.3">
      <c r="A748" s="1">
        <v>44101</v>
      </c>
      <c r="B748">
        <v>48.29</v>
      </c>
      <c r="C748">
        <v>0</v>
      </c>
      <c r="D748">
        <v>0</v>
      </c>
      <c r="E748">
        <v>67</v>
      </c>
      <c r="F748">
        <v>2.88</v>
      </c>
      <c r="G748">
        <v>0.2026</v>
      </c>
      <c r="H748">
        <v>1</v>
      </c>
      <c r="J748">
        <v>0</v>
      </c>
      <c r="K748">
        <f>YEAR(NetflixData[[#This Row],[date]])</f>
        <v>2020</v>
      </c>
      <c r="L748" t="str">
        <f>TEXT(NetflixData[[#This Row],[date]],"mmm")</f>
        <v>Sep</v>
      </c>
      <c r="M748" t="str">
        <f>TEXT(NetflixData[[#This Row],[date]],"mmm yyyy")</f>
        <v>Sep 2020</v>
      </c>
      <c r="N748" t="str">
        <f t="shared" si="33"/>
        <v>Trading Day</v>
      </c>
      <c r="O748" t="str">
        <f t="shared" si="34"/>
        <v>No Change</v>
      </c>
      <c r="P748" t="str">
        <f t="shared" si="35"/>
        <v>Positive</v>
      </c>
    </row>
    <row r="749" spans="1:16" x14ac:dyDescent="0.3">
      <c r="A749" s="1">
        <v>44102</v>
      </c>
      <c r="B749">
        <v>49.06</v>
      </c>
      <c r="C749">
        <v>47735000</v>
      </c>
      <c r="D749">
        <v>0.315</v>
      </c>
      <c r="E749">
        <v>76</v>
      </c>
      <c r="F749">
        <v>3.07</v>
      </c>
      <c r="G749">
        <v>0.3</v>
      </c>
      <c r="H749">
        <v>11</v>
      </c>
      <c r="I749">
        <v>7.06</v>
      </c>
      <c r="J749">
        <v>1</v>
      </c>
      <c r="K749">
        <f>YEAR(NetflixData[[#This Row],[date]])</f>
        <v>2020</v>
      </c>
      <c r="L749" t="str">
        <f>TEXT(NetflixData[[#This Row],[date]],"mmm")</f>
        <v>Sep</v>
      </c>
      <c r="M749" t="str">
        <f>TEXT(NetflixData[[#This Row],[date]],"mmm yyyy")</f>
        <v>Sep 2020</v>
      </c>
      <c r="N749" t="str">
        <f t="shared" si="33"/>
        <v>Trading Day</v>
      </c>
      <c r="O749" t="str">
        <f t="shared" si="34"/>
        <v>Positive</v>
      </c>
      <c r="P749" t="str">
        <f t="shared" si="35"/>
        <v>Positive</v>
      </c>
    </row>
    <row r="750" spans="1:16" x14ac:dyDescent="0.3">
      <c r="A750" s="1">
        <v>44103</v>
      </c>
      <c r="B750">
        <v>49.35</v>
      </c>
      <c r="C750">
        <v>35415000</v>
      </c>
      <c r="D750">
        <v>0.81299999999999994</v>
      </c>
      <c r="E750">
        <v>80</v>
      </c>
      <c r="F750">
        <v>3.3</v>
      </c>
      <c r="G750">
        <v>0.29659999999999997</v>
      </c>
      <c r="H750">
        <v>3</v>
      </c>
      <c r="I750">
        <v>6.5</v>
      </c>
      <c r="J750">
        <v>1</v>
      </c>
      <c r="K750">
        <f>YEAR(NetflixData[[#This Row],[date]])</f>
        <v>2020</v>
      </c>
      <c r="L750" t="str">
        <f>TEXT(NetflixData[[#This Row],[date]],"mmm")</f>
        <v>Sep</v>
      </c>
      <c r="M750" t="str">
        <f>TEXT(NetflixData[[#This Row],[date]],"mmm yyyy")</f>
        <v>Sep 2020</v>
      </c>
      <c r="N750" t="str">
        <f t="shared" si="33"/>
        <v>Trading Day</v>
      </c>
      <c r="O750" t="str">
        <f t="shared" si="34"/>
        <v>Positive</v>
      </c>
      <c r="P750" t="str">
        <f t="shared" si="35"/>
        <v>Positive</v>
      </c>
    </row>
    <row r="751" spans="1:16" x14ac:dyDescent="0.3">
      <c r="A751" s="1">
        <v>44104</v>
      </c>
      <c r="B751">
        <v>50</v>
      </c>
      <c r="C751">
        <v>46341000</v>
      </c>
      <c r="D751">
        <v>1.5149999999999999</v>
      </c>
      <c r="E751">
        <v>92</v>
      </c>
      <c r="F751">
        <v>3</v>
      </c>
      <c r="G751">
        <v>0.22320000000000001</v>
      </c>
      <c r="H751">
        <v>9</v>
      </c>
      <c r="I751">
        <v>6.7</v>
      </c>
      <c r="J751">
        <v>1</v>
      </c>
      <c r="K751">
        <f>YEAR(NetflixData[[#This Row],[date]])</f>
        <v>2020</v>
      </c>
      <c r="L751" t="str">
        <f>TEXT(NetflixData[[#This Row],[date]],"mmm")</f>
        <v>Sep</v>
      </c>
      <c r="M751" t="str">
        <f>TEXT(NetflixData[[#This Row],[date]],"mmm yyyy")</f>
        <v>Sep 2020</v>
      </c>
      <c r="N751" t="str">
        <f t="shared" si="33"/>
        <v>Trading Day</v>
      </c>
      <c r="O751" t="str">
        <f t="shared" si="34"/>
        <v>Positive</v>
      </c>
      <c r="P751" t="str">
        <f t="shared" si="35"/>
        <v>Positive</v>
      </c>
    </row>
    <row r="752" spans="1:16" x14ac:dyDescent="0.3">
      <c r="A752" s="1">
        <v>44105</v>
      </c>
      <c r="B752">
        <v>52.75</v>
      </c>
      <c r="C752">
        <v>81537000</v>
      </c>
      <c r="D752">
        <v>4.2450000000000001</v>
      </c>
      <c r="E752">
        <v>67</v>
      </c>
      <c r="F752">
        <v>3.15</v>
      </c>
      <c r="G752">
        <v>0.32029999999999997</v>
      </c>
      <c r="H752">
        <v>36</v>
      </c>
      <c r="I752">
        <v>6.63</v>
      </c>
      <c r="J752">
        <v>1</v>
      </c>
      <c r="K752">
        <f>YEAR(NetflixData[[#This Row],[date]])</f>
        <v>2020</v>
      </c>
      <c r="L752" t="str">
        <f>TEXT(NetflixData[[#This Row],[date]],"mmm")</f>
        <v>Oct</v>
      </c>
      <c r="M752" t="str">
        <f>TEXT(NetflixData[[#This Row],[date]],"mmm yyyy")</f>
        <v>Oct 2020</v>
      </c>
      <c r="N752" t="str">
        <f t="shared" si="33"/>
        <v>Trading Day</v>
      </c>
      <c r="O752" t="str">
        <f t="shared" si="34"/>
        <v>Positive</v>
      </c>
      <c r="P752" t="str">
        <f t="shared" si="35"/>
        <v>Positive</v>
      </c>
    </row>
    <row r="753" spans="1:16" x14ac:dyDescent="0.3">
      <c r="A753" s="1">
        <v>44106</v>
      </c>
      <c r="B753">
        <v>50.31</v>
      </c>
      <c r="C753">
        <v>60712000</v>
      </c>
      <c r="D753">
        <v>-2.589</v>
      </c>
      <c r="E753">
        <v>83</v>
      </c>
      <c r="F753">
        <v>2.87</v>
      </c>
      <c r="G753">
        <v>0.26479999999999998</v>
      </c>
      <c r="H753">
        <v>12</v>
      </c>
      <c r="I753">
        <v>6.16</v>
      </c>
      <c r="J753">
        <v>1</v>
      </c>
      <c r="K753">
        <f>YEAR(NetflixData[[#This Row],[date]])</f>
        <v>2020</v>
      </c>
      <c r="L753" t="str">
        <f>TEXT(NetflixData[[#This Row],[date]],"mmm")</f>
        <v>Oct</v>
      </c>
      <c r="M753" t="str">
        <f>TEXT(NetflixData[[#This Row],[date]],"mmm yyyy")</f>
        <v>Oct 2020</v>
      </c>
      <c r="N753" t="str">
        <f t="shared" si="33"/>
        <v>Non-Trading Day</v>
      </c>
      <c r="O753" t="str">
        <f t="shared" si="34"/>
        <v>Negative</v>
      </c>
      <c r="P753" t="str">
        <f t="shared" si="35"/>
        <v>Positive</v>
      </c>
    </row>
    <row r="754" spans="1:16" x14ac:dyDescent="0.3">
      <c r="A754" s="1">
        <v>44107</v>
      </c>
      <c r="B754">
        <v>50.31</v>
      </c>
      <c r="C754">
        <v>0</v>
      </c>
      <c r="D754">
        <v>0</v>
      </c>
      <c r="E754">
        <v>86</v>
      </c>
      <c r="F754">
        <v>2.4700000000000002</v>
      </c>
      <c r="G754">
        <v>0.21659999999999999</v>
      </c>
      <c r="H754">
        <v>5</v>
      </c>
      <c r="I754">
        <v>4.5999999999999996</v>
      </c>
      <c r="J754">
        <v>0</v>
      </c>
      <c r="K754">
        <f>YEAR(NetflixData[[#This Row],[date]])</f>
        <v>2020</v>
      </c>
      <c r="L754" t="str">
        <f>TEXT(NetflixData[[#This Row],[date]],"mmm")</f>
        <v>Oct</v>
      </c>
      <c r="M754" t="str">
        <f>TEXT(NetflixData[[#This Row],[date]],"mmm yyyy")</f>
        <v>Oct 2020</v>
      </c>
      <c r="N754" t="str">
        <f t="shared" si="33"/>
        <v>Non-Trading Day</v>
      </c>
      <c r="O754" t="str">
        <f t="shared" si="34"/>
        <v>No Change</v>
      </c>
      <c r="P754" t="str">
        <f t="shared" si="35"/>
        <v>Positive</v>
      </c>
    </row>
    <row r="755" spans="1:16" x14ac:dyDescent="0.3">
      <c r="A755" s="1">
        <v>44108</v>
      </c>
      <c r="B755">
        <v>50.31</v>
      </c>
      <c r="C755">
        <v>0</v>
      </c>
      <c r="D755">
        <v>0</v>
      </c>
      <c r="E755">
        <v>93</v>
      </c>
      <c r="F755">
        <v>3.12</v>
      </c>
      <c r="G755">
        <v>0.3145</v>
      </c>
      <c r="H755">
        <v>1</v>
      </c>
      <c r="I755">
        <v>8.9</v>
      </c>
      <c r="J755">
        <v>0</v>
      </c>
      <c r="K755">
        <f>YEAR(NetflixData[[#This Row],[date]])</f>
        <v>2020</v>
      </c>
      <c r="L755" t="str">
        <f>TEXT(NetflixData[[#This Row],[date]],"mmm")</f>
        <v>Oct</v>
      </c>
      <c r="M755" t="str">
        <f>TEXT(NetflixData[[#This Row],[date]],"mmm yyyy")</f>
        <v>Oct 2020</v>
      </c>
      <c r="N755" t="str">
        <f t="shared" si="33"/>
        <v>Trading Day</v>
      </c>
      <c r="O755" t="str">
        <f t="shared" si="34"/>
        <v>No Change</v>
      </c>
      <c r="P755" t="str">
        <f t="shared" si="35"/>
        <v>Positive</v>
      </c>
    </row>
    <row r="756" spans="1:16" x14ac:dyDescent="0.3">
      <c r="A756" s="1">
        <v>44109</v>
      </c>
      <c r="B756">
        <v>52.06</v>
      </c>
      <c r="C756">
        <v>40881000</v>
      </c>
      <c r="D756">
        <v>2.7330000000000001</v>
      </c>
      <c r="E756">
        <v>77</v>
      </c>
      <c r="F756">
        <v>2.7</v>
      </c>
      <c r="G756">
        <v>0.14829999999999999</v>
      </c>
      <c r="H756">
        <v>1</v>
      </c>
      <c r="I756">
        <v>7.8</v>
      </c>
      <c r="J756">
        <v>1</v>
      </c>
      <c r="K756">
        <f>YEAR(NetflixData[[#This Row],[date]])</f>
        <v>2020</v>
      </c>
      <c r="L756" t="str">
        <f>TEXT(NetflixData[[#This Row],[date]],"mmm")</f>
        <v>Oct</v>
      </c>
      <c r="M756" t="str">
        <f>TEXT(NetflixData[[#This Row],[date]],"mmm yyyy")</f>
        <v>Oct 2020</v>
      </c>
      <c r="N756" t="str">
        <f t="shared" si="33"/>
        <v>Trading Day</v>
      </c>
      <c r="O756" t="str">
        <f t="shared" si="34"/>
        <v>Positive</v>
      </c>
      <c r="P756" t="str">
        <f t="shared" si="35"/>
        <v>Positive</v>
      </c>
    </row>
    <row r="757" spans="1:16" x14ac:dyDescent="0.3">
      <c r="A757" s="1">
        <v>44110</v>
      </c>
      <c r="B757">
        <v>50.59</v>
      </c>
      <c r="C757">
        <v>41990000</v>
      </c>
      <c r="D757">
        <v>-2.4769999999999999</v>
      </c>
      <c r="E757">
        <v>68</v>
      </c>
      <c r="F757">
        <v>3.15</v>
      </c>
      <c r="G757">
        <v>0.33800000000000002</v>
      </c>
      <c r="H757">
        <v>5</v>
      </c>
      <c r="I757">
        <v>6.6</v>
      </c>
      <c r="J757">
        <v>1</v>
      </c>
      <c r="K757">
        <f>YEAR(NetflixData[[#This Row],[date]])</f>
        <v>2020</v>
      </c>
      <c r="L757" t="str">
        <f>TEXT(NetflixData[[#This Row],[date]],"mmm")</f>
        <v>Oct</v>
      </c>
      <c r="M757" t="str">
        <f>TEXT(NetflixData[[#This Row],[date]],"mmm yyyy")</f>
        <v>Oct 2020</v>
      </c>
      <c r="N757" t="str">
        <f t="shared" si="33"/>
        <v>Trading Day</v>
      </c>
      <c r="O757" t="str">
        <f t="shared" si="34"/>
        <v>Negative</v>
      </c>
      <c r="P757" t="str">
        <f t="shared" si="35"/>
        <v>Positive</v>
      </c>
    </row>
    <row r="758" spans="1:16" x14ac:dyDescent="0.3">
      <c r="A758" s="1">
        <v>44111</v>
      </c>
      <c r="B758">
        <v>53.47</v>
      </c>
      <c r="C758">
        <v>79887000</v>
      </c>
      <c r="D758">
        <v>3.2160000000000002</v>
      </c>
      <c r="E758">
        <v>62</v>
      </c>
      <c r="F758">
        <v>3.08</v>
      </c>
      <c r="G758">
        <v>0.30149999999999999</v>
      </c>
      <c r="H758">
        <v>2</v>
      </c>
      <c r="I758">
        <v>6.25</v>
      </c>
      <c r="J758">
        <v>1</v>
      </c>
      <c r="K758">
        <f>YEAR(NetflixData[[#This Row],[date]])</f>
        <v>2020</v>
      </c>
      <c r="L758" t="str">
        <f>TEXT(NetflixData[[#This Row],[date]],"mmm")</f>
        <v>Oct</v>
      </c>
      <c r="M758" t="str">
        <f>TEXT(NetflixData[[#This Row],[date]],"mmm yyyy")</f>
        <v>Oct 2020</v>
      </c>
      <c r="N758" t="str">
        <f t="shared" si="33"/>
        <v>Trading Day</v>
      </c>
      <c r="O758" t="str">
        <f t="shared" si="34"/>
        <v>Positive</v>
      </c>
      <c r="P758" t="str">
        <f t="shared" si="35"/>
        <v>Positive</v>
      </c>
    </row>
    <row r="759" spans="1:16" x14ac:dyDescent="0.3">
      <c r="A759" s="1">
        <v>44112</v>
      </c>
      <c r="B759">
        <v>53.18</v>
      </c>
      <c r="C759">
        <v>53865000</v>
      </c>
      <c r="D759">
        <v>-0.317</v>
      </c>
      <c r="E759">
        <v>87</v>
      </c>
      <c r="F759">
        <v>3.17</v>
      </c>
      <c r="G759">
        <v>0.30909999999999999</v>
      </c>
      <c r="H759">
        <v>5</v>
      </c>
      <c r="I759">
        <v>6.42</v>
      </c>
      <c r="J759">
        <v>1</v>
      </c>
      <c r="K759">
        <f>YEAR(NetflixData[[#This Row],[date]])</f>
        <v>2020</v>
      </c>
      <c r="L759" t="str">
        <f>TEXT(NetflixData[[#This Row],[date]],"mmm")</f>
        <v>Oct</v>
      </c>
      <c r="M759" t="str">
        <f>TEXT(NetflixData[[#This Row],[date]],"mmm yyyy")</f>
        <v>Oct 2020</v>
      </c>
      <c r="N759" t="str">
        <f t="shared" si="33"/>
        <v>Trading Day</v>
      </c>
      <c r="O759" t="str">
        <f t="shared" si="34"/>
        <v>Negative</v>
      </c>
      <c r="P759" t="str">
        <f t="shared" si="35"/>
        <v>Positive</v>
      </c>
    </row>
    <row r="760" spans="1:16" x14ac:dyDescent="0.3">
      <c r="A760" s="1">
        <v>44113</v>
      </c>
      <c r="B760">
        <v>53.94</v>
      </c>
      <c r="C760">
        <v>47813000</v>
      </c>
      <c r="D760">
        <v>0.29899999999999999</v>
      </c>
      <c r="E760">
        <v>77</v>
      </c>
      <c r="F760">
        <v>2.73</v>
      </c>
      <c r="G760">
        <v>4.2500000000000003E-2</v>
      </c>
      <c r="H760">
        <v>6</v>
      </c>
      <c r="I760">
        <v>6.4</v>
      </c>
      <c r="J760">
        <v>1</v>
      </c>
      <c r="K760">
        <f>YEAR(NetflixData[[#This Row],[date]])</f>
        <v>2020</v>
      </c>
      <c r="L760" t="str">
        <f>TEXT(NetflixData[[#This Row],[date]],"mmm")</f>
        <v>Oct</v>
      </c>
      <c r="M760" t="str">
        <f>TEXT(NetflixData[[#This Row],[date]],"mmm yyyy")</f>
        <v>Oct 2020</v>
      </c>
      <c r="N760" t="str">
        <f t="shared" si="33"/>
        <v>Non-Trading Day</v>
      </c>
      <c r="O760" t="str">
        <f t="shared" si="34"/>
        <v>Positive</v>
      </c>
      <c r="P760" t="str">
        <f t="shared" si="35"/>
        <v>Neutral</v>
      </c>
    </row>
    <row r="761" spans="1:16" x14ac:dyDescent="0.3">
      <c r="A761" s="1">
        <v>44114</v>
      </c>
      <c r="B761">
        <v>53.94</v>
      </c>
      <c r="C761">
        <v>0</v>
      </c>
      <c r="D761">
        <v>0</v>
      </c>
      <c r="E761">
        <v>66</v>
      </c>
      <c r="F761">
        <v>2.79</v>
      </c>
      <c r="G761">
        <v>0.16070000000000001</v>
      </c>
      <c r="H761">
        <v>0</v>
      </c>
      <c r="J761">
        <v>0</v>
      </c>
      <c r="K761">
        <f>YEAR(NetflixData[[#This Row],[date]])</f>
        <v>2020</v>
      </c>
      <c r="L761" t="str">
        <f>TEXT(NetflixData[[#This Row],[date]],"mmm")</f>
        <v>Oct</v>
      </c>
      <c r="M761" t="str">
        <f>TEXT(NetflixData[[#This Row],[date]],"mmm yyyy")</f>
        <v>Oct 2020</v>
      </c>
      <c r="N761" t="str">
        <f t="shared" si="33"/>
        <v>Non-Trading Day</v>
      </c>
      <c r="O761" t="str">
        <f t="shared" si="34"/>
        <v>No Change</v>
      </c>
      <c r="P761" t="str">
        <f t="shared" si="35"/>
        <v>Positive</v>
      </c>
    </row>
    <row r="762" spans="1:16" x14ac:dyDescent="0.3">
      <c r="A762" s="1">
        <v>44115</v>
      </c>
      <c r="B762">
        <v>53.94</v>
      </c>
      <c r="C762">
        <v>0</v>
      </c>
      <c r="D762">
        <v>0</v>
      </c>
      <c r="E762">
        <v>73</v>
      </c>
      <c r="F762">
        <v>2.84</v>
      </c>
      <c r="G762">
        <v>0.17810000000000001</v>
      </c>
      <c r="H762">
        <v>1</v>
      </c>
      <c r="J762">
        <v>0</v>
      </c>
      <c r="K762">
        <f>YEAR(NetflixData[[#This Row],[date]])</f>
        <v>2020</v>
      </c>
      <c r="L762" t="str">
        <f>TEXT(NetflixData[[#This Row],[date]],"mmm")</f>
        <v>Oct</v>
      </c>
      <c r="M762" t="str">
        <f>TEXT(NetflixData[[#This Row],[date]],"mmm yyyy")</f>
        <v>Oct 2020</v>
      </c>
      <c r="N762" t="str">
        <f t="shared" si="33"/>
        <v>Trading Day</v>
      </c>
      <c r="O762" t="str">
        <f t="shared" si="34"/>
        <v>No Change</v>
      </c>
      <c r="P762" t="str">
        <f t="shared" si="35"/>
        <v>Positive</v>
      </c>
    </row>
    <row r="763" spans="1:16" x14ac:dyDescent="0.3">
      <c r="A763" s="1">
        <v>44116</v>
      </c>
      <c r="B763">
        <v>53.98</v>
      </c>
      <c r="C763">
        <v>53911000</v>
      </c>
      <c r="D763">
        <v>-1.64</v>
      </c>
      <c r="E763">
        <v>65</v>
      </c>
      <c r="F763">
        <v>2.95</v>
      </c>
      <c r="G763">
        <v>0.28699999999999998</v>
      </c>
      <c r="H763">
        <v>6</v>
      </c>
      <c r="I763">
        <v>7.32</v>
      </c>
      <c r="J763">
        <v>1</v>
      </c>
      <c r="K763">
        <f>YEAR(NetflixData[[#This Row],[date]])</f>
        <v>2020</v>
      </c>
      <c r="L763" t="str">
        <f>TEXT(NetflixData[[#This Row],[date]],"mmm")</f>
        <v>Oct</v>
      </c>
      <c r="M763" t="str">
        <f>TEXT(NetflixData[[#This Row],[date]],"mmm yyyy")</f>
        <v>Oct 2020</v>
      </c>
      <c r="N763" t="str">
        <f t="shared" si="33"/>
        <v>Trading Day</v>
      </c>
      <c r="O763" t="str">
        <f t="shared" si="34"/>
        <v>Negative</v>
      </c>
      <c r="P763" t="str">
        <f t="shared" si="35"/>
        <v>Positive</v>
      </c>
    </row>
    <row r="764" spans="1:16" x14ac:dyDescent="0.3">
      <c r="A764" s="1">
        <v>44117</v>
      </c>
      <c r="B764">
        <v>55.41</v>
      </c>
      <c r="C764">
        <v>56025000</v>
      </c>
      <c r="D764">
        <v>2.5030000000000001</v>
      </c>
      <c r="E764">
        <v>70</v>
      </c>
      <c r="F764">
        <v>2.77</v>
      </c>
      <c r="G764">
        <v>0.23569999999999999</v>
      </c>
      <c r="H764">
        <v>3</v>
      </c>
      <c r="I764">
        <v>6.43</v>
      </c>
      <c r="J764">
        <v>1</v>
      </c>
      <c r="K764">
        <f>YEAR(NetflixData[[#This Row],[date]])</f>
        <v>2020</v>
      </c>
      <c r="L764" t="str">
        <f>TEXT(NetflixData[[#This Row],[date]],"mmm")</f>
        <v>Oct</v>
      </c>
      <c r="M764" t="str">
        <f>TEXT(NetflixData[[#This Row],[date]],"mmm yyyy")</f>
        <v>Oct 2020</v>
      </c>
      <c r="N764" t="str">
        <f t="shared" si="33"/>
        <v>Trading Day</v>
      </c>
      <c r="O764" t="str">
        <f t="shared" si="34"/>
        <v>Positive</v>
      </c>
      <c r="P764" t="str">
        <f t="shared" si="35"/>
        <v>Positive</v>
      </c>
    </row>
    <row r="765" spans="1:16" x14ac:dyDescent="0.3">
      <c r="A765" s="1">
        <v>44118</v>
      </c>
      <c r="B765">
        <v>54.15</v>
      </c>
      <c r="C765">
        <v>94990000</v>
      </c>
      <c r="D765">
        <v>-3.7610000000000001</v>
      </c>
      <c r="E765">
        <v>67</v>
      </c>
      <c r="F765">
        <v>2.61</v>
      </c>
      <c r="G765">
        <v>0.2077</v>
      </c>
      <c r="H765">
        <v>3</v>
      </c>
      <c r="I765">
        <v>6.97</v>
      </c>
      <c r="J765">
        <v>1</v>
      </c>
      <c r="K765">
        <f>YEAR(NetflixData[[#This Row],[date]])</f>
        <v>2020</v>
      </c>
      <c r="L765" t="str">
        <f>TEXT(NetflixData[[#This Row],[date]],"mmm")</f>
        <v>Oct</v>
      </c>
      <c r="M765" t="str">
        <f>TEXT(NetflixData[[#This Row],[date]],"mmm yyyy")</f>
        <v>Oct 2020</v>
      </c>
      <c r="N765" t="str">
        <f t="shared" si="33"/>
        <v>Trading Day</v>
      </c>
      <c r="O765" t="str">
        <f t="shared" si="34"/>
        <v>Negative</v>
      </c>
      <c r="P765" t="str">
        <f t="shared" si="35"/>
        <v>Positive</v>
      </c>
    </row>
    <row r="766" spans="1:16" x14ac:dyDescent="0.3">
      <c r="A766" s="1">
        <v>44119</v>
      </c>
      <c r="B766">
        <v>54.19</v>
      </c>
      <c r="C766">
        <v>51131000</v>
      </c>
      <c r="D766">
        <v>-0.65600000000000003</v>
      </c>
      <c r="E766">
        <v>58</v>
      </c>
      <c r="F766">
        <v>3.26</v>
      </c>
      <c r="G766">
        <v>0.34960000000000002</v>
      </c>
      <c r="H766">
        <v>11</v>
      </c>
      <c r="I766">
        <v>6.3</v>
      </c>
      <c r="J766">
        <v>1</v>
      </c>
      <c r="K766">
        <f>YEAR(NetflixData[[#This Row],[date]])</f>
        <v>2020</v>
      </c>
      <c r="L766" t="str">
        <f>TEXT(NetflixData[[#This Row],[date]],"mmm")</f>
        <v>Oct</v>
      </c>
      <c r="M766" t="str">
        <f>TEXT(NetflixData[[#This Row],[date]],"mmm yyyy")</f>
        <v>Oct 2020</v>
      </c>
      <c r="N766" t="str">
        <f t="shared" si="33"/>
        <v>Trading Day</v>
      </c>
      <c r="O766" t="str">
        <f t="shared" si="34"/>
        <v>Negative</v>
      </c>
      <c r="P766" t="str">
        <f t="shared" si="35"/>
        <v>Positive</v>
      </c>
    </row>
    <row r="767" spans="1:16" x14ac:dyDescent="0.3">
      <c r="A767" s="1">
        <v>44120</v>
      </c>
      <c r="B767">
        <v>53.08</v>
      </c>
      <c r="C767">
        <v>63474000</v>
      </c>
      <c r="D767">
        <v>-3.4049999999999998</v>
      </c>
      <c r="E767">
        <v>89</v>
      </c>
      <c r="F767">
        <v>3.22</v>
      </c>
      <c r="G767">
        <v>0.23669999999999999</v>
      </c>
      <c r="H767">
        <v>8</v>
      </c>
      <c r="I767">
        <v>6.7</v>
      </c>
      <c r="J767">
        <v>1</v>
      </c>
      <c r="K767">
        <f>YEAR(NetflixData[[#This Row],[date]])</f>
        <v>2020</v>
      </c>
      <c r="L767" t="str">
        <f>TEXT(NetflixData[[#This Row],[date]],"mmm")</f>
        <v>Oct</v>
      </c>
      <c r="M767" t="str">
        <f>TEXT(NetflixData[[#This Row],[date]],"mmm yyyy")</f>
        <v>Oct 2020</v>
      </c>
      <c r="N767" t="str">
        <f t="shared" si="33"/>
        <v>Non-Trading Day</v>
      </c>
      <c r="O767" t="str">
        <f t="shared" si="34"/>
        <v>Negative</v>
      </c>
      <c r="P767" t="str">
        <f t="shared" si="35"/>
        <v>Positive</v>
      </c>
    </row>
    <row r="768" spans="1:16" x14ac:dyDescent="0.3">
      <c r="A768" s="1">
        <v>44121</v>
      </c>
      <c r="B768">
        <v>53.08</v>
      </c>
      <c r="C768">
        <v>0</v>
      </c>
      <c r="D768">
        <v>0</v>
      </c>
      <c r="E768">
        <v>71</v>
      </c>
      <c r="F768">
        <v>2.73</v>
      </c>
      <c r="G768">
        <v>0.20030000000000001</v>
      </c>
      <c r="H768">
        <v>1</v>
      </c>
      <c r="I768">
        <v>3.5</v>
      </c>
      <c r="J768">
        <v>0</v>
      </c>
      <c r="K768">
        <f>YEAR(NetflixData[[#This Row],[date]])</f>
        <v>2020</v>
      </c>
      <c r="L768" t="str">
        <f>TEXT(NetflixData[[#This Row],[date]],"mmm")</f>
        <v>Oct</v>
      </c>
      <c r="M768" t="str">
        <f>TEXT(NetflixData[[#This Row],[date]],"mmm yyyy")</f>
        <v>Oct 2020</v>
      </c>
      <c r="N768" t="str">
        <f t="shared" si="33"/>
        <v>Non-Trading Day</v>
      </c>
      <c r="O768" t="str">
        <f t="shared" si="34"/>
        <v>No Change</v>
      </c>
      <c r="P768" t="str">
        <f t="shared" si="35"/>
        <v>Positive</v>
      </c>
    </row>
    <row r="769" spans="1:16" x14ac:dyDescent="0.3">
      <c r="A769" s="1">
        <v>44122</v>
      </c>
      <c r="B769">
        <v>53.08</v>
      </c>
      <c r="C769">
        <v>0</v>
      </c>
      <c r="D769">
        <v>0</v>
      </c>
      <c r="E769">
        <v>85</v>
      </c>
      <c r="F769">
        <v>2.71</v>
      </c>
      <c r="G769">
        <v>0.1933</v>
      </c>
      <c r="H769">
        <v>4</v>
      </c>
      <c r="I769">
        <v>6.95</v>
      </c>
      <c r="J769">
        <v>0</v>
      </c>
      <c r="K769">
        <f>YEAR(NetflixData[[#This Row],[date]])</f>
        <v>2020</v>
      </c>
      <c r="L769" t="str">
        <f>TEXT(NetflixData[[#This Row],[date]],"mmm")</f>
        <v>Oct</v>
      </c>
      <c r="M769" t="str">
        <f>TEXT(NetflixData[[#This Row],[date]],"mmm yyyy")</f>
        <v>Oct 2020</v>
      </c>
      <c r="N769" t="str">
        <f t="shared" si="33"/>
        <v>Trading Day</v>
      </c>
      <c r="O769" t="str">
        <f t="shared" si="34"/>
        <v>No Change</v>
      </c>
      <c r="P769" t="str">
        <f t="shared" si="35"/>
        <v>Positive</v>
      </c>
    </row>
    <row r="770" spans="1:16" x14ac:dyDescent="0.3">
      <c r="A770" s="1">
        <v>44123</v>
      </c>
      <c r="B770">
        <v>53.07</v>
      </c>
      <c r="C770">
        <v>75675000</v>
      </c>
      <c r="D770">
        <v>-1.1819999999999999</v>
      </c>
      <c r="E770">
        <v>60</v>
      </c>
      <c r="F770">
        <v>2.77</v>
      </c>
      <c r="G770">
        <v>0.28320000000000001</v>
      </c>
      <c r="H770">
        <v>16</v>
      </c>
      <c r="I770">
        <v>6.81</v>
      </c>
      <c r="J770">
        <v>1</v>
      </c>
      <c r="K770">
        <f>YEAR(NetflixData[[#This Row],[date]])</f>
        <v>2020</v>
      </c>
      <c r="L770" t="str">
        <f>TEXT(NetflixData[[#This Row],[date]],"mmm")</f>
        <v>Oct</v>
      </c>
      <c r="M770" t="str">
        <f>TEXT(NetflixData[[#This Row],[date]],"mmm yyyy")</f>
        <v>Oct 2020</v>
      </c>
      <c r="N770" t="str">
        <f t="shared" ref="N770:N833" si="36">IF(J771=1,"Trading Day","Non-Trading Day")</f>
        <v>Trading Day</v>
      </c>
      <c r="O770" t="str">
        <f t="shared" ref="O770:O833" si="37">IF(D770&gt;0,"Positive",IF(D770&lt;0,"Negative","No Change"))</f>
        <v>Negative</v>
      </c>
      <c r="P770" t="str">
        <f t="shared" ref="P770:P833" si="38">IF(G770&gt;0.1,"Positive",IF(G770&lt;-0.1,"Negative","Neutral"))</f>
        <v>Positive</v>
      </c>
    </row>
    <row r="771" spans="1:16" x14ac:dyDescent="0.3">
      <c r="A771" s="1">
        <v>44124</v>
      </c>
      <c r="B771">
        <v>52.54</v>
      </c>
      <c r="C771">
        <v>100472000</v>
      </c>
      <c r="D771">
        <v>-0.51500000000000001</v>
      </c>
      <c r="E771">
        <v>88</v>
      </c>
      <c r="F771">
        <v>3.03</v>
      </c>
      <c r="G771">
        <v>0.25290000000000001</v>
      </c>
      <c r="H771">
        <v>3</v>
      </c>
      <c r="I771">
        <v>7.3</v>
      </c>
      <c r="J771">
        <v>1</v>
      </c>
      <c r="K771">
        <f>YEAR(NetflixData[[#This Row],[date]])</f>
        <v>2020</v>
      </c>
      <c r="L771" t="str">
        <f>TEXT(NetflixData[[#This Row],[date]],"mmm")</f>
        <v>Oct</v>
      </c>
      <c r="M771" t="str">
        <f>TEXT(NetflixData[[#This Row],[date]],"mmm yyyy")</f>
        <v>Oct 2020</v>
      </c>
      <c r="N771" t="str">
        <f t="shared" si="36"/>
        <v>Trading Day</v>
      </c>
      <c r="O771" t="str">
        <f t="shared" si="37"/>
        <v>Negative</v>
      </c>
      <c r="P771" t="str">
        <f t="shared" si="38"/>
        <v>Positive</v>
      </c>
    </row>
    <row r="772" spans="1:16" x14ac:dyDescent="0.3">
      <c r="A772" s="1">
        <v>44125</v>
      </c>
      <c r="B772">
        <v>48.9</v>
      </c>
      <c r="C772">
        <v>174057000</v>
      </c>
      <c r="D772">
        <v>-2.391</v>
      </c>
      <c r="E772">
        <v>69</v>
      </c>
      <c r="F772">
        <v>2.9</v>
      </c>
      <c r="G772">
        <v>0.16639999999999999</v>
      </c>
      <c r="H772">
        <v>3</v>
      </c>
      <c r="I772">
        <v>6.1</v>
      </c>
      <c r="J772">
        <v>1</v>
      </c>
      <c r="K772">
        <f>YEAR(NetflixData[[#This Row],[date]])</f>
        <v>2020</v>
      </c>
      <c r="L772" t="str">
        <f>TEXT(NetflixData[[#This Row],[date]],"mmm")</f>
        <v>Oct</v>
      </c>
      <c r="M772" t="str">
        <f>TEXT(NetflixData[[#This Row],[date]],"mmm yyyy")</f>
        <v>Oct 2020</v>
      </c>
      <c r="N772" t="str">
        <f t="shared" si="36"/>
        <v>Trading Day</v>
      </c>
      <c r="O772" t="str">
        <f t="shared" si="37"/>
        <v>Negative</v>
      </c>
      <c r="P772" t="str">
        <f t="shared" si="38"/>
        <v>Positive</v>
      </c>
    </row>
    <row r="773" spans="1:16" x14ac:dyDescent="0.3">
      <c r="A773" s="1">
        <v>44126</v>
      </c>
      <c r="B773">
        <v>48.52</v>
      </c>
      <c r="C773">
        <v>69979000</v>
      </c>
      <c r="D773">
        <v>-1.9119999999999999</v>
      </c>
      <c r="E773">
        <v>74</v>
      </c>
      <c r="F773">
        <v>3.2</v>
      </c>
      <c r="G773">
        <v>0.36890000000000001</v>
      </c>
      <c r="H773">
        <v>7</v>
      </c>
      <c r="I773">
        <v>6.56</v>
      </c>
      <c r="J773">
        <v>1</v>
      </c>
      <c r="K773">
        <f>YEAR(NetflixData[[#This Row],[date]])</f>
        <v>2020</v>
      </c>
      <c r="L773" t="str">
        <f>TEXT(NetflixData[[#This Row],[date]],"mmm")</f>
        <v>Oct</v>
      </c>
      <c r="M773" t="str">
        <f>TEXT(NetflixData[[#This Row],[date]],"mmm yyyy")</f>
        <v>Oct 2020</v>
      </c>
      <c r="N773" t="str">
        <f t="shared" si="36"/>
        <v>Trading Day</v>
      </c>
      <c r="O773" t="str">
        <f t="shared" si="37"/>
        <v>Negative</v>
      </c>
      <c r="P773" t="str">
        <f t="shared" si="38"/>
        <v>Positive</v>
      </c>
    </row>
    <row r="774" spans="1:16" x14ac:dyDescent="0.3">
      <c r="A774" s="1">
        <v>44127</v>
      </c>
      <c r="B774">
        <v>48.83</v>
      </c>
      <c r="C774">
        <v>49279000</v>
      </c>
      <c r="D774">
        <v>3.5000000000000003E-2</v>
      </c>
      <c r="E774">
        <v>79</v>
      </c>
      <c r="F774">
        <v>2.97</v>
      </c>
      <c r="G774">
        <v>0.21759999999999999</v>
      </c>
      <c r="H774">
        <v>7</v>
      </c>
      <c r="I774">
        <v>7.52</v>
      </c>
      <c r="J774">
        <v>1</v>
      </c>
      <c r="K774">
        <f>YEAR(NetflixData[[#This Row],[date]])</f>
        <v>2020</v>
      </c>
      <c r="L774" t="str">
        <f>TEXT(NetflixData[[#This Row],[date]],"mmm")</f>
        <v>Oct</v>
      </c>
      <c r="M774" t="str">
        <f>TEXT(NetflixData[[#This Row],[date]],"mmm yyyy")</f>
        <v>Oct 2020</v>
      </c>
      <c r="N774" t="str">
        <f t="shared" si="36"/>
        <v>Non-Trading Day</v>
      </c>
      <c r="O774" t="str">
        <f t="shared" si="37"/>
        <v>Positive</v>
      </c>
      <c r="P774" t="str">
        <f t="shared" si="38"/>
        <v>Positive</v>
      </c>
    </row>
    <row r="775" spans="1:16" x14ac:dyDescent="0.3">
      <c r="A775" s="1">
        <v>44128</v>
      </c>
      <c r="B775">
        <v>48.83</v>
      </c>
      <c r="C775">
        <v>0</v>
      </c>
      <c r="D775">
        <v>0</v>
      </c>
      <c r="E775">
        <v>89</v>
      </c>
      <c r="F775">
        <v>2.96</v>
      </c>
      <c r="G775">
        <v>0.25430000000000003</v>
      </c>
      <c r="H775">
        <v>2</v>
      </c>
      <c r="I775">
        <v>6.75</v>
      </c>
      <c r="J775">
        <v>0</v>
      </c>
      <c r="K775">
        <f>YEAR(NetflixData[[#This Row],[date]])</f>
        <v>2020</v>
      </c>
      <c r="L775" t="str">
        <f>TEXT(NetflixData[[#This Row],[date]],"mmm")</f>
        <v>Oct</v>
      </c>
      <c r="M775" t="str">
        <f>TEXT(NetflixData[[#This Row],[date]],"mmm yyyy")</f>
        <v>Oct 2020</v>
      </c>
      <c r="N775" t="str">
        <f t="shared" si="36"/>
        <v>Non-Trading Day</v>
      </c>
      <c r="O775" t="str">
        <f t="shared" si="37"/>
        <v>No Change</v>
      </c>
      <c r="P775" t="str">
        <f t="shared" si="38"/>
        <v>Positive</v>
      </c>
    </row>
    <row r="776" spans="1:16" x14ac:dyDescent="0.3">
      <c r="A776" s="1">
        <v>44129</v>
      </c>
      <c r="B776">
        <v>48.83</v>
      </c>
      <c r="C776">
        <v>0</v>
      </c>
      <c r="D776">
        <v>0</v>
      </c>
      <c r="E776">
        <v>82</v>
      </c>
      <c r="F776">
        <v>3.15</v>
      </c>
      <c r="G776">
        <v>0.1489</v>
      </c>
      <c r="H776">
        <v>1</v>
      </c>
      <c r="I776">
        <v>6.5</v>
      </c>
      <c r="J776">
        <v>0</v>
      </c>
      <c r="K776">
        <f>YEAR(NetflixData[[#This Row],[date]])</f>
        <v>2020</v>
      </c>
      <c r="L776" t="str">
        <f>TEXT(NetflixData[[#This Row],[date]],"mmm")</f>
        <v>Oct</v>
      </c>
      <c r="M776" t="str">
        <f>TEXT(NetflixData[[#This Row],[date]],"mmm yyyy")</f>
        <v>Oct 2020</v>
      </c>
      <c r="N776" t="str">
        <f t="shared" si="36"/>
        <v>Trading Day</v>
      </c>
      <c r="O776" t="str">
        <f t="shared" si="37"/>
        <v>No Change</v>
      </c>
      <c r="P776" t="str">
        <f t="shared" si="38"/>
        <v>Positive</v>
      </c>
    </row>
    <row r="777" spans="1:16" x14ac:dyDescent="0.3">
      <c r="A777" s="1">
        <v>44130</v>
      </c>
      <c r="B777">
        <v>48.82</v>
      </c>
      <c r="C777">
        <v>61861000</v>
      </c>
      <c r="D777">
        <v>0.248</v>
      </c>
      <c r="E777">
        <v>55</v>
      </c>
      <c r="F777">
        <v>3.09</v>
      </c>
      <c r="G777">
        <v>0.30009999999999998</v>
      </c>
      <c r="H777">
        <v>1</v>
      </c>
      <c r="I777">
        <v>5.8</v>
      </c>
      <c r="J777">
        <v>1</v>
      </c>
      <c r="K777">
        <f>YEAR(NetflixData[[#This Row],[date]])</f>
        <v>2020</v>
      </c>
      <c r="L777" t="str">
        <f>TEXT(NetflixData[[#This Row],[date]],"mmm")</f>
        <v>Oct</v>
      </c>
      <c r="M777" t="str">
        <f>TEXT(NetflixData[[#This Row],[date]],"mmm yyyy")</f>
        <v>Oct 2020</v>
      </c>
      <c r="N777" t="str">
        <f t="shared" si="36"/>
        <v>Trading Day</v>
      </c>
      <c r="O777" t="str">
        <f t="shared" si="37"/>
        <v>Positive</v>
      </c>
      <c r="P777" t="str">
        <f t="shared" si="38"/>
        <v>Positive</v>
      </c>
    </row>
    <row r="778" spans="1:16" x14ac:dyDescent="0.3">
      <c r="A778" s="1">
        <v>44131</v>
      </c>
      <c r="B778">
        <v>48.89</v>
      </c>
      <c r="C778">
        <v>36272000</v>
      </c>
      <c r="D778">
        <v>-0.22</v>
      </c>
      <c r="E778">
        <v>92</v>
      </c>
      <c r="F778">
        <v>3.32</v>
      </c>
      <c r="G778">
        <v>0.36570000000000003</v>
      </c>
      <c r="H778">
        <v>4</v>
      </c>
      <c r="I778">
        <v>6.9</v>
      </c>
      <c r="J778">
        <v>1</v>
      </c>
      <c r="K778">
        <f>YEAR(NetflixData[[#This Row],[date]])</f>
        <v>2020</v>
      </c>
      <c r="L778" t="str">
        <f>TEXT(NetflixData[[#This Row],[date]],"mmm")</f>
        <v>Oct</v>
      </c>
      <c r="M778" t="str">
        <f>TEXT(NetflixData[[#This Row],[date]],"mmm yyyy")</f>
        <v>Oct 2020</v>
      </c>
      <c r="N778" t="str">
        <f t="shared" si="36"/>
        <v>Trading Day</v>
      </c>
      <c r="O778" t="str">
        <f t="shared" si="37"/>
        <v>Negative</v>
      </c>
      <c r="P778" t="str">
        <f t="shared" si="38"/>
        <v>Positive</v>
      </c>
    </row>
    <row r="779" spans="1:16" x14ac:dyDescent="0.3">
      <c r="A779" s="1">
        <v>44132</v>
      </c>
      <c r="B779">
        <v>48.62</v>
      </c>
      <c r="C779">
        <v>59927000</v>
      </c>
      <c r="D779">
        <v>-2.5000000000000001E-2</v>
      </c>
      <c r="E779">
        <v>66</v>
      </c>
      <c r="F779">
        <v>3.42</v>
      </c>
      <c r="G779">
        <v>0.3574</v>
      </c>
      <c r="H779">
        <v>5</v>
      </c>
      <c r="I779">
        <v>6.35</v>
      </c>
      <c r="J779">
        <v>1</v>
      </c>
      <c r="K779">
        <f>YEAR(NetflixData[[#This Row],[date]])</f>
        <v>2020</v>
      </c>
      <c r="L779" t="str">
        <f>TEXT(NetflixData[[#This Row],[date]],"mmm")</f>
        <v>Oct</v>
      </c>
      <c r="M779" t="str">
        <f>TEXT(NetflixData[[#This Row],[date]],"mmm yyyy")</f>
        <v>Oct 2020</v>
      </c>
      <c r="N779" t="str">
        <f t="shared" si="36"/>
        <v>Trading Day</v>
      </c>
      <c r="O779" t="str">
        <f t="shared" si="37"/>
        <v>Negative</v>
      </c>
      <c r="P779" t="str">
        <f t="shared" si="38"/>
        <v>Positive</v>
      </c>
    </row>
    <row r="780" spans="1:16" x14ac:dyDescent="0.3">
      <c r="A780" s="1">
        <v>44133</v>
      </c>
      <c r="B780">
        <v>50.42</v>
      </c>
      <c r="C780">
        <v>111207000</v>
      </c>
      <c r="D780">
        <v>3.2160000000000002</v>
      </c>
      <c r="E780">
        <v>77</v>
      </c>
      <c r="F780">
        <v>2.68</v>
      </c>
      <c r="G780">
        <v>0.23949999999999999</v>
      </c>
      <c r="H780">
        <v>1</v>
      </c>
      <c r="I780">
        <v>5.3</v>
      </c>
      <c r="J780">
        <v>1</v>
      </c>
      <c r="K780">
        <f>YEAR(NetflixData[[#This Row],[date]])</f>
        <v>2020</v>
      </c>
      <c r="L780" t="str">
        <f>TEXT(NetflixData[[#This Row],[date]],"mmm")</f>
        <v>Oct</v>
      </c>
      <c r="M780" t="str">
        <f>TEXT(NetflixData[[#This Row],[date]],"mmm yyyy")</f>
        <v>Oct 2020</v>
      </c>
      <c r="N780" t="str">
        <f t="shared" si="36"/>
        <v>Trading Day</v>
      </c>
      <c r="O780" t="str">
        <f t="shared" si="37"/>
        <v>Positive</v>
      </c>
      <c r="P780" t="str">
        <f t="shared" si="38"/>
        <v>Positive</v>
      </c>
    </row>
    <row r="781" spans="1:16" x14ac:dyDescent="0.3">
      <c r="A781" s="1">
        <v>44134</v>
      </c>
      <c r="B781">
        <v>47.57</v>
      </c>
      <c r="C781">
        <v>78079000</v>
      </c>
      <c r="D781">
        <v>-5.2329999999999997</v>
      </c>
      <c r="E781">
        <v>59</v>
      </c>
      <c r="F781">
        <v>2.86</v>
      </c>
      <c r="G781">
        <v>0.2031</v>
      </c>
      <c r="H781">
        <v>10</v>
      </c>
      <c r="I781">
        <v>5.52</v>
      </c>
      <c r="J781">
        <v>1</v>
      </c>
      <c r="K781">
        <f>YEAR(NetflixData[[#This Row],[date]])</f>
        <v>2020</v>
      </c>
      <c r="L781" t="str">
        <f>TEXT(NetflixData[[#This Row],[date]],"mmm")</f>
        <v>Oct</v>
      </c>
      <c r="M781" t="str">
        <f>TEXT(NetflixData[[#This Row],[date]],"mmm yyyy")</f>
        <v>Oct 2020</v>
      </c>
      <c r="N781" t="str">
        <f t="shared" si="36"/>
        <v>Non-Trading Day</v>
      </c>
      <c r="O781" t="str">
        <f t="shared" si="37"/>
        <v>Negative</v>
      </c>
      <c r="P781" t="str">
        <f t="shared" si="38"/>
        <v>Positive</v>
      </c>
    </row>
    <row r="782" spans="1:16" x14ac:dyDescent="0.3">
      <c r="A782" s="1">
        <v>44135</v>
      </c>
      <c r="B782">
        <v>47.57</v>
      </c>
      <c r="C782">
        <v>0</v>
      </c>
      <c r="D782">
        <v>0</v>
      </c>
      <c r="E782">
        <v>64</v>
      </c>
      <c r="F782">
        <v>3.08</v>
      </c>
      <c r="G782">
        <v>0.32440000000000002</v>
      </c>
      <c r="H782">
        <v>3</v>
      </c>
      <c r="I782">
        <v>7.3</v>
      </c>
      <c r="J782">
        <v>0</v>
      </c>
      <c r="K782">
        <f>YEAR(NetflixData[[#This Row],[date]])</f>
        <v>2020</v>
      </c>
      <c r="L782" t="str">
        <f>TEXT(NetflixData[[#This Row],[date]],"mmm")</f>
        <v>Oct</v>
      </c>
      <c r="M782" t="str">
        <f>TEXT(NetflixData[[#This Row],[date]],"mmm yyyy")</f>
        <v>Oct 2020</v>
      </c>
      <c r="N782" t="str">
        <f t="shared" si="36"/>
        <v>Non-Trading Day</v>
      </c>
      <c r="O782" t="str">
        <f t="shared" si="37"/>
        <v>No Change</v>
      </c>
      <c r="P782" t="str">
        <f t="shared" si="38"/>
        <v>Positive</v>
      </c>
    </row>
    <row r="783" spans="1:16" x14ac:dyDescent="0.3">
      <c r="A783" s="1">
        <v>44136</v>
      </c>
      <c r="B783">
        <v>47.57</v>
      </c>
      <c r="C783">
        <v>0</v>
      </c>
      <c r="D783">
        <v>0</v>
      </c>
      <c r="E783">
        <v>75</v>
      </c>
      <c r="F783">
        <v>3.25</v>
      </c>
      <c r="G783">
        <v>0.31730000000000003</v>
      </c>
      <c r="H783">
        <v>34</v>
      </c>
      <c r="I783">
        <v>6.3</v>
      </c>
      <c r="J783">
        <v>0</v>
      </c>
      <c r="K783">
        <f>YEAR(NetflixData[[#This Row],[date]])</f>
        <v>2020</v>
      </c>
      <c r="L783" t="str">
        <f>TEXT(NetflixData[[#This Row],[date]],"mmm")</f>
        <v>Nov</v>
      </c>
      <c r="M783" t="str">
        <f>TEXT(NetflixData[[#This Row],[date]],"mmm yyyy")</f>
        <v>Nov 2020</v>
      </c>
      <c r="N783" t="str">
        <f t="shared" si="36"/>
        <v>Trading Day</v>
      </c>
      <c r="O783" t="str">
        <f t="shared" si="37"/>
        <v>No Change</v>
      </c>
      <c r="P783" t="str">
        <f t="shared" si="38"/>
        <v>Positive</v>
      </c>
    </row>
    <row r="784" spans="1:16" x14ac:dyDescent="0.3">
      <c r="A784" s="1">
        <v>44137</v>
      </c>
      <c r="B784">
        <v>48.41</v>
      </c>
      <c r="C784">
        <v>44082000</v>
      </c>
      <c r="D784">
        <v>1.0960000000000001</v>
      </c>
      <c r="E784">
        <v>76</v>
      </c>
      <c r="F784">
        <v>3.09</v>
      </c>
      <c r="G784">
        <v>0.1641</v>
      </c>
      <c r="H784">
        <v>2</v>
      </c>
      <c r="I784">
        <v>6.95</v>
      </c>
      <c r="J784">
        <v>1</v>
      </c>
      <c r="K784">
        <f>YEAR(NetflixData[[#This Row],[date]])</f>
        <v>2020</v>
      </c>
      <c r="L784" t="str">
        <f>TEXT(NetflixData[[#This Row],[date]],"mmm")</f>
        <v>Nov</v>
      </c>
      <c r="M784" t="str">
        <f>TEXT(NetflixData[[#This Row],[date]],"mmm yyyy")</f>
        <v>Nov 2020</v>
      </c>
      <c r="N784" t="str">
        <f t="shared" si="36"/>
        <v>Trading Day</v>
      </c>
      <c r="O784" t="str">
        <f t="shared" si="37"/>
        <v>Positive</v>
      </c>
      <c r="P784" t="str">
        <f t="shared" si="38"/>
        <v>Positive</v>
      </c>
    </row>
    <row r="785" spans="1:16" x14ac:dyDescent="0.3">
      <c r="A785" s="1">
        <v>44138</v>
      </c>
      <c r="B785">
        <v>48.72</v>
      </c>
      <c r="C785">
        <v>36902000</v>
      </c>
      <c r="D785">
        <v>0.47199999999999998</v>
      </c>
      <c r="E785">
        <v>90</v>
      </c>
      <c r="F785">
        <v>3.5</v>
      </c>
      <c r="G785">
        <v>0.3538</v>
      </c>
      <c r="H785">
        <v>4</v>
      </c>
      <c r="I785">
        <v>7.1</v>
      </c>
      <c r="J785">
        <v>1</v>
      </c>
      <c r="K785">
        <f>YEAR(NetflixData[[#This Row],[date]])</f>
        <v>2020</v>
      </c>
      <c r="L785" t="str">
        <f>TEXT(NetflixData[[#This Row],[date]],"mmm")</f>
        <v>Nov</v>
      </c>
      <c r="M785" t="str">
        <f>TEXT(NetflixData[[#This Row],[date]],"mmm yyyy")</f>
        <v>Nov 2020</v>
      </c>
      <c r="N785" t="str">
        <f t="shared" si="36"/>
        <v>Trading Day</v>
      </c>
      <c r="O785" t="str">
        <f t="shared" si="37"/>
        <v>Positive</v>
      </c>
      <c r="P785" t="str">
        <f t="shared" si="38"/>
        <v>Positive</v>
      </c>
    </row>
    <row r="786" spans="1:16" x14ac:dyDescent="0.3">
      <c r="A786" s="1">
        <v>44139</v>
      </c>
      <c r="B786">
        <v>49.69</v>
      </c>
      <c r="C786">
        <v>51373000</v>
      </c>
      <c r="D786">
        <v>0.32100000000000001</v>
      </c>
      <c r="E786">
        <v>71</v>
      </c>
      <c r="F786">
        <v>3.41</v>
      </c>
      <c r="G786">
        <v>0.34010000000000001</v>
      </c>
      <c r="H786">
        <v>4</v>
      </c>
      <c r="I786">
        <v>5.6</v>
      </c>
      <c r="J786">
        <v>1</v>
      </c>
      <c r="K786">
        <f>YEAR(NetflixData[[#This Row],[date]])</f>
        <v>2020</v>
      </c>
      <c r="L786" t="str">
        <f>TEXT(NetflixData[[#This Row],[date]],"mmm")</f>
        <v>Nov</v>
      </c>
      <c r="M786" t="str">
        <f>TEXT(NetflixData[[#This Row],[date]],"mmm yyyy")</f>
        <v>Nov 2020</v>
      </c>
      <c r="N786" t="str">
        <f t="shared" si="36"/>
        <v>Trading Day</v>
      </c>
      <c r="O786" t="str">
        <f t="shared" si="37"/>
        <v>Positive</v>
      </c>
      <c r="P786" t="str">
        <f t="shared" si="38"/>
        <v>Positive</v>
      </c>
    </row>
    <row r="787" spans="1:16" x14ac:dyDescent="0.3">
      <c r="A787" s="1">
        <v>44140</v>
      </c>
      <c r="B787">
        <v>51.38</v>
      </c>
      <c r="C787">
        <v>53728000</v>
      </c>
      <c r="D787">
        <v>1.421</v>
      </c>
      <c r="E787">
        <v>69</v>
      </c>
      <c r="F787">
        <v>3.65</v>
      </c>
      <c r="G787">
        <v>0.40550000000000003</v>
      </c>
      <c r="H787">
        <v>7</v>
      </c>
      <c r="I787">
        <v>6.53</v>
      </c>
      <c r="J787">
        <v>1</v>
      </c>
      <c r="K787">
        <f>YEAR(NetflixData[[#This Row],[date]])</f>
        <v>2020</v>
      </c>
      <c r="L787" t="str">
        <f>TEXT(NetflixData[[#This Row],[date]],"mmm")</f>
        <v>Nov</v>
      </c>
      <c r="M787" t="str">
        <f>TEXT(NetflixData[[#This Row],[date]],"mmm yyyy")</f>
        <v>Nov 2020</v>
      </c>
      <c r="N787" t="str">
        <f t="shared" si="36"/>
        <v>Trading Day</v>
      </c>
      <c r="O787" t="str">
        <f t="shared" si="37"/>
        <v>Positive</v>
      </c>
      <c r="P787" t="str">
        <f t="shared" si="38"/>
        <v>Positive</v>
      </c>
    </row>
    <row r="788" spans="1:16" x14ac:dyDescent="0.3">
      <c r="A788" s="1">
        <v>44141</v>
      </c>
      <c r="B788">
        <v>51.47</v>
      </c>
      <c r="C788">
        <v>42363000</v>
      </c>
      <c r="D788">
        <v>-5.1999999999999998E-2</v>
      </c>
      <c r="E788">
        <v>58</v>
      </c>
      <c r="F788">
        <v>3.5</v>
      </c>
      <c r="G788">
        <v>0.44069999999999998</v>
      </c>
      <c r="H788">
        <v>9</v>
      </c>
      <c r="I788">
        <v>6.39</v>
      </c>
      <c r="J788">
        <v>1</v>
      </c>
      <c r="K788">
        <f>YEAR(NetflixData[[#This Row],[date]])</f>
        <v>2020</v>
      </c>
      <c r="L788" t="str">
        <f>TEXT(NetflixData[[#This Row],[date]],"mmm")</f>
        <v>Nov</v>
      </c>
      <c r="M788" t="str">
        <f>TEXT(NetflixData[[#This Row],[date]],"mmm yyyy")</f>
        <v>Nov 2020</v>
      </c>
      <c r="N788" t="str">
        <f t="shared" si="36"/>
        <v>Non-Trading Day</v>
      </c>
      <c r="O788" t="str">
        <f t="shared" si="37"/>
        <v>Negative</v>
      </c>
      <c r="P788" t="str">
        <f t="shared" si="38"/>
        <v>Positive</v>
      </c>
    </row>
    <row r="789" spans="1:16" x14ac:dyDescent="0.3">
      <c r="A789" s="1">
        <v>44142</v>
      </c>
      <c r="B789">
        <v>51.47</v>
      </c>
      <c r="C789">
        <v>0</v>
      </c>
      <c r="D789">
        <v>0</v>
      </c>
      <c r="E789">
        <v>70</v>
      </c>
      <c r="F789">
        <v>3.14</v>
      </c>
      <c r="G789">
        <v>0.28760000000000002</v>
      </c>
      <c r="H789">
        <v>0</v>
      </c>
      <c r="J789">
        <v>0</v>
      </c>
      <c r="K789">
        <f>YEAR(NetflixData[[#This Row],[date]])</f>
        <v>2020</v>
      </c>
      <c r="L789" t="str">
        <f>TEXT(NetflixData[[#This Row],[date]],"mmm")</f>
        <v>Nov</v>
      </c>
      <c r="M789" t="str">
        <f>TEXT(NetflixData[[#This Row],[date]],"mmm yyyy")</f>
        <v>Nov 2020</v>
      </c>
      <c r="N789" t="str">
        <f t="shared" si="36"/>
        <v>Non-Trading Day</v>
      </c>
      <c r="O789" t="str">
        <f t="shared" si="37"/>
        <v>No Change</v>
      </c>
      <c r="P789" t="str">
        <f t="shared" si="38"/>
        <v>Positive</v>
      </c>
    </row>
    <row r="790" spans="1:16" x14ac:dyDescent="0.3">
      <c r="A790" s="1">
        <v>44143</v>
      </c>
      <c r="B790">
        <v>51.47</v>
      </c>
      <c r="C790">
        <v>0</v>
      </c>
      <c r="D790">
        <v>0</v>
      </c>
      <c r="E790">
        <v>65</v>
      </c>
      <c r="F790">
        <v>3.08</v>
      </c>
      <c r="G790">
        <v>0.25190000000000001</v>
      </c>
      <c r="H790">
        <v>0</v>
      </c>
      <c r="J790">
        <v>0</v>
      </c>
      <c r="K790">
        <f>YEAR(NetflixData[[#This Row],[date]])</f>
        <v>2020</v>
      </c>
      <c r="L790" t="str">
        <f>TEXT(NetflixData[[#This Row],[date]],"mmm")</f>
        <v>Nov</v>
      </c>
      <c r="M790" t="str">
        <f>TEXT(NetflixData[[#This Row],[date]],"mmm yyyy")</f>
        <v>Nov 2020</v>
      </c>
      <c r="N790" t="str">
        <f t="shared" si="36"/>
        <v>Trading Day</v>
      </c>
      <c r="O790" t="str">
        <f t="shared" si="37"/>
        <v>No Change</v>
      </c>
      <c r="P790" t="str">
        <f t="shared" si="38"/>
        <v>Positive</v>
      </c>
    </row>
    <row r="791" spans="1:16" x14ac:dyDescent="0.3">
      <c r="A791" s="1">
        <v>44144</v>
      </c>
      <c r="B791">
        <v>47.05</v>
      </c>
      <c r="C791">
        <v>104197000</v>
      </c>
      <c r="D791">
        <v>-3.0979999999999999</v>
      </c>
      <c r="E791">
        <v>57</v>
      </c>
      <c r="F791">
        <v>3.32</v>
      </c>
      <c r="G791">
        <v>0.41299999999999998</v>
      </c>
      <c r="H791">
        <v>1</v>
      </c>
      <c r="I791">
        <v>5.3</v>
      </c>
      <c r="J791">
        <v>1</v>
      </c>
      <c r="K791">
        <f>YEAR(NetflixData[[#This Row],[date]])</f>
        <v>2020</v>
      </c>
      <c r="L791" t="str">
        <f>TEXT(NetflixData[[#This Row],[date]],"mmm")</f>
        <v>Nov</v>
      </c>
      <c r="M791" t="str">
        <f>TEXT(NetflixData[[#This Row],[date]],"mmm yyyy")</f>
        <v>Nov 2020</v>
      </c>
      <c r="N791" t="str">
        <f t="shared" si="36"/>
        <v>Trading Day</v>
      </c>
      <c r="O791" t="str">
        <f t="shared" si="37"/>
        <v>Negative</v>
      </c>
      <c r="P791" t="str">
        <f t="shared" si="38"/>
        <v>Positive</v>
      </c>
    </row>
    <row r="792" spans="1:16" x14ac:dyDescent="0.3">
      <c r="A792" s="1">
        <v>44145</v>
      </c>
      <c r="B792">
        <v>48.02</v>
      </c>
      <c r="C792">
        <v>83061000</v>
      </c>
      <c r="D792">
        <v>1.9730000000000001</v>
      </c>
      <c r="E792">
        <v>70</v>
      </c>
      <c r="F792">
        <v>3.26</v>
      </c>
      <c r="G792">
        <v>0.24410000000000001</v>
      </c>
      <c r="H792">
        <v>3</v>
      </c>
      <c r="I792">
        <v>8.27</v>
      </c>
      <c r="J792">
        <v>1</v>
      </c>
      <c r="K792">
        <f>YEAR(NetflixData[[#This Row],[date]])</f>
        <v>2020</v>
      </c>
      <c r="L792" t="str">
        <f>TEXT(NetflixData[[#This Row],[date]],"mmm")</f>
        <v>Nov</v>
      </c>
      <c r="M792" t="str">
        <f>TEXT(NetflixData[[#This Row],[date]],"mmm yyyy")</f>
        <v>Nov 2020</v>
      </c>
      <c r="N792" t="str">
        <f t="shared" si="36"/>
        <v>Trading Day</v>
      </c>
      <c r="O792" t="str">
        <f t="shared" si="37"/>
        <v>Positive</v>
      </c>
      <c r="P792" t="str">
        <f t="shared" si="38"/>
        <v>Positive</v>
      </c>
    </row>
    <row r="793" spans="1:16" x14ac:dyDescent="0.3">
      <c r="A793" s="1">
        <v>44146</v>
      </c>
      <c r="B793">
        <v>49.08</v>
      </c>
      <c r="C793">
        <v>54605000</v>
      </c>
      <c r="D793">
        <v>1.607</v>
      </c>
      <c r="E793">
        <v>59</v>
      </c>
      <c r="F793">
        <v>3.37</v>
      </c>
      <c r="G793">
        <v>0.29799999999999999</v>
      </c>
      <c r="H793">
        <v>6</v>
      </c>
      <c r="I793">
        <v>6.88</v>
      </c>
      <c r="J793">
        <v>1</v>
      </c>
      <c r="K793">
        <f>YEAR(NetflixData[[#This Row],[date]])</f>
        <v>2020</v>
      </c>
      <c r="L793" t="str">
        <f>TEXT(NetflixData[[#This Row],[date]],"mmm")</f>
        <v>Nov</v>
      </c>
      <c r="M793" t="str">
        <f>TEXT(NetflixData[[#This Row],[date]],"mmm yyyy")</f>
        <v>Nov 2020</v>
      </c>
      <c r="N793" t="str">
        <f t="shared" si="36"/>
        <v>Trading Day</v>
      </c>
      <c r="O793" t="str">
        <f t="shared" si="37"/>
        <v>Positive</v>
      </c>
      <c r="P793" t="str">
        <f t="shared" si="38"/>
        <v>Positive</v>
      </c>
    </row>
    <row r="794" spans="1:16" x14ac:dyDescent="0.3">
      <c r="A794" s="1">
        <v>44147</v>
      </c>
      <c r="B794">
        <v>48.68</v>
      </c>
      <c r="C794">
        <v>50637000</v>
      </c>
      <c r="D794">
        <v>-0.86199999999999999</v>
      </c>
      <c r="E794">
        <v>78</v>
      </c>
      <c r="F794">
        <v>3.69</v>
      </c>
      <c r="G794">
        <v>0.36299999999999999</v>
      </c>
      <c r="H794">
        <v>8</v>
      </c>
      <c r="I794">
        <v>6.8</v>
      </c>
      <c r="J794">
        <v>1</v>
      </c>
      <c r="K794">
        <f>YEAR(NetflixData[[#This Row],[date]])</f>
        <v>2020</v>
      </c>
      <c r="L794" t="str">
        <f>TEXT(NetflixData[[#This Row],[date]],"mmm")</f>
        <v>Nov</v>
      </c>
      <c r="M794" t="str">
        <f>TEXT(NetflixData[[#This Row],[date]],"mmm yyyy")</f>
        <v>Nov 2020</v>
      </c>
      <c r="N794" t="str">
        <f t="shared" si="36"/>
        <v>Trading Day</v>
      </c>
      <c r="O794" t="str">
        <f t="shared" si="37"/>
        <v>Negative</v>
      </c>
      <c r="P794" t="str">
        <f t="shared" si="38"/>
        <v>Positive</v>
      </c>
    </row>
    <row r="795" spans="1:16" x14ac:dyDescent="0.3">
      <c r="A795" s="1">
        <v>44148</v>
      </c>
      <c r="B795">
        <v>48.28</v>
      </c>
      <c r="C795">
        <v>30027000</v>
      </c>
      <c r="D795">
        <v>-0.80700000000000005</v>
      </c>
      <c r="E795">
        <v>73</v>
      </c>
      <c r="F795">
        <v>3.63</v>
      </c>
      <c r="G795">
        <v>0.34229999999999999</v>
      </c>
      <c r="H795">
        <v>8</v>
      </c>
      <c r="I795">
        <v>6.87</v>
      </c>
      <c r="J795">
        <v>1</v>
      </c>
      <c r="K795">
        <f>YEAR(NetflixData[[#This Row],[date]])</f>
        <v>2020</v>
      </c>
      <c r="L795" t="str">
        <f>TEXT(NetflixData[[#This Row],[date]],"mmm")</f>
        <v>Nov</v>
      </c>
      <c r="M795" t="str">
        <f>TEXT(NetflixData[[#This Row],[date]],"mmm yyyy")</f>
        <v>Nov 2020</v>
      </c>
      <c r="N795" t="str">
        <f t="shared" si="36"/>
        <v>Non-Trading Day</v>
      </c>
      <c r="O795" t="str">
        <f t="shared" si="37"/>
        <v>Negative</v>
      </c>
      <c r="P795" t="str">
        <f t="shared" si="38"/>
        <v>Positive</v>
      </c>
    </row>
    <row r="796" spans="1:16" x14ac:dyDescent="0.3">
      <c r="A796" s="1">
        <v>44149</v>
      </c>
      <c r="B796">
        <v>48.28</v>
      </c>
      <c r="C796">
        <v>0</v>
      </c>
      <c r="D796">
        <v>0</v>
      </c>
      <c r="E796">
        <v>57</v>
      </c>
      <c r="F796">
        <v>3</v>
      </c>
      <c r="G796">
        <v>0.31569999999999998</v>
      </c>
      <c r="H796">
        <v>1</v>
      </c>
      <c r="I796">
        <v>4.5</v>
      </c>
      <c r="J796">
        <v>0</v>
      </c>
      <c r="K796">
        <f>YEAR(NetflixData[[#This Row],[date]])</f>
        <v>2020</v>
      </c>
      <c r="L796" t="str">
        <f>TEXT(NetflixData[[#This Row],[date]],"mmm")</f>
        <v>Nov</v>
      </c>
      <c r="M796" t="str">
        <f>TEXT(NetflixData[[#This Row],[date]],"mmm yyyy")</f>
        <v>Nov 2020</v>
      </c>
      <c r="N796" t="str">
        <f t="shared" si="36"/>
        <v>Non-Trading Day</v>
      </c>
      <c r="O796" t="str">
        <f t="shared" si="37"/>
        <v>No Change</v>
      </c>
      <c r="P796" t="str">
        <f t="shared" si="38"/>
        <v>Positive</v>
      </c>
    </row>
    <row r="797" spans="1:16" x14ac:dyDescent="0.3">
      <c r="A797" s="1">
        <v>44150</v>
      </c>
      <c r="B797">
        <v>48.28</v>
      </c>
      <c r="C797">
        <v>0</v>
      </c>
      <c r="D797">
        <v>0</v>
      </c>
      <c r="E797">
        <v>62</v>
      </c>
      <c r="F797">
        <v>3.32</v>
      </c>
      <c r="G797">
        <v>0.3367</v>
      </c>
      <c r="H797">
        <v>9</v>
      </c>
      <c r="I797">
        <v>6.53</v>
      </c>
      <c r="J797">
        <v>0</v>
      </c>
      <c r="K797">
        <f>YEAR(NetflixData[[#This Row],[date]])</f>
        <v>2020</v>
      </c>
      <c r="L797" t="str">
        <f>TEXT(NetflixData[[#This Row],[date]],"mmm")</f>
        <v>Nov</v>
      </c>
      <c r="M797" t="str">
        <f>TEXT(NetflixData[[#This Row],[date]],"mmm yyyy")</f>
        <v>Nov 2020</v>
      </c>
      <c r="N797" t="str">
        <f t="shared" si="36"/>
        <v>Trading Day</v>
      </c>
      <c r="O797" t="str">
        <f t="shared" si="37"/>
        <v>No Change</v>
      </c>
      <c r="P797" t="str">
        <f t="shared" si="38"/>
        <v>Positive</v>
      </c>
    </row>
    <row r="798" spans="1:16" x14ac:dyDescent="0.3">
      <c r="A798" s="1">
        <v>44151</v>
      </c>
      <c r="B798">
        <v>47.91</v>
      </c>
      <c r="C798">
        <v>39536000</v>
      </c>
      <c r="D798">
        <v>-0.188</v>
      </c>
      <c r="E798">
        <v>66</v>
      </c>
      <c r="F798">
        <v>3.2</v>
      </c>
      <c r="G798">
        <v>0.30830000000000002</v>
      </c>
      <c r="H798">
        <v>2</v>
      </c>
      <c r="I798">
        <v>6.5</v>
      </c>
      <c r="J798">
        <v>1</v>
      </c>
      <c r="K798">
        <f>YEAR(NetflixData[[#This Row],[date]])</f>
        <v>2020</v>
      </c>
      <c r="L798" t="str">
        <f>TEXT(NetflixData[[#This Row],[date]],"mmm")</f>
        <v>Nov</v>
      </c>
      <c r="M798" t="str">
        <f>TEXT(NetflixData[[#This Row],[date]],"mmm yyyy")</f>
        <v>Nov 2020</v>
      </c>
      <c r="N798" t="str">
        <f t="shared" si="36"/>
        <v>Trading Day</v>
      </c>
      <c r="O798" t="str">
        <f t="shared" si="37"/>
        <v>Negative</v>
      </c>
      <c r="P798" t="str">
        <f t="shared" si="38"/>
        <v>Positive</v>
      </c>
    </row>
    <row r="799" spans="1:16" x14ac:dyDescent="0.3">
      <c r="A799" s="1">
        <v>44152</v>
      </c>
      <c r="B799">
        <v>48.06</v>
      </c>
      <c r="C799">
        <v>36981000</v>
      </c>
      <c r="D799">
        <v>0.106</v>
      </c>
      <c r="E799">
        <v>83</v>
      </c>
      <c r="F799">
        <v>3.55</v>
      </c>
      <c r="G799">
        <v>0.36020000000000002</v>
      </c>
      <c r="H799">
        <v>4</v>
      </c>
      <c r="I799">
        <v>6.85</v>
      </c>
      <c r="J799">
        <v>1</v>
      </c>
      <c r="K799">
        <f>YEAR(NetflixData[[#This Row],[date]])</f>
        <v>2020</v>
      </c>
      <c r="L799" t="str">
        <f>TEXT(NetflixData[[#This Row],[date]],"mmm")</f>
        <v>Nov</v>
      </c>
      <c r="M799" t="str">
        <f>TEXT(NetflixData[[#This Row],[date]],"mmm yyyy")</f>
        <v>Nov 2020</v>
      </c>
      <c r="N799" t="str">
        <f t="shared" si="36"/>
        <v>Trading Day</v>
      </c>
      <c r="O799" t="str">
        <f t="shared" si="37"/>
        <v>Positive</v>
      </c>
      <c r="P799" t="str">
        <f t="shared" si="38"/>
        <v>Positive</v>
      </c>
    </row>
    <row r="800" spans="1:16" x14ac:dyDescent="0.3">
      <c r="A800" s="1">
        <v>44153</v>
      </c>
      <c r="B800">
        <v>48.18</v>
      </c>
      <c r="C800">
        <v>36292000</v>
      </c>
      <c r="D800">
        <v>-3.3000000000000002E-2</v>
      </c>
      <c r="E800">
        <v>85</v>
      </c>
      <c r="F800">
        <v>3.47</v>
      </c>
      <c r="G800">
        <v>0.26250000000000001</v>
      </c>
      <c r="H800">
        <v>1</v>
      </c>
      <c r="I800">
        <v>5.9</v>
      </c>
      <c r="J800">
        <v>1</v>
      </c>
      <c r="K800">
        <f>YEAR(NetflixData[[#This Row],[date]])</f>
        <v>2020</v>
      </c>
      <c r="L800" t="str">
        <f>TEXT(NetflixData[[#This Row],[date]],"mmm")</f>
        <v>Nov</v>
      </c>
      <c r="M800" t="str">
        <f>TEXT(NetflixData[[#This Row],[date]],"mmm yyyy")</f>
        <v>Nov 2020</v>
      </c>
      <c r="N800" t="str">
        <f t="shared" si="36"/>
        <v>Trading Day</v>
      </c>
      <c r="O800" t="str">
        <f t="shared" si="37"/>
        <v>Negative</v>
      </c>
      <c r="P800" t="str">
        <f t="shared" si="38"/>
        <v>Positive</v>
      </c>
    </row>
    <row r="801" spans="1:16" x14ac:dyDescent="0.3">
      <c r="A801" s="1">
        <v>44154</v>
      </c>
      <c r="B801">
        <v>48.47</v>
      </c>
      <c r="C801">
        <v>22547000</v>
      </c>
      <c r="D801">
        <v>0.55400000000000005</v>
      </c>
      <c r="E801">
        <v>80</v>
      </c>
      <c r="F801">
        <v>3.4</v>
      </c>
      <c r="G801">
        <v>0.29530000000000001</v>
      </c>
      <c r="H801">
        <v>11</v>
      </c>
      <c r="I801">
        <v>6.41</v>
      </c>
      <c r="J801">
        <v>1</v>
      </c>
      <c r="K801">
        <f>YEAR(NetflixData[[#This Row],[date]])</f>
        <v>2020</v>
      </c>
      <c r="L801" t="str">
        <f>TEXT(NetflixData[[#This Row],[date]],"mmm")</f>
        <v>Nov</v>
      </c>
      <c r="M801" t="str">
        <f>TEXT(NetflixData[[#This Row],[date]],"mmm yyyy")</f>
        <v>Nov 2020</v>
      </c>
      <c r="N801" t="str">
        <f t="shared" si="36"/>
        <v>Trading Day</v>
      </c>
      <c r="O801" t="str">
        <f t="shared" si="37"/>
        <v>Positive</v>
      </c>
      <c r="P801" t="str">
        <f t="shared" si="38"/>
        <v>Positive</v>
      </c>
    </row>
    <row r="802" spans="1:16" x14ac:dyDescent="0.3">
      <c r="A802" s="1">
        <v>44155</v>
      </c>
      <c r="B802">
        <v>48.82</v>
      </c>
      <c r="C802">
        <v>42534000</v>
      </c>
      <c r="D802">
        <v>0.622</v>
      </c>
      <c r="E802">
        <v>67</v>
      </c>
      <c r="F802">
        <v>3.3</v>
      </c>
      <c r="G802">
        <v>0.23949999999999999</v>
      </c>
      <c r="H802">
        <v>8</v>
      </c>
      <c r="I802">
        <v>5.97</v>
      </c>
      <c r="J802">
        <v>1</v>
      </c>
      <c r="K802">
        <f>YEAR(NetflixData[[#This Row],[date]])</f>
        <v>2020</v>
      </c>
      <c r="L802" t="str">
        <f>TEXT(NetflixData[[#This Row],[date]],"mmm")</f>
        <v>Nov</v>
      </c>
      <c r="M802" t="str">
        <f>TEXT(NetflixData[[#This Row],[date]],"mmm yyyy")</f>
        <v>Nov 2020</v>
      </c>
      <c r="N802" t="str">
        <f t="shared" si="36"/>
        <v>Non-Trading Day</v>
      </c>
      <c r="O802" t="str">
        <f t="shared" si="37"/>
        <v>Positive</v>
      </c>
      <c r="P802" t="str">
        <f t="shared" si="38"/>
        <v>Positive</v>
      </c>
    </row>
    <row r="803" spans="1:16" x14ac:dyDescent="0.3">
      <c r="A803" s="1">
        <v>44156</v>
      </c>
      <c r="B803">
        <v>48.82</v>
      </c>
      <c r="C803">
        <v>0</v>
      </c>
      <c r="D803">
        <v>0</v>
      </c>
      <c r="E803">
        <v>81</v>
      </c>
      <c r="F803">
        <v>3.47</v>
      </c>
      <c r="G803">
        <v>0.28689999999999999</v>
      </c>
      <c r="H803">
        <v>0</v>
      </c>
      <c r="J803">
        <v>0</v>
      </c>
      <c r="K803">
        <f>YEAR(NetflixData[[#This Row],[date]])</f>
        <v>2020</v>
      </c>
      <c r="L803" t="str">
        <f>TEXT(NetflixData[[#This Row],[date]],"mmm")</f>
        <v>Nov</v>
      </c>
      <c r="M803" t="str">
        <f>TEXT(NetflixData[[#This Row],[date]],"mmm yyyy")</f>
        <v>Nov 2020</v>
      </c>
      <c r="N803" t="str">
        <f t="shared" si="36"/>
        <v>Non-Trading Day</v>
      </c>
      <c r="O803" t="str">
        <f t="shared" si="37"/>
        <v>No Change</v>
      </c>
      <c r="P803" t="str">
        <f t="shared" si="38"/>
        <v>Positive</v>
      </c>
    </row>
    <row r="804" spans="1:16" x14ac:dyDescent="0.3">
      <c r="A804" s="1">
        <v>44157</v>
      </c>
      <c r="B804">
        <v>48.82</v>
      </c>
      <c r="C804">
        <v>0</v>
      </c>
      <c r="D804">
        <v>0</v>
      </c>
      <c r="E804">
        <v>91</v>
      </c>
      <c r="F804">
        <v>3.2</v>
      </c>
      <c r="G804">
        <v>0.31009999999999999</v>
      </c>
      <c r="H804">
        <v>2</v>
      </c>
      <c r="I804">
        <v>5.6</v>
      </c>
      <c r="J804">
        <v>0</v>
      </c>
      <c r="K804">
        <f>YEAR(NetflixData[[#This Row],[date]])</f>
        <v>2020</v>
      </c>
      <c r="L804" t="str">
        <f>TEXT(NetflixData[[#This Row],[date]],"mmm")</f>
        <v>Nov</v>
      </c>
      <c r="M804" t="str">
        <f>TEXT(NetflixData[[#This Row],[date]],"mmm yyyy")</f>
        <v>Nov 2020</v>
      </c>
      <c r="N804" t="str">
        <f t="shared" si="36"/>
        <v>Trading Day</v>
      </c>
      <c r="O804" t="str">
        <f t="shared" si="37"/>
        <v>No Change</v>
      </c>
      <c r="P804" t="str">
        <f t="shared" si="38"/>
        <v>Positive</v>
      </c>
    </row>
    <row r="805" spans="1:16" x14ac:dyDescent="0.3">
      <c r="A805" s="1">
        <v>44158</v>
      </c>
      <c r="B805">
        <v>47.66</v>
      </c>
      <c r="C805">
        <v>54166000</v>
      </c>
      <c r="D805">
        <v>-2.8220000000000001</v>
      </c>
      <c r="E805">
        <v>66</v>
      </c>
      <c r="F805">
        <v>2.97</v>
      </c>
      <c r="G805">
        <v>0.16339999999999999</v>
      </c>
      <c r="H805">
        <v>4</v>
      </c>
      <c r="I805">
        <v>5.6</v>
      </c>
      <c r="J805">
        <v>1</v>
      </c>
      <c r="K805">
        <f>YEAR(NetflixData[[#This Row],[date]])</f>
        <v>2020</v>
      </c>
      <c r="L805" t="str">
        <f>TEXT(NetflixData[[#This Row],[date]],"mmm")</f>
        <v>Nov</v>
      </c>
      <c r="M805" t="str">
        <f>TEXT(NetflixData[[#This Row],[date]],"mmm yyyy")</f>
        <v>Nov 2020</v>
      </c>
      <c r="N805" t="str">
        <f t="shared" si="36"/>
        <v>Trading Day</v>
      </c>
      <c r="O805" t="str">
        <f t="shared" si="37"/>
        <v>Negative</v>
      </c>
      <c r="P805" t="str">
        <f t="shared" si="38"/>
        <v>Positive</v>
      </c>
    </row>
    <row r="806" spans="1:16" x14ac:dyDescent="0.3">
      <c r="A806" s="1">
        <v>44159</v>
      </c>
      <c r="B806">
        <v>48.29</v>
      </c>
      <c r="C806">
        <v>35505000</v>
      </c>
      <c r="D806">
        <v>0.84399999999999997</v>
      </c>
      <c r="E806">
        <v>59</v>
      </c>
      <c r="F806">
        <v>3.31</v>
      </c>
      <c r="G806">
        <v>0.31359999999999999</v>
      </c>
      <c r="H806">
        <v>7</v>
      </c>
      <c r="I806">
        <v>6.8</v>
      </c>
      <c r="J806">
        <v>1</v>
      </c>
      <c r="K806">
        <f>YEAR(NetflixData[[#This Row],[date]])</f>
        <v>2020</v>
      </c>
      <c r="L806" t="str">
        <f>TEXT(NetflixData[[#This Row],[date]],"mmm")</f>
        <v>Nov</v>
      </c>
      <c r="M806" t="str">
        <f>TEXT(NetflixData[[#This Row],[date]],"mmm yyyy")</f>
        <v>Nov 2020</v>
      </c>
      <c r="N806" t="str">
        <f t="shared" si="36"/>
        <v>Trading Day</v>
      </c>
      <c r="O806" t="str">
        <f t="shared" si="37"/>
        <v>Positive</v>
      </c>
      <c r="P806" t="str">
        <f t="shared" si="38"/>
        <v>Positive</v>
      </c>
    </row>
    <row r="807" spans="1:16" x14ac:dyDescent="0.3">
      <c r="A807" s="1">
        <v>44160</v>
      </c>
      <c r="B807">
        <v>48.5</v>
      </c>
      <c r="C807">
        <v>35986000</v>
      </c>
      <c r="D807">
        <v>-2.7E-2</v>
      </c>
      <c r="E807">
        <v>64</v>
      </c>
      <c r="F807">
        <v>2.78</v>
      </c>
      <c r="G807">
        <v>0.24510000000000001</v>
      </c>
      <c r="H807">
        <v>4</v>
      </c>
      <c r="I807">
        <v>6.68</v>
      </c>
      <c r="J807">
        <v>1</v>
      </c>
      <c r="K807">
        <f>YEAR(NetflixData[[#This Row],[date]])</f>
        <v>2020</v>
      </c>
      <c r="L807" t="str">
        <f>TEXT(NetflixData[[#This Row],[date]],"mmm")</f>
        <v>Nov</v>
      </c>
      <c r="M807" t="str">
        <f>TEXT(NetflixData[[#This Row],[date]],"mmm yyyy")</f>
        <v>Nov 2020</v>
      </c>
      <c r="N807" t="str">
        <f t="shared" si="36"/>
        <v>Non-Trading Day</v>
      </c>
      <c r="O807" t="str">
        <f t="shared" si="37"/>
        <v>Negative</v>
      </c>
      <c r="P807" t="str">
        <f t="shared" si="38"/>
        <v>Positive</v>
      </c>
    </row>
    <row r="808" spans="1:16" x14ac:dyDescent="0.3">
      <c r="A808" s="1">
        <v>44161</v>
      </c>
      <c r="B808">
        <v>48.5</v>
      </c>
      <c r="C808">
        <v>0</v>
      </c>
      <c r="D808">
        <v>0</v>
      </c>
      <c r="E808">
        <v>76</v>
      </c>
      <c r="F808">
        <v>3.39</v>
      </c>
      <c r="G808">
        <v>0.27710000000000001</v>
      </c>
      <c r="H808">
        <v>4</v>
      </c>
      <c r="I808">
        <v>6.03</v>
      </c>
      <c r="J808">
        <v>0</v>
      </c>
      <c r="K808">
        <f>YEAR(NetflixData[[#This Row],[date]])</f>
        <v>2020</v>
      </c>
      <c r="L808" t="str">
        <f>TEXT(NetflixData[[#This Row],[date]],"mmm")</f>
        <v>Nov</v>
      </c>
      <c r="M808" t="str">
        <f>TEXT(NetflixData[[#This Row],[date]],"mmm yyyy")</f>
        <v>Nov 2020</v>
      </c>
      <c r="N808" t="str">
        <f t="shared" si="36"/>
        <v>Trading Day</v>
      </c>
      <c r="O808" t="str">
        <f t="shared" si="37"/>
        <v>No Change</v>
      </c>
      <c r="P808" t="str">
        <f t="shared" si="38"/>
        <v>Positive</v>
      </c>
    </row>
    <row r="809" spans="1:16" x14ac:dyDescent="0.3">
      <c r="A809" s="1">
        <v>44162</v>
      </c>
      <c r="B809">
        <v>49.14</v>
      </c>
      <c r="C809">
        <v>28058000</v>
      </c>
      <c r="D809">
        <v>0.98199999999999998</v>
      </c>
      <c r="E809">
        <v>68</v>
      </c>
      <c r="F809">
        <v>3.35</v>
      </c>
      <c r="G809">
        <v>0.40620000000000001</v>
      </c>
      <c r="H809">
        <v>10</v>
      </c>
      <c r="I809">
        <v>6.32</v>
      </c>
      <c r="J809">
        <v>1</v>
      </c>
      <c r="K809">
        <f>YEAR(NetflixData[[#This Row],[date]])</f>
        <v>2020</v>
      </c>
      <c r="L809" t="str">
        <f>TEXT(NetflixData[[#This Row],[date]],"mmm")</f>
        <v>Nov</v>
      </c>
      <c r="M809" t="str">
        <f>TEXT(NetflixData[[#This Row],[date]],"mmm yyyy")</f>
        <v>Nov 2020</v>
      </c>
      <c r="N809" t="str">
        <f t="shared" si="36"/>
        <v>Non-Trading Day</v>
      </c>
      <c r="O809" t="str">
        <f t="shared" si="37"/>
        <v>Positive</v>
      </c>
      <c r="P809" t="str">
        <f t="shared" si="38"/>
        <v>Positive</v>
      </c>
    </row>
    <row r="810" spans="1:16" x14ac:dyDescent="0.3">
      <c r="A810" s="1">
        <v>44163</v>
      </c>
      <c r="B810">
        <v>49.14</v>
      </c>
      <c r="C810">
        <v>0</v>
      </c>
      <c r="D810">
        <v>0</v>
      </c>
      <c r="E810">
        <v>67</v>
      </c>
      <c r="F810">
        <v>3.09</v>
      </c>
      <c r="G810">
        <v>0.25659999999999999</v>
      </c>
      <c r="H810">
        <v>0</v>
      </c>
      <c r="J810">
        <v>0</v>
      </c>
      <c r="K810">
        <f>YEAR(NetflixData[[#This Row],[date]])</f>
        <v>2020</v>
      </c>
      <c r="L810" t="str">
        <f>TEXT(NetflixData[[#This Row],[date]],"mmm")</f>
        <v>Nov</v>
      </c>
      <c r="M810" t="str">
        <f>TEXT(NetflixData[[#This Row],[date]],"mmm yyyy")</f>
        <v>Nov 2020</v>
      </c>
      <c r="N810" t="str">
        <f t="shared" si="36"/>
        <v>Non-Trading Day</v>
      </c>
      <c r="O810" t="str">
        <f t="shared" si="37"/>
        <v>No Change</v>
      </c>
      <c r="P810" t="str">
        <f t="shared" si="38"/>
        <v>Positive</v>
      </c>
    </row>
    <row r="811" spans="1:16" x14ac:dyDescent="0.3">
      <c r="A811" s="1">
        <v>44164</v>
      </c>
      <c r="B811">
        <v>49.14</v>
      </c>
      <c r="C811">
        <v>0</v>
      </c>
      <c r="D811">
        <v>0</v>
      </c>
      <c r="E811">
        <v>69</v>
      </c>
      <c r="F811">
        <v>3.1</v>
      </c>
      <c r="G811">
        <v>0.308</v>
      </c>
      <c r="H811">
        <v>1</v>
      </c>
      <c r="I811">
        <v>8</v>
      </c>
      <c r="J811">
        <v>0</v>
      </c>
      <c r="K811">
        <f>YEAR(NetflixData[[#This Row],[date]])</f>
        <v>2020</v>
      </c>
      <c r="L811" t="str">
        <f>TEXT(NetflixData[[#This Row],[date]],"mmm")</f>
        <v>Nov</v>
      </c>
      <c r="M811" t="str">
        <f>TEXT(NetflixData[[#This Row],[date]],"mmm yyyy")</f>
        <v>Nov 2020</v>
      </c>
      <c r="N811" t="str">
        <f t="shared" si="36"/>
        <v>Trading Day</v>
      </c>
      <c r="O811" t="str">
        <f t="shared" si="37"/>
        <v>No Change</v>
      </c>
      <c r="P811" t="str">
        <f t="shared" si="38"/>
        <v>Positive</v>
      </c>
    </row>
    <row r="812" spans="1:16" x14ac:dyDescent="0.3">
      <c r="A812" s="1">
        <v>44165</v>
      </c>
      <c r="B812">
        <v>49.07</v>
      </c>
      <c r="C812">
        <v>35309000</v>
      </c>
      <c r="D812">
        <v>0.127</v>
      </c>
      <c r="E812">
        <v>61</v>
      </c>
      <c r="F812">
        <v>3.05</v>
      </c>
      <c r="G812">
        <v>0.32629999999999998</v>
      </c>
      <c r="H812">
        <v>4</v>
      </c>
      <c r="I812">
        <v>4.93</v>
      </c>
      <c r="J812">
        <v>1</v>
      </c>
      <c r="K812">
        <f>YEAR(NetflixData[[#This Row],[date]])</f>
        <v>2020</v>
      </c>
      <c r="L812" t="str">
        <f>TEXT(NetflixData[[#This Row],[date]],"mmm")</f>
        <v>Nov</v>
      </c>
      <c r="M812" t="str">
        <f>TEXT(NetflixData[[#This Row],[date]],"mmm yyyy")</f>
        <v>Nov 2020</v>
      </c>
      <c r="N812" t="str">
        <f t="shared" si="36"/>
        <v>Trading Day</v>
      </c>
      <c r="O812" t="str">
        <f t="shared" si="37"/>
        <v>Positive</v>
      </c>
      <c r="P812" t="str">
        <f t="shared" si="38"/>
        <v>Positive</v>
      </c>
    </row>
    <row r="813" spans="1:16" x14ac:dyDescent="0.3">
      <c r="A813" s="1">
        <v>44166</v>
      </c>
      <c r="B813">
        <v>50.46</v>
      </c>
      <c r="C813">
        <v>50527000</v>
      </c>
      <c r="D813">
        <v>2.4860000000000002</v>
      </c>
      <c r="E813">
        <v>73</v>
      </c>
      <c r="F813">
        <v>3.12</v>
      </c>
      <c r="G813">
        <v>0.31190000000000001</v>
      </c>
      <c r="H813">
        <v>28</v>
      </c>
      <c r="I813">
        <v>6.49</v>
      </c>
      <c r="J813">
        <v>1</v>
      </c>
      <c r="K813">
        <f>YEAR(NetflixData[[#This Row],[date]])</f>
        <v>2020</v>
      </c>
      <c r="L813" t="str">
        <f>TEXT(NetflixData[[#This Row],[date]],"mmm")</f>
        <v>Dec</v>
      </c>
      <c r="M813" t="str">
        <f>TEXT(NetflixData[[#This Row],[date]],"mmm yyyy")</f>
        <v>Dec 2020</v>
      </c>
      <c r="N813" t="str">
        <f t="shared" si="36"/>
        <v>Trading Day</v>
      </c>
      <c r="O813" t="str">
        <f t="shared" si="37"/>
        <v>Positive</v>
      </c>
      <c r="P813" t="str">
        <f t="shared" si="38"/>
        <v>Positive</v>
      </c>
    </row>
    <row r="814" spans="1:16" x14ac:dyDescent="0.3">
      <c r="A814" s="1">
        <v>44167</v>
      </c>
      <c r="B814">
        <v>50.34</v>
      </c>
      <c r="C814">
        <v>30284000</v>
      </c>
      <c r="D814">
        <v>0.35099999999999998</v>
      </c>
      <c r="E814">
        <v>61</v>
      </c>
      <c r="F814">
        <v>3.15</v>
      </c>
      <c r="G814">
        <v>0.35</v>
      </c>
      <c r="H814">
        <v>6</v>
      </c>
      <c r="I814">
        <v>6.4</v>
      </c>
      <c r="J814">
        <v>1</v>
      </c>
      <c r="K814">
        <f>YEAR(NetflixData[[#This Row],[date]])</f>
        <v>2020</v>
      </c>
      <c r="L814" t="str">
        <f>TEXT(NetflixData[[#This Row],[date]],"mmm")</f>
        <v>Dec</v>
      </c>
      <c r="M814" t="str">
        <f>TEXT(NetflixData[[#This Row],[date]],"mmm yyyy")</f>
        <v>Dec 2020</v>
      </c>
      <c r="N814" t="str">
        <f t="shared" si="36"/>
        <v>Trading Day</v>
      </c>
      <c r="O814" t="str">
        <f t="shared" si="37"/>
        <v>Positive</v>
      </c>
      <c r="P814" t="str">
        <f t="shared" si="38"/>
        <v>Positive</v>
      </c>
    </row>
    <row r="815" spans="1:16" x14ac:dyDescent="0.3">
      <c r="A815" s="1">
        <v>44168</v>
      </c>
      <c r="B815">
        <v>49.75</v>
      </c>
      <c r="C815">
        <v>28261000</v>
      </c>
      <c r="D815">
        <v>-1.087</v>
      </c>
      <c r="E815">
        <v>73</v>
      </c>
      <c r="F815">
        <v>3.12</v>
      </c>
      <c r="G815">
        <v>0.31390000000000001</v>
      </c>
      <c r="H815">
        <v>5</v>
      </c>
      <c r="I815">
        <v>6.32</v>
      </c>
      <c r="J815">
        <v>1</v>
      </c>
      <c r="K815">
        <f>YEAR(NetflixData[[#This Row],[date]])</f>
        <v>2020</v>
      </c>
      <c r="L815" t="str">
        <f>TEXT(NetflixData[[#This Row],[date]],"mmm")</f>
        <v>Dec</v>
      </c>
      <c r="M815" t="str">
        <f>TEXT(NetflixData[[#This Row],[date]],"mmm yyyy")</f>
        <v>Dec 2020</v>
      </c>
      <c r="N815" t="str">
        <f t="shared" si="36"/>
        <v>Trading Day</v>
      </c>
      <c r="O815" t="str">
        <f t="shared" si="37"/>
        <v>Negative</v>
      </c>
      <c r="P815" t="str">
        <f t="shared" si="38"/>
        <v>Positive</v>
      </c>
    </row>
    <row r="816" spans="1:16" x14ac:dyDescent="0.3">
      <c r="A816" s="1">
        <v>44169</v>
      </c>
      <c r="B816">
        <v>49.83</v>
      </c>
      <c r="C816">
        <v>36662000</v>
      </c>
      <c r="D816">
        <v>0.16300000000000001</v>
      </c>
      <c r="E816">
        <v>112</v>
      </c>
      <c r="F816">
        <v>2.62</v>
      </c>
      <c r="G816">
        <v>0.17760000000000001</v>
      </c>
      <c r="H816">
        <v>11</v>
      </c>
      <c r="I816">
        <v>5.39</v>
      </c>
      <c r="J816">
        <v>1</v>
      </c>
      <c r="K816">
        <f>YEAR(NetflixData[[#This Row],[date]])</f>
        <v>2020</v>
      </c>
      <c r="L816" t="str">
        <f>TEXT(NetflixData[[#This Row],[date]],"mmm")</f>
        <v>Dec</v>
      </c>
      <c r="M816" t="str">
        <f>TEXT(NetflixData[[#This Row],[date]],"mmm yyyy")</f>
        <v>Dec 2020</v>
      </c>
      <c r="N816" t="str">
        <f t="shared" si="36"/>
        <v>Non-Trading Day</v>
      </c>
      <c r="O816" t="str">
        <f t="shared" si="37"/>
        <v>Positive</v>
      </c>
      <c r="P816" t="str">
        <f t="shared" si="38"/>
        <v>Positive</v>
      </c>
    </row>
    <row r="817" spans="1:16" x14ac:dyDescent="0.3">
      <c r="A817" s="1">
        <v>44170</v>
      </c>
      <c r="B817">
        <v>49.83</v>
      </c>
      <c r="C817">
        <v>0</v>
      </c>
      <c r="D817">
        <v>0</v>
      </c>
      <c r="E817">
        <v>248</v>
      </c>
      <c r="F817">
        <v>2</v>
      </c>
      <c r="G817">
        <v>9.6100000000000005E-2</v>
      </c>
      <c r="H817">
        <v>2</v>
      </c>
      <c r="I817">
        <v>6.4</v>
      </c>
      <c r="J817">
        <v>0</v>
      </c>
      <c r="K817">
        <f>YEAR(NetflixData[[#This Row],[date]])</f>
        <v>2020</v>
      </c>
      <c r="L817" t="str">
        <f>TEXT(NetflixData[[#This Row],[date]],"mmm")</f>
        <v>Dec</v>
      </c>
      <c r="M817" t="str">
        <f>TEXT(NetflixData[[#This Row],[date]],"mmm yyyy")</f>
        <v>Dec 2020</v>
      </c>
      <c r="N817" t="str">
        <f t="shared" si="36"/>
        <v>Non-Trading Day</v>
      </c>
      <c r="O817" t="str">
        <f t="shared" si="37"/>
        <v>No Change</v>
      </c>
      <c r="P817" t="str">
        <f t="shared" si="38"/>
        <v>Neutral</v>
      </c>
    </row>
    <row r="818" spans="1:16" x14ac:dyDescent="0.3">
      <c r="A818" s="1">
        <v>44171</v>
      </c>
      <c r="B818">
        <v>49.83</v>
      </c>
      <c r="C818">
        <v>0</v>
      </c>
      <c r="D818">
        <v>0</v>
      </c>
      <c r="E818">
        <v>137</v>
      </c>
      <c r="F818">
        <v>2.58</v>
      </c>
      <c r="G818">
        <v>0.25190000000000001</v>
      </c>
      <c r="H818">
        <v>0</v>
      </c>
      <c r="J818">
        <v>0</v>
      </c>
      <c r="K818">
        <f>YEAR(NetflixData[[#This Row],[date]])</f>
        <v>2020</v>
      </c>
      <c r="L818" t="str">
        <f>TEXT(NetflixData[[#This Row],[date]],"mmm")</f>
        <v>Dec</v>
      </c>
      <c r="M818" t="str">
        <f>TEXT(NetflixData[[#This Row],[date]],"mmm yyyy")</f>
        <v>Dec 2020</v>
      </c>
      <c r="N818" t="str">
        <f t="shared" si="36"/>
        <v>Trading Day</v>
      </c>
      <c r="O818" t="str">
        <f t="shared" si="37"/>
        <v>No Change</v>
      </c>
      <c r="P818" t="str">
        <f t="shared" si="38"/>
        <v>Positive</v>
      </c>
    </row>
    <row r="819" spans="1:16" x14ac:dyDescent="0.3">
      <c r="A819" s="1">
        <v>44172</v>
      </c>
      <c r="B819">
        <v>51.58</v>
      </c>
      <c r="C819">
        <v>42893000</v>
      </c>
      <c r="D819">
        <v>3.1539999999999999</v>
      </c>
      <c r="E819">
        <v>89</v>
      </c>
      <c r="F819">
        <v>2.93</v>
      </c>
      <c r="G819">
        <v>0.27910000000000001</v>
      </c>
      <c r="H819">
        <v>5</v>
      </c>
      <c r="I819">
        <v>6.9</v>
      </c>
      <c r="J819">
        <v>1</v>
      </c>
      <c r="K819">
        <f>YEAR(NetflixData[[#This Row],[date]])</f>
        <v>2020</v>
      </c>
      <c r="L819" t="str">
        <f>TEXT(NetflixData[[#This Row],[date]],"mmm")</f>
        <v>Dec</v>
      </c>
      <c r="M819" t="str">
        <f>TEXT(NetflixData[[#This Row],[date]],"mmm yyyy")</f>
        <v>Dec 2020</v>
      </c>
      <c r="N819" t="str">
        <f t="shared" si="36"/>
        <v>Trading Day</v>
      </c>
      <c r="O819" t="str">
        <f t="shared" si="37"/>
        <v>Positive</v>
      </c>
      <c r="P819" t="str">
        <f t="shared" si="38"/>
        <v>Positive</v>
      </c>
    </row>
    <row r="820" spans="1:16" x14ac:dyDescent="0.3">
      <c r="A820" s="1">
        <v>44173</v>
      </c>
      <c r="B820">
        <v>51.27</v>
      </c>
      <c r="C820">
        <v>42290000</v>
      </c>
      <c r="D820">
        <v>-1.012</v>
      </c>
      <c r="E820">
        <v>63</v>
      </c>
      <c r="F820">
        <v>3.17</v>
      </c>
      <c r="G820">
        <v>0.24560000000000001</v>
      </c>
      <c r="H820">
        <v>8</v>
      </c>
      <c r="I820">
        <v>6.05</v>
      </c>
      <c r="J820">
        <v>1</v>
      </c>
      <c r="K820">
        <f>YEAR(NetflixData[[#This Row],[date]])</f>
        <v>2020</v>
      </c>
      <c r="L820" t="str">
        <f>TEXT(NetflixData[[#This Row],[date]],"mmm")</f>
        <v>Dec</v>
      </c>
      <c r="M820" t="str">
        <f>TEXT(NetflixData[[#This Row],[date]],"mmm yyyy")</f>
        <v>Dec 2020</v>
      </c>
      <c r="N820" t="str">
        <f t="shared" si="36"/>
        <v>Trading Day</v>
      </c>
      <c r="O820" t="str">
        <f t="shared" si="37"/>
        <v>Negative</v>
      </c>
      <c r="P820" t="str">
        <f t="shared" si="38"/>
        <v>Positive</v>
      </c>
    </row>
    <row r="821" spans="1:16" x14ac:dyDescent="0.3">
      <c r="A821" s="1">
        <v>44174</v>
      </c>
      <c r="B821">
        <v>49.36</v>
      </c>
      <c r="C821">
        <v>41788000</v>
      </c>
      <c r="D821">
        <v>-3.3159999999999998</v>
      </c>
      <c r="E821">
        <v>77</v>
      </c>
      <c r="F821">
        <v>2.81</v>
      </c>
      <c r="G821">
        <v>0.19470000000000001</v>
      </c>
      <c r="H821">
        <v>7</v>
      </c>
      <c r="I821">
        <v>7.18</v>
      </c>
      <c r="J821">
        <v>1</v>
      </c>
      <c r="K821">
        <f>YEAR(NetflixData[[#This Row],[date]])</f>
        <v>2020</v>
      </c>
      <c r="L821" t="str">
        <f>TEXT(NetflixData[[#This Row],[date]],"mmm")</f>
        <v>Dec</v>
      </c>
      <c r="M821" t="str">
        <f>TEXT(NetflixData[[#This Row],[date]],"mmm yyyy")</f>
        <v>Dec 2020</v>
      </c>
      <c r="N821" t="str">
        <f t="shared" si="36"/>
        <v>Trading Day</v>
      </c>
      <c r="O821" t="str">
        <f t="shared" si="37"/>
        <v>Negative</v>
      </c>
      <c r="P821" t="str">
        <f t="shared" si="38"/>
        <v>Positive</v>
      </c>
    </row>
    <row r="822" spans="1:16" x14ac:dyDescent="0.3">
      <c r="A822" s="1">
        <v>44175</v>
      </c>
      <c r="B822">
        <v>50.11</v>
      </c>
      <c r="C822">
        <v>30182000</v>
      </c>
      <c r="D822">
        <v>1.32</v>
      </c>
      <c r="E822">
        <v>63</v>
      </c>
      <c r="F822">
        <v>2.81</v>
      </c>
      <c r="G822">
        <v>0.2024</v>
      </c>
      <c r="H822">
        <v>6</v>
      </c>
      <c r="I822">
        <v>6.54</v>
      </c>
      <c r="J822">
        <v>1</v>
      </c>
      <c r="K822">
        <f>YEAR(NetflixData[[#This Row],[date]])</f>
        <v>2020</v>
      </c>
      <c r="L822" t="str">
        <f>TEXT(NetflixData[[#This Row],[date]],"mmm")</f>
        <v>Dec</v>
      </c>
      <c r="M822" t="str">
        <f>TEXT(NetflixData[[#This Row],[date]],"mmm yyyy")</f>
        <v>Dec 2020</v>
      </c>
      <c r="N822" t="str">
        <f t="shared" si="36"/>
        <v>Trading Day</v>
      </c>
      <c r="O822" t="str">
        <f t="shared" si="37"/>
        <v>Positive</v>
      </c>
      <c r="P822" t="str">
        <f t="shared" si="38"/>
        <v>Positive</v>
      </c>
    </row>
    <row r="823" spans="1:16" x14ac:dyDescent="0.3">
      <c r="A823" s="1">
        <v>44176</v>
      </c>
      <c r="B823">
        <v>50.32</v>
      </c>
      <c r="C823">
        <v>32109000</v>
      </c>
      <c r="D823">
        <v>1.661</v>
      </c>
      <c r="E823">
        <v>61</v>
      </c>
      <c r="F823">
        <v>2.87</v>
      </c>
      <c r="G823">
        <v>0.20910000000000001</v>
      </c>
      <c r="H823">
        <v>6</v>
      </c>
      <c r="I823">
        <v>6.04</v>
      </c>
      <c r="J823">
        <v>1</v>
      </c>
      <c r="K823">
        <f>YEAR(NetflixData[[#This Row],[date]])</f>
        <v>2020</v>
      </c>
      <c r="L823" t="str">
        <f>TEXT(NetflixData[[#This Row],[date]],"mmm")</f>
        <v>Dec</v>
      </c>
      <c r="M823" t="str">
        <f>TEXT(NetflixData[[#This Row],[date]],"mmm yyyy")</f>
        <v>Dec 2020</v>
      </c>
      <c r="N823" t="str">
        <f t="shared" si="36"/>
        <v>Non-Trading Day</v>
      </c>
      <c r="O823" t="str">
        <f t="shared" si="37"/>
        <v>Positive</v>
      </c>
      <c r="P823" t="str">
        <f t="shared" si="38"/>
        <v>Positive</v>
      </c>
    </row>
    <row r="824" spans="1:16" x14ac:dyDescent="0.3">
      <c r="A824" s="1">
        <v>44177</v>
      </c>
      <c r="B824">
        <v>50.32</v>
      </c>
      <c r="C824">
        <v>0</v>
      </c>
      <c r="D824">
        <v>0</v>
      </c>
      <c r="E824">
        <v>87</v>
      </c>
      <c r="F824">
        <v>3.26</v>
      </c>
      <c r="G824">
        <v>0.2414</v>
      </c>
      <c r="H824">
        <v>2</v>
      </c>
      <c r="J824">
        <v>0</v>
      </c>
      <c r="K824">
        <f>YEAR(NetflixData[[#This Row],[date]])</f>
        <v>2020</v>
      </c>
      <c r="L824" t="str">
        <f>TEXT(NetflixData[[#This Row],[date]],"mmm")</f>
        <v>Dec</v>
      </c>
      <c r="M824" t="str">
        <f>TEXT(NetflixData[[#This Row],[date]],"mmm yyyy")</f>
        <v>Dec 2020</v>
      </c>
      <c r="N824" t="str">
        <f t="shared" si="36"/>
        <v>Non-Trading Day</v>
      </c>
      <c r="O824" t="str">
        <f t="shared" si="37"/>
        <v>No Change</v>
      </c>
      <c r="P824" t="str">
        <f t="shared" si="38"/>
        <v>Positive</v>
      </c>
    </row>
    <row r="825" spans="1:16" x14ac:dyDescent="0.3">
      <c r="A825" s="1">
        <v>44178</v>
      </c>
      <c r="B825">
        <v>50.32</v>
      </c>
      <c r="C825">
        <v>0</v>
      </c>
      <c r="D825">
        <v>0</v>
      </c>
      <c r="E825">
        <v>68</v>
      </c>
      <c r="F825">
        <v>3.03</v>
      </c>
      <c r="G825">
        <v>0.12540000000000001</v>
      </c>
      <c r="H825">
        <v>1</v>
      </c>
      <c r="J825">
        <v>0</v>
      </c>
      <c r="K825">
        <f>YEAR(NetflixData[[#This Row],[date]])</f>
        <v>2020</v>
      </c>
      <c r="L825" t="str">
        <f>TEXT(NetflixData[[#This Row],[date]],"mmm")</f>
        <v>Dec</v>
      </c>
      <c r="M825" t="str">
        <f>TEXT(NetflixData[[#This Row],[date]],"mmm yyyy")</f>
        <v>Dec 2020</v>
      </c>
      <c r="N825" t="str">
        <f t="shared" si="36"/>
        <v>Trading Day</v>
      </c>
      <c r="O825" t="str">
        <f t="shared" si="37"/>
        <v>No Change</v>
      </c>
      <c r="P825" t="str">
        <f t="shared" si="38"/>
        <v>Positive</v>
      </c>
    </row>
    <row r="826" spans="1:16" x14ac:dyDescent="0.3">
      <c r="A826" s="1">
        <v>44179</v>
      </c>
      <c r="B826">
        <v>52.24</v>
      </c>
      <c r="C826">
        <v>57704000</v>
      </c>
      <c r="D826">
        <v>3.359</v>
      </c>
      <c r="E826">
        <v>66</v>
      </c>
      <c r="F826">
        <v>3.76</v>
      </c>
      <c r="G826">
        <v>0.34670000000000001</v>
      </c>
      <c r="H826">
        <v>3</v>
      </c>
      <c r="I826">
        <v>5.9</v>
      </c>
      <c r="J826">
        <v>1</v>
      </c>
      <c r="K826">
        <f>YEAR(NetflixData[[#This Row],[date]])</f>
        <v>2020</v>
      </c>
      <c r="L826" t="str">
        <f>TEXT(NetflixData[[#This Row],[date]],"mmm")</f>
        <v>Dec</v>
      </c>
      <c r="M826" t="str">
        <f>TEXT(NetflixData[[#This Row],[date]],"mmm yyyy")</f>
        <v>Dec 2020</v>
      </c>
      <c r="N826" t="str">
        <f t="shared" si="36"/>
        <v>Trading Day</v>
      </c>
      <c r="O826" t="str">
        <f t="shared" si="37"/>
        <v>Positive</v>
      </c>
      <c r="P826" t="str">
        <f t="shared" si="38"/>
        <v>Positive</v>
      </c>
    </row>
    <row r="827" spans="1:16" x14ac:dyDescent="0.3">
      <c r="A827" s="1">
        <v>44180</v>
      </c>
      <c r="B827">
        <v>51.98</v>
      </c>
      <c r="C827">
        <v>33949000</v>
      </c>
      <c r="D827">
        <v>0.247</v>
      </c>
      <c r="E827">
        <v>73</v>
      </c>
      <c r="F827">
        <v>3.12</v>
      </c>
      <c r="G827">
        <v>0.29820000000000002</v>
      </c>
      <c r="H827">
        <v>7</v>
      </c>
      <c r="I827">
        <v>6.64</v>
      </c>
      <c r="J827">
        <v>1</v>
      </c>
      <c r="K827">
        <f>YEAR(NetflixData[[#This Row],[date]])</f>
        <v>2020</v>
      </c>
      <c r="L827" t="str">
        <f>TEXT(NetflixData[[#This Row],[date]],"mmm")</f>
        <v>Dec</v>
      </c>
      <c r="M827" t="str">
        <f>TEXT(NetflixData[[#This Row],[date]],"mmm yyyy")</f>
        <v>Dec 2020</v>
      </c>
      <c r="N827" t="str">
        <f t="shared" si="36"/>
        <v>Trading Day</v>
      </c>
      <c r="O827" t="str">
        <f t="shared" si="37"/>
        <v>Positive</v>
      </c>
      <c r="P827" t="str">
        <f t="shared" si="38"/>
        <v>Positive</v>
      </c>
    </row>
    <row r="828" spans="1:16" x14ac:dyDescent="0.3">
      <c r="A828" s="1">
        <v>44181</v>
      </c>
      <c r="B828">
        <v>52.48</v>
      </c>
      <c r="C828">
        <v>36824000</v>
      </c>
      <c r="D828">
        <v>0.90800000000000003</v>
      </c>
      <c r="E828">
        <v>77</v>
      </c>
      <c r="F828">
        <v>2.71</v>
      </c>
      <c r="G828">
        <v>0.12230000000000001</v>
      </c>
      <c r="H828">
        <v>11</v>
      </c>
      <c r="I828">
        <v>6.86</v>
      </c>
      <c r="J828">
        <v>1</v>
      </c>
      <c r="K828">
        <f>YEAR(NetflixData[[#This Row],[date]])</f>
        <v>2020</v>
      </c>
      <c r="L828" t="str">
        <f>TEXT(NetflixData[[#This Row],[date]],"mmm")</f>
        <v>Dec</v>
      </c>
      <c r="M828" t="str">
        <f>TEXT(NetflixData[[#This Row],[date]],"mmm yyyy")</f>
        <v>Dec 2020</v>
      </c>
      <c r="N828" t="str">
        <f t="shared" si="36"/>
        <v>Trading Day</v>
      </c>
      <c r="O828" t="str">
        <f t="shared" si="37"/>
        <v>Positive</v>
      </c>
      <c r="P828" t="str">
        <f t="shared" si="38"/>
        <v>Positive</v>
      </c>
    </row>
    <row r="829" spans="1:16" x14ac:dyDescent="0.3">
      <c r="A829" s="1">
        <v>44182</v>
      </c>
      <c r="B829">
        <v>53.29</v>
      </c>
      <c r="C829">
        <v>31934000</v>
      </c>
      <c r="D829">
        <v>0.73699999999999999</v>
      </c>
      <c r="E829">
        <v>67</v>
      </c>
      <c r="F829">
        <v>3.22</v>
      </c>
      <c r="G829">
        <v>0.17230000000000001</v>
      </c>
      <c r="H829">
        <v>9</v>
      </c>
      <c r="I829">
        <v>6.45</v>
      </c>
      <c r="J829">
        <v>1</v>
      </c>
      <c r="K829">
        <f>YEAR(NetflixData[[#This Row],[date]])</f>
        <v>2020</v>
      </c>
      <c r="L829" t="str">
        <f>TEXT(NetflixData[[#This Row],[date]],"mmm")</f>
        <v>Dec</v>
      </c>
      <c r="M829" t="str">
        <f>TEXT(NetflixData[[#This Row],[date]],"mmm yyyy")</f>
        <v>Dec 2020</v>
      </c>
      <c r="N829" t="str">
        <f t="shared" si="36"/>
        <v>Trading Day</v>
      </c>
      <c r="O829" t="str">
        <f t="shared" si="37"/>
        <v>Positive</v>
      </c>
      <c r="P829" t="str">
        <f t="shared" si="38"/>
        <v>Positive</v>
      </c>
    </row>
    <row r="830" spans="1:16" x14ac:dyDescent="0.3">
      <c r="A830" s="1">
        <v>44183</v>
      </c>
      <c r="B830">
        <v>53.44</v>
      </c>
      <c r="C830">
        <v>45027000</v>
      </c>
      <c r="D830">
        <v>0.23400000000000001</v>
      </c>
      <c r="E830">
        <v>66</v>
      </c>
      <c r="F830">
        <v>2.98</v>
      </c>
      <c r="G830">
        <v>0.28720000000000001</v>
      </c>
      <c r="H830">
        <v>11</v>
      </c>
      <c r="I830">
        <v>7.09</v>
      </c>
      <c r="J830">
        <v>1</v>
      </c>
      <c r="K830">
        <f>YEAR(NetflixData[[#This Row],[date]])</f>
        <v>2020</v>
      </c>
      <c r="L830" t="str">
        <f>TEXT(NetflixData[[#This Row],[date]],"mmm")</f>
        <v>Dec</v>
      </c>
      <c r="M830" t="str">
        <f>TEXT(NetflixData[[#This Row],[date]],"mmm yyyy")</f>
        <v>Dec 2020</v>
      </c>
      <c r="N830" t="str">
        <f t="shared" si="36"/>
        <v>Non-Trading Day</v>
      </c>
      <c r="O830" t="str">
        <f t="shared" si="37"/>
        <v>Positive</v>
      </c>
      <c r="P830" t="str">
        <f t="shared" si="38"/>
        <v>Positive</v>
      </c>
    </row>
    <row r="831" spans="1:16" x14ac:dyDescent="0.3">
      <c r="A831" s="1">
        <v>44184</v>
      </c>
      <c r="B831">
        <v>53.44</v>
      </c>
      <c r="C831">
        <v>0</v>
      </c>
      <c r="D831">
        <v>0</v>
      </c>
      <c r="E831">
        <v>57</v>
      </c>
      <c r="F831">
        <v>3.44</v>
      </c>
      <c r="G831">
        <v>0.33439999999999998</v>
      </c>
      <c r="H831">
        <v>1</v>
      </c>
      <c r="J831">
        <v>0</v>
      </c>
      <c r="K831">
        <f>YEAR(NetflixData[[#This Row],[date]])</f>
        <v>2020</v>
      </c>
      <c r="L831" t="str">
        <f>TEXT(NetflixData[[#This Row],[date]],"mmm")</f>
        <v>Dec</v>
      </c>
      <c r="M831" t="str">
        <f>TEXT(NetflixData[[#This Row],[date]],"mmm yyyy")</f>
        <v>Dec 2020</v>
      </c>
      <c r="N831" t="str">
        <f t="shared" si="36"/>
        <v>Non-Trading Day</v>
      </c>
      <c r="O831" t="str">
        <f t="shared" si="37"/>
        <v>No Change</v>
      </c>
      <c r="P831" t="str">
        <f t="shared" si="38"/>
        <v>Positive</v>
      </c>
    </row>
    <row r="832" spans="1:16" x14ac:dyDescent="0.3">
      <c r="A832" s="1">
        <v>44185</v>
      </c>
      <c r="B832">
        <v>53.44</v>
      </c>
      <c r="C832">
        <v>0</v>
      </c>
      <c r="D832">
        <v>0</v>
      </c>
      <c r="E832">
        <v>58</v>
      </c>
      <c r="F832">
        <v>3.29</v>
      </c>
      <c r="G832">
        <v>0.33429999999999999</v>
      </c>
      <c r="H832">
        <v>2</v>
      </c>
      <c r="J832">
        <v>0</v>
      </c>
      <c r="K832">
        <f>YEAR(NetflixData[[#This Row],[date]])</f>
        <v>2020</v>
      </c>
      <c r="L832" t="str">
        <f>TEXT(NetflixData[[#This Row],[date]],"mmm")</f>
        <v>Dec</v>
      </c>
      <c r="M832" t="str">
        <f>TEXT(NetflixData[[#This Row],[date]],"mmm yyyy")</f>
        <v>Dec 2020</v>
      </c>
      <c r="N832" t="str">
        <f t="shared" si="36"/>
        <v>Trading Day</v>
      </c>
      <c r="O832" t="str">
        <f t="shared" si="37"/>
        <v>No Change</v>
      </c>
      <c r="P832" t="str">
        <f t="shared" si="38"/>
        <v>Positive</v>
      </c>
    </row>
    <row r="833" spans="1:16" x14ac:dyDescent="0.3">
      <c r="A833" s="1">
        <v>44186</v>
      </c>
      <c r="B833">
        <v>52.89</v>
      </c>
      <c r="C833">
        <v>38940000</v>
      </c>
      <c r="D833">
        <v>-0.215</v>
      </c>
      <c r="E833">
        <v>59</v>
      </c>
      <c r="F833">
        <v>3.41</v>
      </c>
      <c r="G833">
        <v>0.35909999999999997</v>
      </c>
      <c r="H833">
        <v>2</v>
      </c>
      <c r="I833">
        <v>5.0999999999999996</v>
      </c>
      <c r="J833">
        <v>1</v>
      </c>
      <c r="K833">
        <f>YEAR(NetflixData[[#This Row],[date]])</f>
        <v>2020</v>
      </c>
      <c r="L833" t="str">
        <f>TEXT(NetflixData[[#This Row],[date]],"mmm")</f>
        <v>Dec</v>
      </c>
      <c r="M833" t="str">
        <f>TEXT(NetflixData[[#This Row],[date]],"mmm yyyy")</f>
        <v>Dec 2020</v>
      </c>
      <c r="N833" t="str">
        <f t="shared" si="36"/>
        <v>Trading Day</v>
      </c>
      <c r="O833" t="str">
        <f t="shared" si="37"/>
        <v>Negative</v>
      </c>
      <c r="P833" t="str">
        <f t="shared" si="38"/>
        <v>Positive</v>
      </c>
    </row>
    <row r="834" spans="1:16" x14ac:dyDescent="0.3">
      <c r="A834" s="1">
        <v>44187</v>
      </c>
      <c r="B834">
        <v>52.73</v>
      </c>
      <c r="C834">
        <v>19066000</v>
      </c>
      <c r="D834">
        <v>-6.8000000000000005E-2</v>
      </c>
      <c r="E834">
        <v>73</v>
      </c>
      <c r="F834">
        <v>2.88</v>
      </c>
      <c r="G834">
        <v>0.16250000000000001</v>
      </c>
      <c r="H834">
        <v>8</v>
      </c>
      <c r="I834">
        <v>6.74</v>
      </c>
      <c r="J834">
        <v>1</v>
      </c>
      <c r="K834">
        <f>YEAR(NetflixData[[#This Row],[date]])</f>
        <v>2020</v>
      </c>
      <c r="L834" t="str">
        <f>TEXT(NetflixData[[#This Row],[date]],"mmm")</f>
        <v>Dec</v>
      </c>
      <c r="M834" t="str">
        <f>TEXT(NetflixData[[#This Row],[date]],"mmm yyyy")</f>
        <v>Dec 2020</v>
      </c>
      <c r="N834" t="str">
        <f t="shared" ref="N834:N897" si="39">IF(J835=1,"Trading Day","Non-Trading Day")</f>
        <v>Trading Day</v>
      </c>
      <c r="O834" t="str">
        <f t="shared" ref="O834:O897" si="40">IF(D834&gt;0,"Positive",IF(D834&lt;0,"Negative","No Change"))</f>
        <v>Negative</v>
      </c>
      <c r="P834" t="str">
        <f t="shared" ref="P834:P897" si="41">IF(G834&gt;0.1,"Positive",IF(G834&lt;-0.1,"Negative","Neutral"))</f>
        <v>Positive</v>
      </c>
    </row>
    <row r="835" spans="1:16" x14ac:dyDescent="0.3">
      <c r="A835" s="1">
        <v>44188</v>
      </c>
      <c r="B835">
        <v>51.45</v>
      </c>
      <c r="C835">
        <v>23932000</v>
      </c>
      <c r="D835">
        <v>-1.9590000000000001</v>
      </c>
      <c r="E835">
        <v>59</v>
      </c>
      <c r="F835">
        <v>3.25</v>
      </c>
      <c r="G835">
        <v>0.31719999999999998</v>
      </c>
      <c r="H835">
        <v>3</v>
      </c>
      <c r="I835">
        <v>6.7</v>
      </c>
      <c r="J835">
        <v>1</v>
      </c>
      <c r="K835">
        <f>YEAR(NetflixData[[#This Row],[date]])</f>
        <v>2020</v>
      </c>
      <c r="L835" t="str">
        <f>TEXT(NetflixData[[#This Row],[date]],"mmm")</f>
        <v>Dec</v>
      </c>
      <c r="M835" t="str">
        <f>TEXT(NetflixData[[#This Row],[date]],"mmm yyyy")</f>
        <v>Dec 2020</v>
      </c>
      <c r="N835" t="str">
        <f t="shared" si="39"/>
        <v>Trading Day</v>
      </c>
      <c r="O835" t="str">
        <f t="shared" si="40"/>
        <v>Negative</v>
      </c>
      <c r="P835" t="str">
        <f t="shared" si="41"/>
        <v>Positive</v>
      </c>
    </row>
    <row r="836" spans="1:16" x14ac:dyDescent="0.3">
      <c r="A836" s="1">
        <v>44189</v>
      </c>
      <c r="B836">
        <v>51.4</v>
      </c>
      <c r="C836">
        <v>11440000</v>
      </c>
      <c r="D836">
        <v>-0.223</v>
      </c>
      <c r="E836">
        <v>57</v>
      </c>
      <c r="F836">
        <v>3.21</v>
      </c>
      <c r="G836">
        <v>0.29709999999999998</v>
      </c>
      <c r="H836">
        <v>3</v>
      </c>
      <c r="I836">
        <v>6.97</v>
      </c>
      <c r="J836">
        <v>1</v>
      </c>
      <c r="K836">
        <f>YEAR(NetflixData[[#This Row],[date]])</f>
        <v>2020</v>
      </c>
      <c r="L836" t="str">
        <f>TEXT(NetflixData[[#This Row],[date]],"mmm")</f>
        <v>Dec</v>
      </c>
      <c r="M836" t="str">
        <f>TEXT(NetflixData[[#This Row],[date]],"mmm yyyy")</f>
        <v>Dec 2020</v>
      </c>
      <c r="N836" t="str">
        <f t="shared" si="39"/>
        <v>Non-Trading Day</v>
      </c>
      <c r="O836" t="str">
        <f t="shared" si="40"/>
        <v>Negative</v>
      </c>
      <c r="P836" t="str">
        <f t="shared" si="41"/>
        <v>Positive</v>
      </c>
    </row>
    <row r="837" spans="1:16" x14ac:dyDescent="0.3">
      <c r="A837" s="1">
        <v>44190</v>
      </c>
      <c r="B837">
        <v>51.4</v>
      </c>
      <c r="C837">
        <v>0</v>
      </c>
      <c r="D837">
        <v>0</v>
      </c>
      <c r="E837">
        <v>65</v>
      </c>
      <c r="F837">
        <v>3.71</v>
      </c>
      <c r="G837">
        <v>0.30669999999999997</v>
      </c>
      <c r="H837">
        <v>4</v>
      </c>
      <c r="I837">
        <v>6.7</v>
      </c>
      <c r="J837">
        <v>0</v>
      </c>
      <c r="K837">
        <f>YEAR(NetflixData[[#This Row],[date]])</f>
        <v>2020</v>
      </c>
      <c r="L837" t="str">
        <f>TEXT(NetflixData[[#This Row],[date]],"mmm")</f>
        <v>Dec</v>
      </c>
      <c r="M837" t="str">
        <f>TEXT(NetflixData[[#This Row],[date]],"mmm yyyy")</f>
        <v>Dec 2020</v>
      </c>
      <c r="N837" t="str">
        <f t="shared" si="39"/>
        <v>Non-Trading Day</v>
      </c>
      <c r="O837" t="str">
        <f t="shared" si="40"/>
        <v>No Change</v>
      </c>
      <c r="P837" t="str">
        <f t="shared" si="41"/>
        <v>Positive</v>
      </c>
    </row>
    <row r="838" spans="1:16" x14ac:dyDescent="0.3">
      <c r="A838" s="1">
        <v>44191</v>
      </c>
      <c r="B838">
        <v>51.4</v>
      </c>
      <c r="C838">
        <v>0</v>
      </c>
      <c r="D838">
        <v>0</v>
      </c>
      <c r="E838">
        <v>65</v>
      </c>
      <c r="F838">
        <v>3.18</v>
      </c>
      <c r="G838">
        <v>0.19839999999999999</v>
      </c>
      <c r="H838">
        <v>5</v>
      </c>
      <c r="I838">
        <v>6.3</v>
      </c>
      <c r="J838">
        <v>0</v>
      </c>
      <c r="K838">
        <f>YEAR(NetflixData[[#This Row],[date]])</f>
        <v>2020</v>
      </c>
      <c r="L838" t="str">
        <f>TEXT(NetflixData[[#This Row],[date]],"mmm")</f>
        <v>Dec</v>
      </c>
      <c r="M838" t="str">
        <f>TEXT(NetflixData[[#This Row],[date]],"mmm yyyy")</f>
        <v>Dec 2020</v>
      </c>
      <c r="N838" t="str">
        <f t="shared" si="39"/>
        <v>Non-Trading Day</v>
      </c>
      <c r="O838" t="str">
        <f t="shared" si="40"/>
        <v>No Change</v>
      </c>
      <c r="P838" t="str">
        <f t="shared" si="41"/>
        <v>Positive</v>
      </c>
    </row>
    <row r="839" spans="1:16" x14ac:dyDescent="0.3">
      <c r="A839" s="1">
        <v>44192</v>
      </c>
      <c r="B839">
        <v>51.4</v>
      </c>
      <c r="C839">
        <v>0</v>
      </c>
      <c r="D839">
        <v>0</v>
      </c>
      <c r="E839">
        <v>88</v>
      </c>
      <c r="F839">
        <v>3.24</v>
      </c>
      <c r="G839">
        <v>0.25679999999999997</v>
      </c>
      <c r="H839">
        <v>2</v>
      </c>
      <c r="I839">
        <v>6.6</v>
      </c>
      <c r="J839">
        <v>0</v>
      </c>
      <c r="K839">
        <f>YEAR(NetflixData[[#This Row],[date]])</f>
        <v>2020</v>
      </c>
      <c r="L839" t="str">
        <f>TEXT(NetflixData[[#This Row],[date]],"mmm")</f>
        <v>Dec</v>
      </c>
      <c r="M839" t="str">
        <f>TEXT(NetflixData[[#This Row],[date]],"mmm yyyy")</f>
        <v>Dec 2020</v>
      </c>
      <c r="N839" t="str">
        <f t="shared" si="39"/>
        <v>Trading Day</v>
      </c>
      <c r="O839" t="str">
        <f t="shared" si="40"/>
        <v>No Change</v>
      </c>
      <c r="P839" t="str">
        <f t="shared" si="41"/>
        <v>Positive</v>
      </c>
    </row>
    <row r="840" spans="1:16" x14ac:dyDescent="0.3">
      <c r="A840" s="1">
        <v>44193</v>
      </c>
      <c r="B840">
        <v>51.91</v>
      </c>
      <c r="C840">
        <v>28919000</v>
      </c>
      <c r="D840">
        <v>0.52100000000000002</v>
      </c>
      <c r="E840">
        <v>81</v>
      </c>
      <c r="F840">
        <v>3.2</v>
      </c>
      <c r="G840">
        <v>0.33160000000000001</v>
      </c>
      <c r="H840">
        <v>3</v>
      </c>
      <c r="I840">
        <v>7.25</v>
      </c>
      <c r="J840">
        <v>1</v>
      </c>
      <c r="K840">
        <f>YEAR(NetflixData[[#This Row],[date]])</f>
        <v>2020</v>
      </c>
      <c r="L840" t="str">
        <f>TEXT(NetflixData[[#This Row],[date]],"mmm")</f>
        <v>Dec</v>
      </c>
      <c r="M840" t="str">
        <f>TEXT(NetflixData[[#This Row],[date]],"mmm yyyy")</f>
        <v>Dec 2020</v>
      </c>
      <c r="N840" t="str">
        <f t="shared" si="39"/>
        <v>Trading Day</v>
      </c>
      <c r="O840" t="str">
        <f t="shared" si="40"/>
        <v>Positive</v>
      </c>
      <c r="P840" t="str">
        <f t="shared" si="41"/>
        <v>Positive</v>
      </c>
    </row>
    <row r="841" spans="1:16" x14ac:dyDescent="0.3">
      <c r="A841" s="1">
        <v>44194</v>
      </c>
      <c r="B841">
        <v>53.09</v>
      </c>
      <c r="C841">
        <v>40224000</v>
      </c>
      <c r="D841">
        <v>2.11</v>
      </c>
      <c r="E841">
        <v>62</v>
      </c>
      <c r="F841">
        <v>3.65</v>
      </c>
      <c r="G841">
        <v>0.37469999999999998</v>
      </c>
      <c r="H841">
        <v>0</v>
      </c>
      <c r="J841">
        <v>1</v>
      </c>
      <c r="K841">
        <f>YEAR(NetflixData[[#This Row],[date]])</f>
        <v>2020</v>
      </c>
      <c r="L841" t="str">
        <f>TEXT(NetflixData[[#This Row],[date]],"mmm")</f>
        <v>Dec</v>
      </c>
      <c r="M841" t="str">
        <f>TEXT(NetflixData[[#This Row],[date]],"mmm yyyy")</f>
        <v>Dec 2020</v>
      </c>
      <c r="N841" t="str">
        <f t="shared" si="39"/>
        <v>Trading Day</v>
      </c>
      <c r="O841" t="str">
        <f t="shared" si="40"/>
        <v>Positive</v>
      </c>
      <c r="P841" t="str">
        <f t="shared" si="41"/>
        <v>Positive</v>
      </c>
    </row>
    <row r="842" spans="1:16" x14ac:dyDescent="0.3">
      <c r="A842" s="1">
        <v>44195</v>
      </c>
      <c r="B842">
        <v>52.46</v>
      </c>
      <c r="C842">
        <v>18763000</v>
      </c>
      <c r="D842">
        <v>-1.0449999999999999</v>
      </c>
      <c r="E842">
        <v>68</v>
      </c>
      <c r="F842">
        <v>3.32</v>
      </c>
      <c r="G842">
        <v>0.33050000000000002</v>
      </c>
      <c r="H842">
        <v>8</v>
      </c>
      <c r="I842">
        <v>6.2</v>
      </c>
      <c r="J842">
        <v>1</v>
      </c>
      <c r="K842">
        <f>YEAR(NetflixData[[#This Row],[date]])</f>
        <v>2020</v>
      </c>
      <c r="L842" t="str">
        <f>TEXT(NetflixData[[#This Row],[date]],"mmm")</f>
        <v>Dec</v>
      </c>
      <c r="M842" t="str">
        <f>TEXT(NetflixData[[#This Row],[date]],"mmm yyyy")</f>
        <v>Dec 2020</v>
      </c>
      <c r="N842" t="str">
        <f t="shared" si="39"/>
        <v>Trading Day</v>
      </c>
      <c r="O842" t="str">
        <f t="shared" si="40"/>
        <v>Negative</v>
      </c>
      <c r="P842" t="str">
        <f t="shared" si="41"/>
        <v>Positive</v>
      </c>
    </row>
    <row r="843" spans="1:16" x14ac:dyDescent="0.3">
      <c r="A843" s="1">
        <v>44196</v>
      </c>
      <c r="B843">
        <v>54.07</v>
      </c>
      <c r="C843">
        <v>53923000</v>
      </c>
      <c r="D843">
        <v>2.8919999999999999</v>
      </c>
      <c r="E843">
        <v>48</v>
      </c>
      <c r="F843">
        <v>2.98</v>
      </c>
      <c r="G843">
        <v>0.29730000000000001</v>
      </c>
      <c r="H843">
        <v>6</v>
      </c>
      <c r="I843">
        <v>6.1</v>
      </c>
      <c r="J843">
        <v>1</v>
      </c>
      <c r="K843">
        <f>YEAR(NetflixData[[#This Row],[date]])</f>
        <v>2020</v>
      </c>
      <c r="L843" t="str">
        <f>TEXT(NetflixData[[#This Row],[date]],"mmm")</f>
        <v>Dec</v>
      </c>
      <c r="M843" t="str">
        <f>TEXT(NetflixData[[#This Row],[date]],"mmm yyyy")</f>
        <v>Dec 2020</v>
      </c>
      <c r="N843" t="str">
        <f t="shared" si="39"/>
        <v>Non-Trading Day</v>
      </c>
      <c r="O843" t="str">
        <f t="shared" si="40"/>
        <v>Positive</v>
      </c>
      <c r="P843" t="str">
        <f t="shared" si="41"/>
        <v>Positive</v>
      </c>
    </row>
    <row r="844" spans="1:16" x14ac:dyDescent="0.3">
      <c r="A844" s="1">
        <v>44197</v>
      </c>
      <c r="B844">
        <v>54.07</v>
      </c>
      <c r="C844">
        <v>0</v>
      </c>
      <c r="D844">
        <v>0</v>
      </c>
      <c r="E844">
        <v>79</v>
      </c>
      <c r="F844">
        <v>3.05</v>
      </c>
      <c r="G844">
        <v>0.30249999999999999</v>
      </c>
      <c r="H844">
        <v>53</v>
      </c>
      <c r="I844">
        <v>6.69</v>
      </c>
      <c r="J844">
        <v>0</v>
      </c>
      <c r="K844">
        <f>YEAR(NetflixData[[#This Row],[date]])</f>
        <v>2021</v>
      </c>
      <c r="L844" t="str">
        <f>TEXT(NetflixData[[#This Row],[date]],"mmm")</f>
        <v>Jan</v>
      </c>
      <c r="M844" t="str">
        <f>TEXT(NetflixData[[#This Row],[date]],"mmm yyyy")</f>
        <v>Jan 2021</v>
      </c>
      <c r="N844" t="str">
        <f t="shared" si="39"/>
        <v>Non-Trading Day</v>
      </c>
      <c r="O844" t="str">
        <f t="shared" si="40"/>
        <v>No Change</v>
      </c>
      <c r="P844" t="str">
        <f t="shared" si="41"/>
        <v>Positive</v>
      </c>
    </row>
    <row r="845" spans="1:16" x14ac:dyDescent="0.3">
      <c r="A845" s="1">
        <v>44198</v>
      </c>
      <c r="B845">
        <v>54.07</v>
      </c>
      <c r="C845">
        <v>0</v>
      </c>
      <c r="D845">
        <v>0</v>
      </c>
      <c r="E845">
        <v>72</v>
      </c>
      <c r="F845">
        <v>2.76</v>
      </c>
      <c r="G845">
        <v>0.157</v>
      </c>
      <c r="H845">
        <v>2</v>
      </c>
      <c r="I845">
        <v>4.45</v>
      </c>
      <c r="J845">
        <v>0</v>
      </c>
      <c r="K845">
        <f>YEAR(NetflixData[[#This Row],[date]])</f>
        <v>2021</v>
      </c>
      <c r="L845" t="str">
        <f>TEXT(NetflixData[[#This Row],[date]],"mmm")</f>
        <v>Jan</v>
      </c>
      <c r="M845" t="str">
        <f>TEXT(NetflixData[[#This Row],[date]],"mmm yyyy")</f>
        <v>Jan 2021</v>
      </c>
      <c r="N845" t="str">
        <f t="shared" si="39"/>
        <v>Non-Trading Day</v>
      </c>
      <c r="O845" t="str">
        <f t="shared" si="40"/>
        <v>No Change</v>
      </c>
      <c r="P845" t="str">
        <f t="shared" si="41"/>
        <v>Positive</v>
      </c>
    </row>
    <row r="846" spans="1:16" x14ac:dyDescent="0.3">
      <c r="A846" s="1">
        <v>44199</v>
      </c>
      <c r="B846">
        <v>54.07</v>
      </c>
      <c r="C846">
        <v>0</v>
      </c>
      <c r="D846">
        <v>0</v>
      </c>
      <c r="E846">
        <v>79</v>
      </c>
      <c r="F846">
        <v>3.28</v>
      </c>
      <c r="G846">
        <v>0.36459999999999998</v>
      </c>
      <c r="H846">
        <v>1</v>
      </c>
      <c r="I846">
        <v>5.7</v>
      </c>
      <c r="J846">
        <v>0</v>
      </c>
      <c r="K846">
        <f>YEAR(NetflixData[[#This Row],[date]])</f>
        <v>2021</v>
      </c>
      <c r="L846" t="str">
        <f>TEXT(NetflixData[[#This Row],[date]],"mmm")</f>
        <v>Jan</v>
      </c>
      <c r="M846" t="str">
        <f>TEXT(NetflixData[[#This Row],[date]],"mmm yyyy")</f>
        <v>Jan 2021</v>
      </c>
      <c r="N846" t="str">
        <f t="shared" si="39"/>
        <v>Trading Day</v>
      </c>
      <c r="O846" t="str">
        <f t="shared" si="40"/>
        <v>No Change</v>
      </c>
      <c r="P846" t="str">
        <f t="shared" si="41"/>
        <v>Positive</v>
      </c>
    </row>
    <row r="847" spans="1:16" x14ac:dyDescent="0.3">
      <c r="A847" s="1">
        <v>44200</v>
      </c>
      <c r="B847">
        <v>52.29</v>
      </c>
      <c r="C847">
        <v>44444000</v>
      </c>
      <c r="D847">
        <v>-2.9940000000000002</v>
      </c>
      <c r="E847">
        <v>73</v>
      </c>
      <c r="F847">
        <v>3.23</v>
      </c>
      <c r="G847">
        <v>0.3553</v>
      </c>
      <c r="H847">
        <v>3</v>
      </c>
      <c r="I847">
        <v>6.1</v>
      </c>
      <c r="J847">
        <v>1</v>
      </c>
      <c r="K847">
        <f>YEAR(NetflixData[[#This Row],[date]])</f>
        <v>2021</v>
      </c>
      <c r="L847" t="str">
        <f>TEXT(NetflixData[[#This Row],[date]],"mmm")</f>
        <v>Jan</v>
      </c>
      <c r="M847" t="str">
        <f>TEXT(NetflixData[[#This Row],[date]],"mmm yyyy")</f>
        <v>Jan 2021</v>
      </c>
      <c r="N847" t="str">
        <f t="shared" si="39"/>
        <v>Trading Day</v>
      </c>
      <c r="O847" t="str">
        <f t="shared" si="40"/>
        <v>Negative</v>
      </c>
      <c r="P847" t="str">
        <f t="shared" si="41"/>
        <v>Positive</v>
      </c>
    </row>
    <row r="848" spans="1:16" x14ac:dyDescent="0.3">
      <c r="A848" s="1">
        <v>44201</v>
      </c>
      <c r="B848">
        <v>52.08</v>
      </c>
      <c r="C848">
        <v>31339000</v>
      </c>
      <c r="D848">
        <v>-0.14399999999999999</v>
      </c>
      <c r="E848">
        <v>64</v>
      </c>
      <c r="F848">
        <v>3.11</v>
      </c>
      <c r="G848">
        <v>0.22109999999999999</v>
      </c>
      <c r="H848">
        <v>5</v>
      </c>
      <c r="I848">
        <v>6.88</v>
      </c>
      <c r="J848">
        <v>1</v>
      </c>
      <c r="K848">
        <f>YEAR(NetflixData[[#This Row],[date]])</f>
        <v>2021</v>
      </c>
      <c r="L848" t="str">
        <f>TEXT(NetflixData[[#This Row],[date]],"mmm")</f>
        <v>Jan</v>
      </c>
      <c r="M848" t="str">
        <f>TEXT(NetflixData[[#This Row],[date]],"mmm yyyy")</f>
        <v>Jan 2021</v>
      </c>
      <c r="N848" t="str">
        <f t="shared" si="39"/>
        <v>Trading Day</v>
      </c>
      <c r="O848" t="str">
        <f t="shared" si="40"/>
        <v>Negative</v>
      </c>
      <c r="P848" t="str">
        <f t="shared" si="41"/>
        <v>Positive</v>
      </c>
    </row>
    <row r="849" spans="1:16" x14ac:dyDescent="0.3">
      <c r="A849" s="1">
        <v>44202</v>
      </c>
      <c r="B849">
        <v>50.05</v>
      </c>
      <c r="C849">
        <v>53462000</v>
      </c>
      <c r="D849">
        <v>-2.242</v>
      </c>
      <c r="E849">
        <v>75</v>
      </c>
      <c r="F849">
        <v>3.28</v>
      </c>
      <c r="G849">
        <v>0.26129999999999998</v>
      </c>
      <c r="H849">
        <v>3</v>
      </c>
      <c r="I849">
        <v>6.5</v>
      </c>
      <c r="J849">
        <v>1</v>
      </c>
      <c r="K849">
        <f>YEAR(NetflixData[[#This Row],[date]])</f>
        <v>2021</v>
      </c>
      <c r="L849" t="str">
        <f>TEXT(NetflixData[[#This Row],[date]],"mmm")</f>
        <v>Jan</v>
      </c>
      <c r="M849" t="str">
        <f>TEXT(NetflixData[[#This Row],[date]],"mmm yyyy")</f>
        <v>Jan 2021</v>
      </c>
      <c r="N849" t="str">
        <f t="shared" si="39"/>
        <v>Trading Day</v>
      </c>
      <c r="O849" t="str">
        <f t="shared" si="40"/>
        <v>Negative</v>
      </c>
      <c r="P849" t="str">
        <f t="shared" si="41"/>
        <v>Positive</v>
      </c>
    </row>
    <row r="850" spans="1:16" x14ac:dyDescent="0.3">
      <c r="A850" s="1">
        <v>44203</v>
      </c>
      <c r="B850">
        <v>50.89</v>
      </c>
      <c r="C850">
        <v>36864000</v>
      </c>
      <c r="D850">
        <v>0.12</v>
      </c>
      <c r="E850">
        <v>43</v>
      </c>
      <c r="F850">
        <v>3.47</v>
      </c>
      <c r="G850">
        <v>0.28820000000000001</v>
      </c>
      <c r="H850">
        <v>3</v>
      </c>
      <c r="I850">
        <v>6.67</v>
      </c>
      <c r="J850">
        <v>1</v>
      </c>
      <c r="K850">
        <f>YEAR(NetflixData[[#This Row],[date]])</f>
        <v>2021</v>
      </c>
      <c r="L850" t="str">
        <f>TEXT(NetflixData[[#This Row],[date]],"mmm")</f>
        <v>Jan</v>
      </c>
      <c r="M850" t="str">
        <f>TEXT(NetflixData[[#This Row],[date]],"mmm yyyy")</f>
        <v>Jan 2021</v>
      </c>
      <c r="N850" t="str">
        <f t="shared" si="39"/>
        <v>Trading Day</v>
      </c>
      <c r="O850" t="str">
        <f t="shared" si="40"/>
        <v>Positive</v>
      </c>
      <c r="P850" t="str">
        <f t="shared" si="41"/>
        <v>Positive</v>
      </c>
    </row>
    <row r="851" spans="1:16" x14ac:dyDescent="0.3">
      <c r="A851" s="1">
        <v>44204</v>
      </c>
      <c r="B851">
        <v>51.04</v>
      </c>
      <c r="C851">
        <v>29739000</v>
      </c>
      <c r="D851">
        <v>-0.17799999999999999</v>
      </c>
      <c r="E851">
        <v>63</v>
      </c>
      <c r="F851">
        <v>3.22</v>
      </c>
      <c r="G851">
        <v>0.32069999999999999</v>
      </c>
      <c r="H851">
        <v>12</v>
      </c>
      <c r="I851">
        <v>6.89</v>
      </c>
      <c r="J851">
        <v>1</v>
      </c>
      <c r="K851">
        <f>YEAR(NetflixData[[#This Row],[date]])</f>
        <v>2021</v>
      </c>
      <c r="L851" t="str">
        <f>TEXT(NetflixData[[#This Row],[date]],"mmm")</f>
        <v>Jan</v>
      </c>
      <c r="M851" t="str">
        <f>TEXT(NetflixData[[#This Row],[date]],"mmm yyyy")</f>
        <v>Jan 2021</v>
      </c>
      <c r="N851" t="str">
        <f t="shared" si="39"/>
        <v>Non-Trading Day</v>
      </c>
      <c r="O851" t="str">
        <f t="shared" si="40"/>
        <v>Negative</v>
      </c>
      <c r="P851" t="str">
        <f t="shared" si="41"/>
        <v>Positive</v>
      </c>
    </row>
    <row r="852" spans="1:16" x14ac:dyDescent="0.3">
      <c r="A852" s="1">
        <v>44205</v>
      </c>
      <c r="B852">
        <v>51.04</v>
      </c>
      <c r="C852">
        <v>0</v>
      </c>
      <c r="D852">
        <v>0</v>
      </c>
      <c r="E852">
        <v>36</v>
      </c>
      <c r="F852">
        <v>3.14</v>
      </c>
      <c r="G852">
        <v>0.26550000000000001</v>
      </c>
      <c r="H852">
        <v>0</v>
      </c>
      <c r="J852">
        <v>0</v>
      </c>
      <c r="K852">
        <f>YEAR(NetflixData[[#This Row],[date]])</f>
        <v>2021</v>
      </c>
      <c r="L852" t="str">
        <f>TEXT(NetflixData[[#This Row],[date]],"mmm")</f>
        <v>Jan</v>
      </c>
      <c r="M852" t="str">
        <f>TEXT(NetflixData[[#This Row],[date]],"mmm yyyy")</f>
        <v>Jan 2021</v>
      </c>
      <c r="N852" t="str">
        <f t="shared" si="39"/>
        <v>Non-Trading Day</v>
      </c>
      <c r="O852" t="str">
        <f t="shared" si="40"/>
        <v>No Change</v>
      </c>
      <c r="P852" t="str">
        <f t="shared" si="41"/>
        <v>Positive</v>
      </c>
    </row>
    <row r="853" spans="1:16" x14ac:dyDescent="0.3">
      <c r="A853" s="1">
        <v>44206</v>
      </c>
      <c r="B853">
        <v>51.04</v>
      </c>
      <c r="C853">
        <v>0</v>
      </c>
      <c r="D853">
        <v>0</v>
      </c>
      <c r="E853">
        <v>65</v>
      </c>
      <c r="F853">
        <v>2.94</v>
      </c>
      <c r="G853">
        <v>0.27900000000000003</v>
      </c>
      <c r="H853">
        <v>8</v>
      </c>
      <c r="I853">
        <v>6.92</v>
      </c>
      <c r="J853">
        <v>0</v>
      </c>
      <c r="K853">
        <f>YEAR(NetflixData[[#This Row],[date]])</f>
        <v>2021</v>
      </c>
      <c r="L853" t="str">
        <f>TEXT(NetflixData[[#This Row],[date]],"mmm")</f>
        <v>Jan</v>
      </c>
      <c r="M853" t="str">
        <f>TEXT(NetflixData[[#This Row],[date]],"mmm yyyy")</f>
        <v>Jan 2021</v>
      </c>
      <c r="N853" t="str">
        <f t="shared" si="39"/>
        <v>Trading Day</v>
      </c>
      <c r="O853" t="str">
        <f t="shared" si="40"/>
        <v>No Change</v>
      </c>
      <c r="P853" t="str">
        <f t="shared" si="41"/>
        <v>Positive</v>
      </c>
    </row>
    <row r="854" spans="1:16" x14ac:dyDescent="0.3">
      <c r="A854" s="1">
        <v>44207</v>
      </c>
      <c r="B854">
        <v>49.91</v>
      </c>
      <c r="C854">
        <v>38062000</v>
      </c>
      <c r="D854">
        <v>-1.7210000000000001</v>
      </c>
      <c r="E854">
        <v>60</v>
      </c>
      <c r="F854">
        <v>3.07</v>
      </c>
      <c r="G854">
        <v>0.28370000000000001</v>
      </c>
      <c r="H854">
        <v>2</v>
      </c>
      <c r="I854">
        <v>7.6</v>
      </c>
      <c r="J854">
        <v>1</v>
      </c>
      <c r="K854">
        <f>YEAR(NetflixData[[#This Row],[date]])</f>
        <v>2021</v>
      </c>
      <c r="L854" t="str">
        <f>TEXT(NetflixData[[#This Row],[date]],"mmm")</f>
        <v>Jan</v>
      </c>
      <c r="M854" t="str">
        <f>TEXT(NetflixData[[#This Row],[date]],"mmm yyyy")</f>
        <v>Jan 2021</v>
      </c>
      <c r="N854" t="str">
        <f t="shared" si="39"/>
        <v>Trading Day</v>
      </c>
      <c r="O854" t="str">
        <f t="shared" si="40"/>
        <v>Negative</v>
      </c>
      <c r="P854" t="str">
        <f t="shared" si="41"/>
        <v>Positive</v>
      </c>
    </row>
    <row r="855" spans="1:16" x14ac:dyDescent="0.3">
      <c r="A855" s="1">
        <v>44208</v>
      </c>
      <c r="B855">
        <v>49.42</v>
      </c>
      <c r="C855">
        <v>59904000</v>
      </c>
      <c r="D855">
        <v>-1.1499999999999999</v>
      </c>
      <c r="E855">
        <v>68</v>
      </c>
      <c r="F855">
        <v>3.1</v>
      </c>
      <c r="G855">
        <v>0.27879999999999999</v>
      </c>
      <c r="H855">
        <v>3</v>
      </c>
      <c r="I855">
        <v>5</v>
      </c>
      <c r="J855">
        <v>1</v>
      </c>
      <c r="K855">
        <f>YEAR(NetflixData[[#This Row],[date]])</f>
        <v>2021</v>
      </c>
      <c r="L855" t="str">
        <f>TEXT(NetflixData[[#This Row],[date]],"mmm")</f>
        <v>Jan</v>
      </c>
      <c r="M855" t="str">
        <f>TEXT(NetflixData[[#This Row],[date]],"mmm yyyy")</f>
        <v>Jan 2021</v>
      </c>
      <c r="N855" t="str">
        <f t="shared" si="39"/>
        <v>Trading Day</v>
      </c>
      <c r="O855" t="str">
        <f t="shared" si="40"/>
        <v>Negative</v>
      </c>
      <c r="P855" t="str">
        <f t="shared" si="41"/>
        <v>Positive</v>
      </c>
    </row>
    <row r="856" spans="1:16" x14ac:dyDescent="0.3">
      <c r="A856" s="1">
        <v>44209</v>
      </c>
      <c r="B856">
        <v>50.78</v>
      </c>
      <c r="C856">
        <v>50321000</v>
      </c>
      <c r="D856">
        <v>2.48</v>
      </c>
      <c r="E856">
        <v>74</v>
      </c>
      <c r="F856">
        <v>3.55</v>
      </c>
      <c r="G856">
        <v>0.38329999999999997</v>
      </c>
      <c r="H856">
        <v>2</v>
      </c>
      <c r="I856">
        <v>5.2</v>
      </c>
      <c r="J856">
        <v>1</v>
      </c>
      <c r="K856">
        <f>YEAR(NetflixData[[#This Row],[date]])</f>
        <v>2021</v>
      </c>
      <c r="L856" t="str">
        <f>TEXT(NetflixData[[#This Row],[date]],"mmm")</f>
        <v>Jan</v>
      </c>
      <c r="M856" t="str">
        <f>TEXT(NetflixData[[#This Row],[date]],"mmm yyyy")</f>
        <v>Jan 2021</v>
      </c>
      <c r="N856" t="str">
        <f t="shared" si="39"/>
        <v>Trading Day</v>
      </c>
      <c r="O856" t="str">
        <f t="shared" si="40"/>
        <v>Positive</v>
      </c>
      <c r="P856" t="str">
        <f t="shared" si="41"/>
        <v>Positive</v>
      </c>
    </row>
    <row r="857" spans="1:16" x14ac:dyDescent="0.3">
      <c r="A857" s="1">
        <v>44210</v>
      </c>
      <c r="B857">
        <v>50.09</v>
      </c>
      <c r="C857">
        <v>41774000</v>
      </c>
      <c r="D857">
        <v>-1.2789999999999999</v>
      </c>
      <c r="E857">
        <v>74</v>
      </c>
      <c r="F857">
        <v>3.3</v>
      </c>
      <c r="G857">
        <v>0.32700000000000001</v>
      </c>
      <c r="H857">
        <v>2</v>
      </c>
      <c r="I857">
        <v>6.3</v>
      </c>
      <c r="J857">
        <v>1</v>
      </c>
      <c r="K857">
        <f>YEAR(NetflixData[[#This Row],[date]])</f>
        <v>2021</v>
      </c>
      <c r="L857" t="str">
        <f>TEXT(NetflixData[[#This Row],[date]],"mmm")</f>
        <v>Jan</v>
      </c>
      <c r="M857" t="str">
        <f>TEXT(NetflixData[[#This Row],[date]],"mmm yyyy")</f>
        <v>Jan 2021</v>
      </c>
      <c r="N857" t="str">
        <f t="shared" si="39"/>
        <v>Trading Day</v>
      </c>
      <c r="O857" t="str">
        <f t="shared" si="40"/>
        <v>Negative</v>
      </c>
      <c r="P857" t="str">
        <f t="shared" si="41"/>
        <v>Positive</v>
      </c>
    </row>
    <row r="858" spans="1:16" x14ac:dyDescent="0.3">
      <c r="A858" s="1">
        <v>44211</v>
      </c>
      <c r="B858">
        <v>49.8</v>
      </c>
      <c r="C858">
        <v>58958000</v>
      </c>
      <c r="D858">
        <v>-0.40400000000000003</v>
      </c>
      <c r="E858">
        <v>70</v>
      </c>
      <c r="F858">
        <v>3.06</v>
      </c>
      <c r="G858">
        <v>0.31990000000000002</v>
      </c>
      <c r="H858">
        <v>15</v>
      </c>
      <c r="I858">
        <v>6.3</v>
      </c>
      <c r="J858">
        <v>1</v>
      </c>
      <c r="K858">
        <f>YEAR(NetflixData[[#This Row],[date]])</f>
        <v>2021</v>
      </c>
      <c r="L858" t="str">
        <f>TEXT(NetflixData[[#This Row],[date]],"mmm")</f>
        <v>Jan</v>
      </c>
      <c r="M858" t="str">
        <f>TEXT(NetflixData[[#This Row],[date]],"mmm yyyy")</f>
        <v>Jan 2021</v>
      </c>
      <c r="N858" t="str">
        <f t="shared" si="39"/>
        <v>Non-Trading Day</v>
      </c>
      <c r="O858" t="str">
        <f t="shared" si="40"/>
        <v>Negative</v>
      </c>
      <c r="P858" t="str">
        <f t="shared" si="41"/>
        <v>Positive</v>
      </c>
    </row>
    <row r="859" spans="1:16" x14ac:dyDescent="0.3">
      <c r="A859" s="1">
        <v>44212</v>
      </c>
      <c r="B859">
        <v>49.8</v>
      </c>
      <c r="C859">
        <v>0</v>
      </c>
      <c r="D859">
        <v>0</v>
      </c>
      <c r="E859">
        <v>72</v>
      </c>
      <c r="F859">
        <v>3.47</v>
      </c>
      <c r="G859">
        <v>0.28370000000000001</v>
      </c>
      <c r="H859">
        <v>3</v>
      </c>
      <c r="I859">
        <v>6.07</v>
      </c>
      <c r="J859">
        <v>0</v>
      </c>
      <c r="K859">
        <f>YEAR(NetflixData[[#This Row],[date]])</f>
        <v>2021</v>
      </c>
      <c r="L859" t="str">
        <f>TEXT(NetflixData[[#This Row],[date]],"mmm")</f>
        <v>Jan</v>
      </c>
      <c r="M859" t="str">
        <f>TEXT(NetflixData[[#This Row],[date]],"mmm yyyy")</f>
        <v>Jan 2021</v>
      </c>
      <c r="N859" t="str">
        <f t="shared" si="39"/>
        <v>Non-Trading Day</v>
      </c>
      <c r="O859" t="str">
        <f t="shared" si="40"/>
        <v>No Change</v>
      </c>
      <c r="P859" t="str">
        <f t="shared" si="41"/>
        <v>Positive</v>
      </c>
    </row>
    <row r="860" spans="1:16" x14ac:dyDescent="0.3">
      <c r="A860" s="1">
        <v>44213</v>
      </c>
      <c r="B860">
        <v>49.8</v>
      </c>
      <c r="C860">
        <v>0</v>
      </c>
      <c r="D860">
        <v>0</v>
      </c>
      <c r="E860">
        <v>74</v>
      </c>
      <c r="F860">
        <v>3.03</v>
      </c>
      <c r="G860">
        <v>0.28810000000000002</v>
      </c>
      <c r="H860">
        <v>0</v>
      </c>
      <c r="J860">
        <v>0</v>
      </c>
      <c r="K860">
        <f>YEAR(NetflixData[[#This Row],[date]])</f>
        <v>2021</v>
      </c>
      <c r="L860" t="str">
        <f>TEXT(NetflixData[[#This Row],[date]],"mmm")</f>
        <v>Jan</v>
      </c>
      <c r="M860" t="str">
        <f>TEXT(NetflixData[[#This Row],[date]],"mmm yyyy")</f>
        <v>Jan 2021</v>
      </c>
      <c r="N860" t="str">
        <f t="shared" si="39"/>
        <v>Non-Trading Day</v>
      </c>
      <c r="O860" t="str">
        <f t="shared" si="40"/>
        <v>No Change</v>
      </c>
      <c r="P860" t="str">
        <f t="shared" si="41"/>
        <v>Positive</v>
      </c>
    </row>
    <row r="861" spans="1:16" x14ac:dyDescent="0.3">
      <c r="A861" s="1">
        <v>44214</v>
      </c>
      <c r="B861">
        <v>49.8</v>
      </c>
      <c r="C861">
        <v>0</v>
      </c>
      <c r="D861">
        <v>0</v>
      </c>
      <c r="E861">
        <v>69</v>
      </c>
      <c r="F861">
        <v>3.09</v>
      </c>
      <c r="G861">
        <v>0.2215</v>
      </c>
      <c r="H861">
        <v>0</v>
      </c>
      <c r="J861">
        <v>0</v>
      </c>
      <c r="K861">
        <f>YEAR(NetflixData[[#This Row],[date]])</f>
        <v>2021</v>
      </c>
      <c r="L861" t="str">
        <f>TEXT(NetflixData[[#This Row],[date]],"mmm")</f>
        <v>Jan</v>
      </c>
      <c r="M861" t="str">
        <f>TEXT(NetflixData[[#This Row],[date]],"mmm yyyy")</f>
        <v>Jan 2021</v>
      </c>
      <c r="N861" t="str">
        <f t="shared" si="39"/>
        <v>Trading Day</v>
      </c>
      <c r="O861" t="str">
        <f t="shared" si="40"/>
        <v>No Change</v>
      </c>
      <c r="P861" t="str">
        <f t="shared" si="41"/>
        <v>Positive</v>
      </c>
    </row>
    <row r="862" spans="1:16" x14ac:dyDescent="0.3">
      <c r="A862" s="1">
        <v>44215</v>
      </c>
      <c r="B862">
        <v>50.18</v>
      </c>
      <c r="C862">
        <v>123158000</v>
      </c>
      <c r="D862">
        <v>0.154</v>
      </c>
      <c r="E862">
        <v>51</v>
      </c>
      <c r="F862">
        <v>2.92</v>
      </c>
      <c r="G862">
        <v>0.15679999999999999</v>
      </c>
      <c r="H862">
        <v>0</v>
      </c>
      <c r="J862">
        <v>1</v>
      </c>
      <c r="K862">
        <f>YEAR(NetflixData[[#This Row],[date]])</f>
        <v>2021</v>
      </c>
      <c r="L862" t="str">
        <f>TEXT(NetflixData[[#This Row],[date]],"mmm")</f>
        <v>Jan</v>
      </c>
      <c r="M862" t="str">
        <f>TEXT(NetflixData[[#This Row],[date]],"mmm yyyy")</f>
        <v>Jan 2021</v>
      </c>
      <c r="N862" t="str">
        <f t="shared" si="39"/>
        <v>Trading Day</v>
      </c>
      <c r="O862" t="str">
        <f t="shared" si="40"/>
        <v>Positive</v>
      </c>
      <c r="P862" t="str">
        <f t="shared" si="41"/>
        <v>Positive</v>
      </c>
    </row>
    <row r="863" spans="1:16" x14ac:dyDescent="0.3">
      <c r="A863" s="1">
        <v>44216</v>
      </c>
      <c r="B863">
        <v>58.63</v>
      </c>
      <c r="C863">
        <v>326375000</v>
      </c>
      <c r="D863">
        <v>3.7</v>
      </c>
      <c r="E863">
        <v>57</v>
      </c>
      <c r="F863">
        <v>3.32</v>
      </c>
      <c r="G863">
        <v>0.36299999999999999</v>
      </c>
      <c r="H863">
        <v>0</v>
      </c>
      <c r="J863">
        <v>1</v>
      </c>
      <c r="K863">
        <f>YEAR(NetflixData[[#This Row],[date]])</f>
        <v>2021</v>
      </c>
      <c r="L863" t="str">
        <f>TEXT(NetflixData[[#This Row],[date]],"mmm")</f>
        <v>Jan</v>
      </c>
      <c r="M863" t="str">
        <f>TEXT(NetflixData[[#This Row],[date]],"mmm yyyy")</f>
        <v>Jan 2021</v>
      </c>
      <c r="N863" t="str">
        <f t="shared" si="39"/>
        <v>Trading Day</v>
      </c>
      <c r="O863" t="str">
        <f t="shared" si="40"/>
        <v>Positive</v>
      </c>
      <c r="P863" t="str">
        <f t="shared" si="41"/>
        <v>Positive</v>
      </c>
    </row>
    <row r="864" spans="1:16" x14ac:dyDescent="0.3">
      <c r="A864" s="1">
        <v>44217</v>
      </c>
      <c r="B864">
        <v>57.98</v>
      </c>
      <c r="C864">
        <v>118021000</v>
      </c>
      <c r="D864">
        <v>-0.44800000000000001</v>
      </c>
      <c r="E864">
        <v>53</v>
      </c>
      <c r="F864">
        <v>3.17</v>
      </c>
      <c r="G864">
        <v>0.2387</v>
      </c>
      <c r="H864">
        <v>0</v>
      </c>
      <c r="J864">
        <v>1</v>
      </c>
      <c r="K864">
        <f>YEAR(NetflixData[[#This Row],[date]])</f>
        <v>2021</v>
      </c>
      <c r="L864" t="str">
        <f>TEXT(NetflixData[[#This Row],[date]],"mmm")</f>
        <v>Jan</v>
      </c>
      <c r="M864" t="str">
        <f>TEXT(NetflixData[[#This Row],[date]],"mmm yyyy")</f>
        <v>Jan 2021</v>
      </c>
      <c r="N864" t="str">
        <f t="shared" si="39"/>
        <v>Trading Day</v>
      </c>
      <c r="O864" t="str">
        <f t="shared" si="40"/>
        <v>Negative</v>
      </c>
      <c r="P864" t="str">
        <f t="shared" si="41"/>
        <v>Positive</v>
      </c>
    </row>
    <row r="865" spans="1:16" x14ac:dyDescent="0.3">
      <c r="A865" s="1">
        <v>44218</v>
      </c>
      <c r="B865">
        <v>56.52</v>
      </c>
      <c r="C865">
        <v>75508000</v>
      </c>
      <c r="D865">
        <v>-2.9079999999999999</v>
      </c>
      <c r="E865">
        <v>68</v>
      </c>
      <c r="F865">
        <v>2.96</v>
      </c>
      <c r="G865">
        <v>0.23219999999999999</v>
      </c>
      <c r="H865">
        <v>0</v>
      </c>
      <c r="J865">
        <v>1</v>
      </c>
      <c r="K865">
        <f>YEAR(NetflixData[[#This Row],[date]])</f>
        <v>2021</v>
      </c>
      <c r="L865" t="str">
        <f>TEXT(NetflixData[[#This Row],[date]],"mmm")</f>
        <v>Jan</v>
      </c>
      <c r="M865" t="str">
        <f>TEXT(NetflixData[[#This Row],[date]],"mmm yyyy")</f>
        <v>Jan 2021</v>
      </c>
      <c r="N865" t="str">
        <f t="shared" si="39"/>
        <v>Non-Trading Day</v>
      </c>
      <c r="O865" t="str">
        <f t="shared" si="40"/>
        <v>Negative</v>
      </c>
      <c r="P865" t="str">
        <f t="shared" si="41"/>
        <v>Positive</v>
      </c>
    </row>
    <row r="866" spans="1:16" x14ac:dyDescent="0.3">
      <c r="A866" s="1">
        <v>44219</v>
      </c>
      <c r="B866">
        <v>56.52</v>
      </c>
      <c r="C866">
        <v>0</v>
      </c>
      <c r="D866">
        <v>0</v>
      </c>
      <c r="E866">
        <v>76</v>
      </c>
      <c r="F866">
        <v>3.36</v>
      </c>
      <c r="G866">
        <v>0.43690000000000001</v>
      </c>
      <c r="H866">
        <v>0</v>
      </c>
      <c r="J866">
        <v>0</v>
      </c>
      <c r="K866">
        <f>YEAR(NetflixData[[#This Row],[date]])</f>
        <v>2021</v>
      </c>
      <c r="L866" t="str">
        <f>TEXT(NetflixData[[#This Row],[date]],"mmm")</f>
        <v>Jan</v>
      </c>
      <c r="M866" t="str">
        <f>TEXT(NetflixData[[#This Row],[date]],"mmm yyyy")</f>
        <v>Jan 2021</v>
      </c>
      <c r="N866" t="str">
        <f t="shared" si="39"/>
        <v>Non-Trading Day</v>
      </c>
      <c r="O866" t="str">
        <f t="shared" si="40"/>
        <v>No Change</v>
      </c>
      <c r="P866" t="str">
        <f t="shared" si="41"/>
        <v>Positive</v>
      </c>
    </row>
    <row r="867" spans="1:16" x14ac:dyDescent="0.3">
      <c r="A867" s="1">
        <v>44220</v>
      </c>
      <c r="B867">
        <v>56.52</v>
      </c>
      <c r="C867">
        <v>0</v>
      </c>
      <c r="D867">
        <v>0</v>
      </c>
      <c r="E867">
        <v>72</v>
      </c>
      <c r="F867">
        <v>3.11</v>
      </c>
      <c r="G867">
        <v>0.29139999999999999</v>
      </c>
      <c r="H867">
        <v>0</v>
      </c>
      <c r="J867">
        <v>0</v>
      </c>
      <c r="K867">
        <f>YEAR(NetflixData[[#This Row],[date]])</f>
        <v>2021</v>
      </c>
      <c r="L867" t="str">
        <f>TEXT(NetflixData[[#This Row],[date]],"mmm")</f>
        <v>Jan</v>
      </c>
      <c r="M867" t="str">
        <f>TEXT(NetflixData[[#This Row],[date]],"mmm yyyy")</f>
        <v>Jan 2021</v>
      </c>
      <c r="N867" t="str">
        <f t="shared" si="39"/>
        <v>Trading Day</v>
      </c>
      <c r="O867" t="str">
        <f t="shared" si="40"/>
        <v>No Change</v>
      </c>
      <c r="P867" t="str">
        <f t="shared" si="41"/>
        <v>Positive</v>
      </c>
    </row>
    <row r="868" spans="1:16" x14ac:dyDescent="0.3">
      <c r="A868" s="1">
        <v>44221</v>
      </c>
      <c r="B868">
        <v>55.68</v>
      </c>
      <c r="C868">
        <v>72073000</v>
      </c>
      <c r="D868">
        <v>-1.802</v>
      </c>
      <c r="E868">
        <v>68</v>
      </c>
      <c r="F868">
        <v>2.82</v>
      </c>
      <c r="G868">
        <v>0.1865</v>
      </c>
      <c r="H868">
        <v>0</v>
      </c>
      <c r="J868">
        <v>1</v>
      </c>
      <c r="K868">
        <f>YEAR(NetflixData[[#This Row],[date]])</f>
        <v>2021</v>
      </c>
      <c r="L868" t="str">
        <f>TEXT(NetflixData[[#This Row],[date]],"mmm")</f>
        <v>Jan</v>
      </c>
      <c r="M868" t="str">
        <f>TEXT(NetflixData[[#This Row],[date]],"mmm yyyy")</f>
        <v>Jan 2021</v>
      </c>
      <c r="N868" t="str">
        <f t="shared" si="39"/>
        <v>Trading Day</v>
      </c>
      <c r="O868" t="str">
        <f t="shared" si="40"/>
        <v>Negative</v>
      </c>
      <c r="P868" t="str">
        <f t="shared" si="41"/>
        <v>Positive</v>
      </c>
    </row>
    <row r="869" spans="1:16" x14ac:dyDescent="0.3">
      <c r="A869" s="1">
        <v>44222</v>
      </c>
      <c r="B869">
        <v>56.19</v>
      </c>
      <c r="C869">
        <v>50238000</v>
      </c>
      <c r="D869">
        <v>1.298</v>
      </c>
      <c r="E869">
        <v>45</v>
      </c>
      <c r="F869">
        <v>3.24</v>
      </c>
      <c r="G869">
        <v>0.47</v>
      </c>
      <c r="H869">
        <v>0</v>
      </c>
      <c r="J869">
        <v>1</v>
      </c>
      <c r="K869">
        <f>YEAR(NetflixData[[#This Row],[date]])</f>
        <v>2021</v>
      </c>
      <c r="L869" t="str">
        <f>TEXT(NetflixData[[#This Row],[date]],"mmm")</f>
        <v>Jan</v>
      </c>
      <c r="M869" t="str">
        <f>TEXT(NetflixData[[#This Row],[date]],"mmm yyyy")</f>
        <v>Jan 2021</v>
      </c>
      <c r="N869" t="str">
        <f t="shared" si="39"/>
        <v>Trading Day</v>
      </c>
      <c r="O869" t="str">
        <f t="shared" si="40"/>
        <v>Positive</v>
      </c>
      <c r="P869" t="str">
        <f t="shared" si="41"/>
        <v>Positive</v>
      </c>
    </row>
    <row r="870" spans="1:16" x14ac:dyDescent="0.3">
      <c r="A870" s="1">
        <v>44223</v>
      </c>
      <c r="B870">
        <v>52.33</v>
      </c>
      <c r="C870">
        <v>86703000</v>
      </c>
      <c r="D870">
        <v>-4.9809999999999999</v>
      </c>
      <c r="E870">
        <v>60</v>
      </c>
      <c r="F870">
        <v>3.35</v>
      </c>
      <c r="G870">
        <v>0.27650000000000002</v>
      </c>
      <c r="H870">
        <v>0</v>
      </c>
      <c r="J870">
        <v>1</v>
      </c>
      <c r="K870">
        <f>YEAR(NetflixData[[#This Row],[date]])</f>
        <v>2021</v>
      </c>
      <c r="L870" t="str">
        <f>TEXT(NetflixData[[#This Row],[date]],"mmm")</f>
        <v>Jan</v>
      </c>
      <c r="M870" t="str">
        <f>TEXT(NetflixData[[#This Row],[date]],"mmm yyyy")</f>
        <v>Jan 2021</v>
      </c>
      <c r="N870" t="str">
        <f t="shared" si="39"/>
        <v>Trading Day</v>
      </c>
      <c r="O870" t="str">
        <f t="shared" si="40"/>
        <v>Negative</v>
      </c>
      <c r="P870" t="str">
        <f t="shared" si="41"/>
        <v>Positive</v>
      </c>
    </row>
    <row r="871" spans="1:16" x14ac:dyDescent="0.3">
      <c r="A871" s="1">
        <v>44224</v>
      </c>
      <c r="B871">
        <v>53.86</v>
      </c>
      <c r="C871">
        <v>59690000</v>
      </c>
      <c r="D871">
        <v>0.50800000000000001</v>
      </c>
      <c r="E871">
        <v>55</v>
      </c>
      <c r="F871">
        <v>2.93</v>
      </c>
      <c r="G871">
        <v>0.3075</v>
      </c>
      <c r="H871">
        <v>0</v>
      </c>
      <c r="J871">
        <v>1</v>
      </c>
      <c r="K871">
        <f>YEAR(NetflixData[[#This Row],[date]])</f>
        <v>2021</v>
      </c>
      <c r="L871" t="str">
        <f>TEXT(NetflixData[[#This Row],[date]],"mmm")</f>
        <v>Jan</v>
      </c>
      <c r="M871" t="str">
        <f>TEXT(NetflixData[[#This Row],[date]],"mmm yyyy")</f>
        <v>Jan 2021</v>
      </c>
      <c r="N871" t="str">
        <f t="shared" si="39"/>
        <v>Trading Day</v>
      </c>
      <c r="O871" t="str">
        <f t="shared" si="40"/>
        <v>Positive</v>
      </c>
      <c r="P871" t="str">
        <f t="shared" si="41"/>
        <v>Positive</v>
      </c>
    </row>
    <row r="872" spans="1:16" x14ac:dyDescent="0.3">
      <c r="A872" s="1">
        <v>44225</v>
      </c>
      <c r="B872">
        <v>53.24</v>
      </c>
      <c r="C872">
        <v>43253000</v>
      </c>
      <c r="D872">
        <v>-1.0429999999999999</v>
      </c>
      <c r="E872">
        <v>71</v>
      </c>
      <c r="F872">
        <v>2.85</v>
      </c>
      <c r="G872">
        <v>0.21829999999999999</v>
      </c>
      <c r="H872">
        <v>0</v>
      </c>
      <c r="J872">
        <v>1</v>
      </c>
      <c r="K872">
        <f>YEAR(NetflixData[[#This Row],[date]])</f>
        <v>2021</v>
      </c>
      <c r="L872" t="str">
        <f>TEXT(NetflixData[[#This Row],[date]],"mmm")</f>
        <v>Jan</v>
      </c>
      <c r="M872" t="str">
        <f>TEXT(NetflixData[[#This Row],[date]],"mmm yyyy")</f>
        <v>Jan 2021</v>
      </c>
      <c r="N872" t="str">
        <f t="shared" si="39"/>
        <v>Non-Trading Day</v>
      </c>
      <c r="O872" t="str">
        <f t="shared" si="40"/>
        <v>Negative</v>
      </c>
      <c r="P872" t="str">
        <f t="shared" si="41"/>
        <v>Positive</v>
      </c>
    </row>
    <row r="873" spans="1:16" x14ac:dyDescent="0.3">
      <c r="A873" s="1">
        <v>44226</v>
      </c>
      <c r="B873">
        <v>53.24</v>
      </c>
      <c r="C873">
        <v>0</v>
      </c>
      <c r="D873">
        <v>0</v>
      </c>
      <c r="E873">
        <v>75</v>
      </c>
      <c r="F873">
        <v>3.01</v>
      </c>
      <c r="G873">
        <v>0.34310000000000002</v>
      </c>
      <c r="H873">
        <v>0</v>
      </c>
      <c r="J873">
        <v>0</v>
      </c>
      <c r="K873">
        <f>YEAR(NetflixData[[#This Row],[date]])</f>
        <v>2021</v>
      </c>
      <c r="L873" t="str">
        <f>TEXT(NetflixData[[#This Row],[date]],"mmm")</f>
        <v>Jan</v>
      </c>
      <c r="M873" t="str">
        <f>TEXT(NetflixData[[#This Row],[date]],"mmm yyyy")</f>
        <v>Jan 2021</v>
      </c>
      <c r="N873" t="str">
        <f t="shared" si="39"/>
        <v>Non-Trading Day</v>
      </c>
      <c r="O873" t="str">
        <f t="shared" si="40"/>
        <v>No Change</v>
      </c>
      <c r="P873" t="str">
        <f t="shared" si="41"/>
        <v>Positive</v>
      </c>
    </row>
    <row r="874" spans="1:16" x14ac:dyDescent="0.3">
      <c r="A874" s="1">
        <v>44227</v>
      </c>
      <c r="B874">
        <v>53.24</v>
      </c>
      <c r="C874">
        <v>0</v>
      </c>
      <c r="D874">
        <v>0</v>
      </c>
      <c r="E874">
        <v>48</v>
      </c>
      <c r="F874">
        <v>3.29</v>
      </c>
      <c r="G874">
        <v>0.45579999999999998</v>
      </c>
      <c r="H874">
        <v>0</v>
      </c>
      <c r="J874">
        <v>0</v>
      </c>
      <c r="K874">
        <f>YEAR(NetflixData[[#This Row],[date]])</f>
        <v>2021</v>
      </c>
      <c r="L874" t="str">
        <f>TEXT(NetflixData[[#This Row],[date]],"mmm")</f>
        <v>Jan</v>
      </c>
      <c r="M874" t="str">
        <f>TEXT(NetflixData[[#This Row],[date]],"mmm yyyy")</f>
        <v>Jan 2021</v>
      </c>
      <c r="N874" t="str">
        <f t="shared" si="39"/>
        <v>Trading Day</v>
      </c>
      <c r="O874" t="str">
        <f t="shared" si="40"/>
        <v>No Change</v>
      </c>
      <c r="P874" t="str">
        <f t="shared" si="41"/>
        <v>Positive</v>
      </c>
    </row>
    <row r="875" spans="1:16" x14ac:dyDescent="0.3">
      <c r="A875" s="1">
        <v>44228</v>
      </c>
      <c r="B875">
        <v>53.9</v>
      </c>
      <c r="C875">
        <v>35475000</v>
      </c>
      <c r="D875">
        <v>0.41899999999999998</v>
      </c>
      <c r="E875">
        <v>57</v>
      </c>
      <c r="F875">
        <v>2.86</v>
      </c>
      <c r="G875">
        <v>0.18</v>
      </c>
      <c r="H875">
        <v>0</v>
      </c>
      <c r="J875">
        <v>1</v>
      </c>
      <c r="K875">
        <f>YEAR(NetflixData[[#This Row],[date]])</f>
        <v>2021</v>
      </c>
      <c r="L875" t="str">
        <f>TEXT(NetflixData[[#This Row],[date]],"mmm")</f>
        <v>Feb</v>
      </c>
      <c r="M875" t="str">
        <f>TEXT(NetflixData[[#This Row],[date]],"mmm yyyy")</f>
        <v>Feb 2021</v>
      </c>
      <c r="N875" t="str">
        <f t="shared" si="39"/>
        <v>Trading Day</v>
      </c>
      <c r="O875" t="str">
        <f t="shared" si="40"/>
        <v>Positive</v>
      </c>
      <c r="P875" t="str">
        <f t="shared" si="41"/>
        <v>Positive</v>
      </c>
    </row>
    <row r="876" spans="1:16" x14ac:dyDescent="0.3">
      <c r="A876" s="1">
        <v>44229</v>
      </c>
      <c r="B876">
        <v>54.82</v>
      </c>
      <c r="C876">
        <v>37676000</v>
      </c>
      <c r="D876">
        <v>1.135</v>
      </c>
      <c r="E876">
        <v>52</v>
      </c>
      <c r="F876">
        <v>2.65</v>
      </c>
      <c r="G876">
        <v>0.2074</v>
      </c>
      <c r="H876">
        <v>0</v>
      </c>
      <c r="J876">
        <v>1</v>
      </c>
      <c r="K876">
        <f>YEAR(NetflixData[[#This Row],[date]])</f>
        <v>2021</v>
      </c>
      <c r="L876" t="str">
        <f>TEXT(NetflixData[[#This Row],[date]],"mmm")</f>
        <v>Feb</v>
      </c>
      <c r="M876" t="str">
        <f>TEXT(NetflixData[[#This Row],[date]],"mmm yyyy")</f>
        <v>Feb 2021</v>
      </c>
      <c r="N876" t="str">
        <f t="shared" si="39"/>
        <v>Trading Day</v>
      </c>
      <c r="O876" t="str">
        <f t="shared" si="40"/>
        <v>Positive</v>
      </c>
      <c r="P876" t="str">
        <f t="shared" si="41"/>
        <v>Positive</v>
      </c>
    </row>
    <row r="877" spans="1:16" x14ac:dyDescent="0.3">
      <c r="A877" s="1">
        <v>44230</v>
      </c>
      <c r="B877">
        <v>53.94</v>
      </c>
      <c r="C877">
        <v>31723000</v>
      </c>
      <c r="D877">
        <v>-1.948</v>
      </c>
      <c r="E877">
        <v>67</v>
      </c>
      <c r="F877">
        <v>3.31</v>
      </c>
      <c r="G877">
        <v>0.39479999999999998</v>
      </c>
      <c r="H877">
        <v>0</v>
      </c>
      <c r="J877">
        <v>1</v>
      </c>
      <c r="K877">
        <f>YEAR(NetflixData[[#This Row],[date]])</f>
        <v>2021</v>
      </c>
      <c r="L877" t="str">
        <f>TEXT(NetflixData[[#This Row],[date]],"mmm")</f>
        <v>Feb</v>
      </c>
      <c r="M877" t="str">
        <f>TEXT(NetflixData[[#This Row],[date]],"mmm yyyy")</f>
        <v>Feb 2021</v>
      </c>
      <c r="N877" t="str">
        <f t="shared" si="39"/>
        <v>Trading Day</v>
      </c>
      <c r="O877" t="str">
        <f t="shared" si="40"/>
        <v>Negative</v>
      </c>
      <c r="P877" t="str">
        <f t="shared" si="41"/>
        <v>Positive</v>
      </c>
    </row>
    <row r="878" spans="1:16" x14ac:dyDescent="0.3">
      <c r="A878" s="1">
        <v>44231</v>
      </c>
      <c r="B878">
        <v>55.22</v>
      </c>
      <c r="C878">
        <v>51645000</v>
      </c>
      <c r="D878">
        <v>2.2879999999999998</v>
      </c>
      <c r="E878">
        <v>80</v>
      </c>
      <c r="F878">
        <v>2.9</v>
      </c>
      <c r="G878">
        <v>0.20780000000000001</v>
      </c>
      <c r="H878">
        <v>0</v>
      </c>
      <c r="J878">
        <v>1</v>
      </c>
      <c r="K878">
        <f>YEAR(NetflixData[[#This Row],[date]])</f>
        <v>2021</v>
      </c>
      <c r="L878" t="str">
        <f>TEXT(NetflixData[[#This Row],[date]],"mmm")</f>
        <v>Feb</v>
      </c>
      <c r="M878" t="str">
        <f>TEXT(NetflixData[[#This Row],[date]],"mmm yyyy")</f>
        <v>Feb 2021</v>
      </c>
      <c r="N878" t="str">
        <f t="shared" si="39"/>
        <v>Trading Day</v>
      </c>
      <c r="O878" t="str">
        <f t="shared" si="40"/>
        <v>Positive</v>
      </c>
      <c r="P878" t="str">
        <f t="shared" si="41"/>
        <v>Positive</v>
      </c>
    </row>
    <row r="879" spans="1:16" x14ac:dyDescent="0.3">
      <c r="A879" s="1">
        <v>44232</v>
      </c>
      <c r="B879">
        <v>55.08</v>
      </c>
      <c r="C879">
        <v>23762000</v>
      </c>
      <c r="D879">
        <v>-0.26600000000000001</v>
      </c>
      <c r="E879">
        <v>58</v>
      </c>
      <c r="F879">
        <v>3.07</v>
      </c>
      <c r="G879">
        <v>0.28060000000000002</v>
      </c>
      <c r="H879">
        <v>0</v>
      </c>
      <c r="J879">
        <v>1</v>
      </c>
      <c r="K879">
        <f>YEAR(NetflixData[[#This Row],[date]])</f>
        <v>2021</v>
      </c>
      <c r="L879" t="str">
        <f>TEXT(NetflixData[[#This Row],[date]],"mmm")</f>
        <v>Feb</v>
      </c>
      <c r="M879" t="str">
        <f>TEXT(NetflixData[[#This Row],[date]],"mmm yyyy")</f>
        <v>Feb 2021</v>
      </c>
      <c r="N879" t="str">
        <f t="shared" si="39"/>
        <v>Non-Trading Day</v>
      </c>
      <c r="O879" t="str">
        <f t="shared" si="40"/>
        <v>Negative</v>
      </c>
      <c r="P879" t="str">
        <f t="shared" si="41"/>
        <v>Positive</v>
      </c>
    </row>
    <row r="880" spans="1:16" x14ac:dyDescent="0.3">
      <c r="A880" s="1">
        <v>44233</v>
      </c>
      <c r="B880">
        <v>55.08</v>
      </c>
      <c r="C880">
        <v>0</v>
      </c>
      <c r="D880">
        <v>0</v>
      </c>
      <c r="E880">
        <v>69</v>
      </c>
      <c r="F880">
        <v>2.72</v>
      </c>
      <c r="G880">
        <v>0.17519999999999999</v>
      </c>
      <c r="H880">
        <v>0</v>
      </c>
      <c r="J880">
        <v>0</v>
      </c>
      <c r="K880">
        <f>YEAR(NetflixData[[#This Row],[date]])</f>
        <v>2021</v>
      </c>
      <c r="L880" t="str">
        <f>TEXT(NetflixData[[#This Row],[date]],"mmm")</f>
        <v>Feb</v>
      </c>
      <c r="M880" t="str">
        <f>TEXT(NetflixData[[#This Row],[date]],"mmm yyyy")</f>
        <v>Feb 2021</v>
      </c>
      <c r="N880" t="str">
        <f t="shared" si="39"/>
        <v>Non-Trading Day</v>
      </c>
      <c r="O880" t="str">
        <f t="shared" si="40"/>
        <v>No Change</v>
      </c>
      <c r="P880" t="str">
        <f t="shared" si="41"/>
        <v>Positive</v>
      </c>
    </row>
    <row r="881" spans="1:16" x14ac:dyDescent="0.3">
      <c r="A881" s="1">
        <v>44234</v>
      </c>
      <c r="B881">
        <v>55.08</v>
      </c>
      <c r="C881">
        <v>0</v>
      </c>
      <c r="D881">
        <v>0</v>
      </c>
      <c r="E881">
        <v>56</v>
      </c>
      <c r="F881">
        <v>2.48</v>
      </c>
      <c r="G881">
        <v>0.15740000000000001</v>
      </c>
      <c r="H881">
        <v>0</v>
      </c>
      <c r="J881">
        <v>0</v>
      </c>
      <c r="K881">
        <f>YEAR(NetflixData[[#This Row],[date]])</f>
        <v>2021</v>
      </c>
      <c r="L881" t="str">
        <f>TEXT(NetflixData[[#This Row],[date]],"mmm")</f>
        <v>Feb</v>
      </c>
      <c r="M881" t="str">
        <f>TEXT(NetflixData[[#This Row],[date]],"mmm yyyy")</f>
        <v>Feb 2021</v>
      </c>
      <c r="N881" t="str">
        <f t="shared" si="39"/>
        <v>Trading Day</v>
      </c>
      <c r="O881" t="str">
        <f t="shared" si="40"/>
        <v>No Change</v>
      </c>
      <c r="P881" t="str">
        <f t="shared" si="41"/>
        <v>Positive</v>
      </c>
    </row>
    <row r="882" spans="1:16" x14ac:dyDescent="0.3">
      <c r="A882" s="1">
        <v>44235</v>
      </c>
      <c r="B882">
        <v>54.79</v>
      </c>
      <c r="C882">
        <v>27917000</v>
      </c>
      <c r="D882">
        <v>-1.276</v>
      </c>
      <c r="E882">
        <v>53</v>
      </c>
      <c r="F882">
        <v>3.3</v>
      </c>
      <c r="G882">
        <v>0.4037</v>
      </c>
      <c r="H882">
        <v>0</v>
      </c>
      <c r="J882">
        <v>1</v>
      </c>
      <c r="K882">
        <f>YEAR(NetflixData[[#This Row],[date]])</f>
        <v>2021</v>
      </c>
      <c r="L882" t="str">
        <f>TEXT(NetflixData[[#This Row],[date]],"mmm")</f>
        <v>Feb</v>
      </c>
      <c r="M882" t="str">
        <f>TEXT(NetflixData[[#This Row],[date]],"mmm yyyy")</f>
        <v>Feb 2021</v>
      </c>
      <c r="N882" t="str">
        <f t="shared" si="39"/>
        <v>Trading Day</v>
      </c>
      <c r="O882" t="str">
        <f t="shared" si="40"/>
        <v>Negative</v>
      </c>
      <c r="P882" t="str">
        <f t="shared" si="41"/>
        <v>Positive</v>
      </c>
    </row>
    <row r="883" spans="1:16" x14ac:dyDescent="0.3">
      <c r="A883" s="1">
        <v>44236</v>
      </c>
      <c r="B883">
        <v>55.91</v>
      </c>
      <c r="C883">
        <v>37035000</v>
      </c>
      <c r="D883">
        <v>2.3940000000000001</v>
      </c>
      <c r="E883">
        <v>47</v>
      </c>
      <c r="F883">
        <v>2.98</v>
      </c>
      <c r="G883">
        <v>0.1986</v>
      </c>
      <c r="H883">
        <v>0</v>
      </c>
      <c r="J883">
        <v>1</v>
      </c>
      <c r="K883">
        <f>YEAR(NetflixData[[#This Row],[date]])</f>
        <v>2021</v>
      </c>
      <c r="L883" t="str">
        <f>TEXT(NetflixData[[#This Row],[date]],"mmm")</f>
        <v>Feb</v>
      </c>
      <c r="M883" t="str">
        <f>TEXT(NetflixData[[#This Row],[date]],"mmm yyyy")</f>
        <v>Feb 2021</v>
      </c>
      <c r="N883" t="str">
        <f t="shared" si="39"/>
        <v>Trading Day</v>
      </c>
      <c r="O883" t="str">
        <f t="shared" si="40"/>
        <v>Positive</v>
      </c>
      <c r="P883" t="str">
        <f t="shared" si="41"/>
        <v>Positive</v>
      </c>
    </row>
    <row r="884" spans="1:16" x14ac:dyDescent="0.3">
      <c r="A884" s="1">
        <v>44237</v>
      </c>
      <c r="B884">
        <v>56.36</v>
      </c>
      <c r="C884">
        <v>39913000</v>
      </c>
      <c r="D884">
        <v>0.19400000000000001</v>
      </c>
      <c r="E884">
        <v>52</v>
      </c>
      <c r="F884">
        <v>3.27</v>
      </c>
      <c r="G884">
        <v>0.24329999999999999</v>
      </c>
      <c r="H884">
        <v>0</v>
      </c>
      <c r="J884">
        <v>1</v>
      </c>
      <c r="K884">
        <f>YEAR(NetflixData[[#This Row],[date]])</f>
        <v>2021</v>
      </c>
      <c r="L884" t="str">
        <f>TEXT(NetflixData[[#This Row],[date]],"mmm")</f>
        <v>Feb</v>
      </c>
      <c r="M884" t="str">
        <f>TEXT(NetflixData[[#This Row],[date]],"mmm yyyy")</f>
        <v>Feb 2021</v>
      </c>
      <c r="N884" t="str">
        <f t="shared" si="39"/>
        <v>Trading Day</v>
      </c>
      <c r="O884" t="str">
        <f t="shared" si="40"/>
        <v>Positive</v>
      </c>
      <c r="P884" t="str">
        <f t="shared" si="41"/>
        <v>Positive</v>
      </c>
    </row>
    <row r="885" spans="1:16" x14ac:dyDescent="0.3">
      <c r="A885" s="1">
        <v>44238</v>
      </c>
      <c r="B885">
        <v>55.76</v>
      </c>
      <c r="C885">
        <v>27306000</v>
      </c>
      <c r="D885">
        <v>-1.214</v>
      </c>
      <c r="E885">
        <v>61</v>
      </c>
      <c r="F885">
        <v>3.11</v>
      </c>
      <c r="G885">
        <v>0.17399999999999999</v>
      </c>
      <c r="H885">
        <v>0</v>
      </c>
      <c r="J885">
        <v>1</v>
      </c>
      <c r="K885">
        <f>YEAR(NetflixData[[#This Row],[date]])</f>
        <v>2021</v>
      </c>
      <c r="L885" t="str">
        <f>TEXT(NetflixData[[#This Row],[date]],"mmm")</f>
        <v>Feb</v>
      </c>
      <c r="M885" t="str">
        <f>TEXT(NetflixData[[#This Row],[date]],"mmm yyyy")</f>
        <v>Feb 2021</v>
      </c>
      <c r="N885" t="str">
        <f t="shared" si="39"/>
        <v>Trading Day</v>
      </c>
      <c r="O885" t="str">
        <f t="shared" si="40"/>
        <v>Negative</v>
      </c>
      <c r="P885" t="str">
        <f t="shared" si="41"/>
        <v>Positive</v>
      </c>
    </row>
    <row r="886" spans="1:16" x14ac:dyDescent="0.3">
      <c r="A886" s="1">
        <v>44239</v>
      </c>
      <c r="B886">
        <v>55.65</v>
      </c>
      <c r="C886">
        <v>21971000</v>
      </c>
      <c r="D886">
        <v>-7.4999999999999997E-2</v>
      </c>
      <c r="E886">
        <v>53</v>
      </c>
      <c r="F886">
        <v>2.83</v>
      </c>
      <c r="G886">
        <v>0.30990000000000001</v>
      </c>
      <c r="H886">
        <v>0</v>
      </c>
      <c r="J886">
        <v>1</v>
      </c>
      <c r="K886">
        <f>YEAR(NetflixData[[#This Row],[date]])</f>
        <v>2021</v>
      </c>
      <c r="L886" t="str">
        <f>TEXT(NetflixData[[#This Row],[date]],"mmm")</f>
        <v>Feb</v>
      </c>
      <c r="M886" t="str">
        <f>TEXT(NetflixData[[#This Row],[date]],"mmm yyyy")</f>
        <v>Feb 2021</v>
      </c>
      <c r="N886" t="str">
        <f t="shared" si="39"/>
        <v>Non-Trading Day</v>
      </c>
      <c r="O886" t="str">
        <f t="shared" si="40"/>
        <v>Negative</v>
      </c>
      <c r="P886" t="str">
        <f t="shared" si="41"/>
        <v>Positive</v>
      </c>
    </row>
    <row r="887" spans="1:16" x14ac:dyDescent="0.3">
      <c r="A887" s="1">
        <v>44240</v>
      </c>
      <c r="B887">
        <v>55.65</v>
      </c>
      <c r="C887">
        <v>0</v>
      </c>
      <c r="D887">
        <v>0</v>
      </c>
      <c r="E887">
        <v>52</v>
      </c>
      <c r="F887">
        <v>2.85</v>
      </c>
      <c r="G887">
        <v>0.17680000000000001</v>
      </c>
      <c r="H887">
        <v>0</v>
      </c>
      <c r="J887">
        <v>0</v>
      </c>
      <c r="K887">
        <f>YEAR(NetflixData[[#This Row],[date]])</f>
        <v>2021</v>
      </c>
      <c r="L887" t="str">
        <f>TEXT(NetflixData[[#This Row],[date]],"mmm")</f>
        <v>Feb</v>
      </c>
      <c r="M887" t="str">
        <f>TEXT(NetflixData[[#This Row],[date]],"mmm yyyy")</f>
        <v>Feb 2021</v>
      </c>
      <c r="N887" t="str">
        <f t="shared" si="39"/>
        <v>Non-Trading Day</v>
      </c>
      <c r="O887" t="str">
        <f t="shared" si="40"/>
        <v>No Change</v>
      </c>
      <c r="P887" t="str">
        <f t="shared" si="41"/>
        <v>Positive</v>
      </c>
    </row>
    <row r="888" spans="1:16" x14ac:dyDescent="0.3">
      <c r="A888" s="1">
        <v>44241</v>
      </c>
      <c r="B888">
        <v>55.65</v>
      </c>
      <c r="C888">
        <v>0</v>
      </c>
      <c r="D888">
        <v>0</v>
      </c>
      <c r="E888">
        <v>55</v>
      </c>
      <c r="F888">
        <v>2.82</v>
      </c>
      <c r="G888">
        <v>0.19769999999999999</v>
      </c>
      <c r="H888">
        <v>0</v>
      </c>
      <c r="J888">
        <v>0</v>
      </c>
      <c r="K888">
        <f>YEAR(NetflixData[[#This Row],[date]])</f>
        <v>2021</v>
      </c>
      <c r="L888" t="str">
        <f>TEXT(NetflixData[[#This Row],[date]],"mmm")</f>
        <v>Feb</v>
      </c>
      <c r="M888" t="str">
        <f>TEXT(NetflixData[[#This Row],[date]],"mmm yyyy")</f>
        <v>Feb 2021</v>
      </c>
      <c r="N888" t="str">
        <f t="shared" si="39"/>
        <v>Non-Trading Day</v>
      </c>
      <c r="O888" t="str">
        <f t="shared" si="40"/>
        <v>No Change</v>
      </c>
      <c r="P888" t="str">
        <f t="shared" si="41"/>
        <v>Positive</v>
      </c>
    </row>
    <row r="889" spans="1:16" x14ac:dyDescent="0.3">
      <c r="A889" s="1">
        <v>44242</v>
      </c>
      <c r="B889">
        <v>55.65</v>
      </c>
      <c r="C889">
        <v>0</v>
      </c>
      <c r="D889">
        <v>0</v>
      </c>
      <c r="E889">
        <v>54</v>
      </c>
      <c r="F889">
        <v>3.24</v>
      </c>
      <c r="G889">
        <v>0.23180000000000001</v>
      </c>
      <c r="H889">
        <v>0</v>
      </c>
      <c r="J889">
        <v>0</v>
      </c>
      <c r="K889">
        <f>YEAR(NetflixData[[#This Row],[date]])</f>
        <v>2021</v>
      </c>
      <c r="L889" t="str">
        <f>TEXT(NetflixData[[#This Row],[date]],"mmm")</f>
        <v>Feb</v>
      </c>
      <c r="M889" t="str">
        <f>TEXT(NetflixData[[#This Row],[date]],"mmm yyyy")</f>
        <v>Feb 2021</v>
      </c>
      <c r="N889" t="str">
        <f t="shared" si="39"/>
        <v>Trading Day</v>
      </c>
      <c r="O889" t="str">
        <f t="shared" si="40"/>
        <v>No Change</v>
      </c>
      <c r="P889" t="str">
        <f t="shared" si="41"/>
        <v>Positive</v>
      </c>
    </row>
    <row r="890" spans="1:16" x14ac:dyDescent="0.3">
      <c r="A890" s="1">
        <v>44243</v>
      </c>
      <c r="B890">
        <v>55.73</v>
      </c>
      <c r="C890">
        <v>26241000</v>
      </c>
      <c r="D890">
        <v>-2E-3</v>
      </c>
      <c r="E890">
        <v>70</v>
      </c>
      <c r="F890">
        <v>3.46</v>
      </c>
      <c r="G890">
        <v>0.39360000000000001</v>
      </c>
      <c r="H890">
        <v>0</v>
      </c>
      <c r="J890">
        <v>1</v>
      </c>
      <c r="K890">
        <f>YEAR(NetflixData[[#This Row],[date]])</f>
        <v>2021</v>
      </c>
      <c r="L890" t="str">
        <f>TEXT(NetflixData[[#This Row],[date]],"mmm")</f>
        <v>Feb</v>
      </c>
      <c r="M890" t="str">
        <f>TEXT(NetflixData[[#This Row],[date]],"mmm yyyy")</f>
        <v>Feb 2021</v>
      </c>
      <c r="N890" t="str">
        <f t="shared" si="39"/>
        <v>Trading Day</v>
      </c>
      <c r="O890" t="str">
        <f t="shared" si="40"/>
        <v>Negative</v>
      </c>
      <c r="P890" t="str">
        <f t="shared" si="41"/>
        <v>Positive</v>
      </c>
    </row>
    <row r="891" spans="1:16" x14ac:dyDescent="0.3">
      <c r="A891" s="1">
        <v>44244</v>
      </c>
      <c r="B891">
        <v>55.13</v>
      </c>
      <c r="C891">
        <v>20696000</v>
      </c>
      <c r="D891">
        <v>6.4000000000000001E-2</v>
      </c>
      <c r="E891">
        <v>60</v>
      </c>
      <c r="F891">
        <v>3</v>
      </c>
      <c r="G891">
        <v>0.1925</v>
      </c>
      <c r="H891">
        <v>0</v>
      </c>
      <c r="J891">
        <v>1</v>
      </c>
      <c r="K891">
        <f>YEAR(NetflixData[[#This Row],[date]])</f>
        <v>2021</v>
      </c>
      <c r="L891" t="str">
        <f>TEXT(NetflixData[[#This Row],[date]],"mmm")</f>
        <v>Feb</v>
      </c>
      <c r="M891" t="str">
        <f>TEXT(NetflixData[[#This Row],[date]],"mmm yyyy")</f>
        <v>Feb 2021</v>
      </c>
      <c r="N891" t="str">
        <f t="shared" si="39"/>
        <v>Trading Day</v>
      </c>
      <c r="O891" t="str">
        <f t="shared" si="40"/>
        <v>Positive</v>
      </c>
      <c r="P891" t="str">
        <f t="shared" si="41"/>
        <v>Positive</v>
      </c>
    </row>
    <row r="892" spans="1:16" x14ac:dyDescent="0.3">
      <c r="A892" s="1">
        <v>44245</v>
      </c>
      <c r="B892">
        <v>54.82</v>
      </c>
      <c r="C892">
        <v>24562000</v>
      </c>
      <c r="D892">
        <v>-0.14199999999999999</v>
      </c>
      <c r="E892">
        <v>65</v>
      </c>
      <c r="F892">
        <v>3.45</v>
      </c>
      <c r="G892">
        <v>0.2228</v>
      </c>
      <c r="H892">
        <v>0</v>
      </c>
      <c r="J892">
        <v>1</v>
      </c>
      <c r="K892">
        <f>YEAR(NetflixData[[#This Row],[date]])</f>
        <v>2021</v>
      </c>
      <c r="L892" t="str">
        <f>TEXT(NetflixData[[#This Row],[date]],"mmm")</f>
        <v>Feb</v>
      </c>
      <c r="M892" t="str">
        <f>TEXT(NetflixData[[#This Row],[date]],"mmm yyyy")</f>
        <v>Feb 2021</v>
      </c>
      <c r="N892" t="str">
        <f t="shared" si="39"/>
        <v>Trading Day</v>
      </c>
      <c r="O892" t="str">
        <f t="shared" si="40"/>
        <v>Negative</v>
      </c>
      <c r="P892" t="str">
        <f t="shared" si="41"/>
        <v>Positive</v>
      </c>
    </row>
    <row r="893" spans="1:16" x14ac:dyDescent="0.3">
      <c r="A893" s="1">
        <v>44246</v>
      </c>
      <c r="B893">
        <v>54.02</v>
      </c>
      <c r="C893">
        <v>28415000</v>
      </c>
      <c r="D893">
        <v>-1.42</v>
      </c>
      <c r="E893">
        <v>66</v>
      </c>
      <c r="F893">
        <v>3.33</v>
      </c>
      <c r="G893">
        <v>0.2069</v>
      </c>
      <c r="H893">
        <v>0</v>
      </c>
      <c r="J893">
        <v>1</v>
      </c>
      <c r="K893">
        <f>YEAR(NetflixData[[#This Row],[date]])</f>
        <v>2021</v>
      </c>
      <c r="L893" t="str">
        <f>TEXT(NetflixData[[#This Row],[date]],"mmm")</f>
        <v>Feb</v>
      </c>
      <c r="M893" t="str">
        <f>TEXT(NetflixData[[#This Row],[date]],"mmm yyyy")</f>
        <v>Feb 2021</v>
      </c>
      <c r="N893" t="str">
        <f t="shared" si="39"/>
        <v>Non-Trading Day</v>
      </c>
      <c r="O893" t="str">
        <f t="shared" si="40"/>
        <v>Negative</v>
      </c>
      <c r="P893" t="str">
        <f t="shared" si="41"/>
        <v>Positive</v>
      </c>
    </row>
    <row r="894" spans="1:16" x14ac:dyDescent="0.3">
      <c r="A894" s="1">
        <v>44247</v>
      </c>
      <c r="B894">
        <v>54.02</v>
      </c>
      <c r="C894">
        <v>0</v>
      </c>
      <c r="D894">
        <v>0</v>
      </c>
      <c r="E894">
        <v>55</v>
      </c>
      <c r="F894">
        <v>3.15</v>
      </c>
      <c r="G894">
        <v>0.20380000000000001</v>
      </c>
      <c r="H894">
        <v>0</v>
      </c>
      <c r="J894">
        <v>0</v>
      </c>
      <c r="K894">
        <f>YEAR(NetflixData[[#This Row],[date]])</f>
        <v>2021</v>
      </c>
      <c r="L894" t="str">
        <f>TEXT(NetflixData[[#This Row],[date]],"mmm")</f>
        <v>Feb</v>
      </c>
      <c r="M894" t="str">
        <f>TEXT(NetflixData[[#This Row],[date]],"mmm yyyy")</f>
        <v>Feb 2021</v>
      </c>
      <c r="N894" t="str">
        <f t="shared" si="39"/>
        <v>Non-Trading Day</v>
      </c>
      <c r="O894" t="str">
        <f t="shared" si="40"/>
        <v>No Change</v>
      </c>
      <c r="P894" t="str">
        <f t="shared" si="41"/>
        <v>Positive</v>
      </c>
    </row>
    <row r="895" spans="1:16" x14ac:dyDescent="0.3">
      <c r="A895" s="1">
        <v>44248</v>
      </c>
      <c r="B895">
        <v>54.02</v>
      </c>
      <c r="C895">
        <v>0</v>
      </c>
      <c r="D895">
        <v>0</v>
      </c>
      <c r="E895">
        <v>58</v>
      </c>
      <c r="F895">
        <v>2.9</v>
      </c>
      <c r="G895">
        <v>0.19650000000000001</v>
      </c>
      <c r="H895">
        <v>0</v>
      </c>
      <c r="J895">
        <v>0</v>
      </c>
      <c r="K895">
        <f>YEAR(NetflixData[[#This Row],[date]])</f>
        <v>2021</v>
      </c>
      <c r="L895" t="str">
        <f>TEXT(NetflixData[[#This Row],[date]],"mmm")</f>
        <v>Feb</v>
      </c>
      <c r="M895" t="str">
        <f>TEXT(NetflixData[[#This Row],[date]],"mmm yyyy")</f>
        <v>Feb 2021</v>
      </c>
      <c r="N895" t="str">
        <f t="shared" si="39"/>
        <v>Trading Day</v>
      </c>
      <c r="O895" t="str">
        <f t="shared" si="40"/>
        <v>No Change</v>
      </c>
      <c r="P895" t="str">
        <f t="shared" si="41"/>
        <v>Positive</v>
      </c>
    </row>
    <row r="896" spans="1:16" x14ac:dyDescent="0.3">
      <c r="A896" s="1">
        <v>44249</v>
      </c>
      <c r="B896">
        <v>53.38</v>
      </c>
      <c r="C896">
        <v>30786000</v>
      </c>
      <c r="D896">
        <v>-0.22600000000000001</v>
      </c>
      <c r="E896">
        <v>52</v>
      </c>
      <c r="F896">
        <v>3.15</v>
      </c>
      <c r="G896">
        <v>0.25440000000000002</v>
      </c>
      <c r="H896">
        <v>0</v>
      </c>
      <c r="J896">
        <v>1</v>
      </c>
      <c r="K896">
        <f>YEAR(NetflixData[[#This Row],[date]])</f>
        <v>2021</v>
      </c>
      <c r="L896" t="str">
        <f>TEXT(NetflixData[[#This Row],[date]],"mmm")</f>
        <v>Feb</v>
      </c>
      <c r="M896" t="str">
        <f>TEXT(NetflixData[[#This Row],[date]],"mmm yyyy")</f>
        <v>Feb 2021</v>
      </c>
      <c r="N896" t="str">
        <f t="shared" si="39"/>
        <v>Trading Day</v>
      </c>
      <c r="O896" t="str">
        <f t="shared" si="40"/>
        <v>Negative</v>
      </c>
      <c r="P896" t="str">
        <f t="shared" si="41"/>
        <v>Positive</v>
      </c>
    </row>
    <row r="897" spans="1:16" x14ac:dyDescent="0.3">
      <c r="A897" s="1">
        <v>44250</v>
      </c>
      <c r="B897">
        <v>54.62</v>
      </c>
      <c r="C897">
        <v>41365000</v>
      </c>
      <c r="D897">
        <v>4.0289999999999999</v>
      </c>
      <c r="E897">
        <v>53</v>
      </c>
      <c r="F897">
        <v>3.04</v>
      </c>
      <c r="G897">
        <v>0.1961</v>
      </c>
      <c r="H897">
        <v>0</v>
      </c>
      <c r="J897">
        <v>1</v>
      </c>
      <c r="K897">
        <f>YEAR(NetflixData[[#This Row],[date]])</f>
        <v>2021</v>
      </c>
      <c r="L897" t="str">
        <f>TEXT(NetflixData[[#This Row],[date]],"mmm")</f>
        <v>Feb</v>
      </c>
      <c r="M897" t="str">
        <f>TEXT(NetflixData[[#This Row],[date]],"mmm yyyy")</f>
        <v>Feb 2021</v>
      </c>
      <c r="N897" t="str">
        <f t="shared" si="39"/>
        <v>Trading Day</v>
      </c>
      <c r="O897" t="str">
        <f t="shared" si="40"/>
        <v>Positive</v>
      </c>
      <c r="P897" t="str">
        <f t="shared" si="41"/>
        <v>Positive</v>
      </c>
    </row>
    <row r="898" spans="1:16" x14ac:dyDescent="0.3">
      <c r="A898" s="1">
        <v>44251</v>
      </c>
      <c r="B898">
        <v>55.34</v>
      </c>
      <c r="C898">
        <v>32450000</v>
      </c>
      <c r="D898">
        <v>2.5209999999999999</v>
      </c>
      <c r="E898">
        <v>35</v>
      </c>
      <c r="F898">
        <v>2.69</v>
      </c>
      <c r="G898">
        <v>0.16070000000000001</v>
      </c>
      <c r="H898">
        <v>0</v>
      </c>
      <c r="J898">
        <v>1</v>
      </c>
      <c r="K898">
        <f>YEAR(NetflixData[[#This Row],[date]])</f>
        <v>2021</v>
      </c>
      <c r="L898" t="str">
        <f>TEXT(NetflixData[[#This Row],[date]],"mmm")</f>
        <v>Feb</v>
      </c>
      <c r="M898" t="str">
        <f>TEXT(NetflixData[[#This Row],[date]],"mmm yyyy")</f>
        <v>Feb 2021</v>
      </c>
      <c r="N898" t="str">
        <f t="shared" ref="N898:N961" si="42">IF(J899=1,"Trading Day","Non-Trading Day")</f>
        <v>Trading Day</v>
      </c>
      <c r="O898" t="str">
        <f t="shared" ref="O898:O961" si="43">IF(D898&gt;0,"Positive",IF(D898&lt;0,"Negative","No Change"))</f>
        <v>Positive</v>
      </c>
      <c r="P898" t="str">
        <f t="shared" ref="P898:P961" si="44">IF(G898&gt;0.1,"Positive",IF(G898&lt;-0.1,"Negative","Neutral"))</f>
        <v>Positive</v>
      </c>
    </row>
    <row r="899" spans="1:16" x14ac:dyDescent="0.3">
      <c r="A899" s="1">
        <v>44252</v>
      </c>
      <c r="B899">
        <v>54.67</v>
      </c>
      <c r="C899">
        <v>42529000</v>
      </c>
      <c r="D899">
        <v>-0.64900000000000002</v>
      </c>
      <c r="E899">
        <v>57</v>
      </c>
      <c r="F899">
        <v>3.16</v>
      </c>
      <c r="G899">
        <v>0.35709999999999997</v>
      </c>
      <c r="H899">
        <v>0</v>
      </c>
      <c r="J899">
        <v>1</v>
      </c>
      <c r="K899">
        <f>YEAR(NetflixData[[#This Row],[date]])</f>
        <v>2021</v>
      </c>
      <c r="L899" t="str">
        <f>TEXT(NetflixData[[#This Row],[date]],"mmm")</f>
        <v>Feb</v>
      </c>
      <c r="M899" t="str">
        <f>TEXT(NetflixData[[#This Row],[date]],"mmm yyyy")</f>
        <v>Feb 2021</v>
      </c>
      <c r="N899" t="str">
        <f t="shared" si="42"/>
        <v>Trading Day</v>
      </c>
      <c r="O899" t="str">
        <f t="shared" si="43"/>
        <v>Negative</v>
      </c>
      <c r="P899" t="str">
        <f t="shared" si="44"/>
        <v>Positive</v>
      </c>
    </row>
    <row r="900" spans="1:16" x14ac:dyDescent="0.3">
      <c r="A900" s="1">
        <v>44253</v>
      </c>
      <c r="B900">
        <v>53.88</v>
      </c>
      <c r="C900">
        <v>37556000</v>
      </c>
      <c r="D900">
        <v>-1.4019999999999999</v>
      </c>
      <c r="E900">
        <v>56</v>
      </c>
      <c r="F900">
        <v>3.32</v>
      </c>
      <c r="G900">
        <v>0.33029999999999998</v>
      </c>
      <c r="H900">
        <v>0</v>
      </c>
      <c r="J900">
        <v>1</v>
      </c>
      <c r="K900">
        <f>YEAR(NetflixData[[#This Row],[date]])</f>
        <v>2021</v>
      </c>
      <c r="L900" t="str">
        <f>TEXT(NetflixData[[#This Row],[date]],"mmm")</f>
        <v>Feb</v>
      </c>
      <c r="M900" t="str">
        <f>TEXT(NetflixData[[#This Row],[date]],"mmm yyyy")</f>
        <v>Feb 2021</v>
      </c>
      <c r="N900" t="str">
        <f t="shared" si="42"/>
        <v>Non-Trading Day</v>
      </c>
      <c r="O900" t="str">
        <f t="shared" si="43"/>
        <v>Negative</v>
      </c>
      <c r="P900" t="str">
        <f t="shared" si="44"/>
        <v>Positive</v>
      </c>
    </row>
    <row r="901" spans="1:16" x14ac:dyDescent="0.3">
      <c r="A901" s="1">
        <v>44254</v>
      </c>
      <c r="B901">
        <v>53.88</v>
      </c>
      <c r="C901">
        <v>0</v>
      </c>
      <c r="D901">
        <v>0</v>
      </c>
      <c r="E901">
        <v>57</v>
      </c>
      <c r="F901">
        <v>2.93</v>
      </c>
      <c r="G901">
        <v>0.30149999999999999</v>
      </c>
      <c r="H901">
        <v>0</v>
      </c>
      <c r="J901">
        <v>0</v>
      </c>
      <c r="K901">
        <f>YEAR(NetflixData[[#This Row],[date]])</f>
        <v>2021</v>
      </c>
      <c r="L901" t="str">
        <f>TEXT(NetflixData[[#This Row],[date]],"mmm")</f>
        <v>Feb</v>
      </c>
      <c r="M901" t="str">
        <f>TEXT(NetflixData[[#This Row],[date]],"mmm yyyy")</f>
        <v>Feb 2021</v>
      </c>
      <c r="N901" t="str">
        <f t="shared" si="42"/>
        <v>Non-Trading Day</v>
      </c>
      <c r="O901" t="str">
        <f t="shared" si="43"/>
        <v>No Change</v>
      </c>
      <c r="P901" t="str">
        <f t="shared" si="44"/>
        <v>Positive</v>
      </c>
    </row>
    <row r="902" spans="1:16" x14ac:dyDescent="0.3">
      <c r="A902" s="1">
        <v>44255</v>
      </c>
      <c r="B902">
        <v>53.88</v>
      </c>
      <c r="C902">
        <v>0</v>
      </c>
      <c r="D902">
        <v>0</v>
      </c>
      <c r="E902">
        <v>59</v>
      </c>
      <c r="F902">
        <v>3.08</v>
      </c>
      <c r="G902">
        <v>0.31879999999999997</v>
      </c>
      <c r="H902">
        <v>0</v>
      </c>
      <c r="J902">
        <v>0</v>
      </c>
      <c r="K902">
        <f>YEAR(NetflixData[[#This Row],[date]])</f>
        <v>2021</v>
      </c>
      <c r="L902" t="str">
        <f>TEXT(NetflixData[[#This Row],[date]],"mmm")</f>
        <v>Feb</v>
      </c>
      <c r="M902" t="str">
        <f>TEXT(NetflixData[[#This Row],[date]],"mmm yyyy")</f>
        <v>Feb 2021</v>
      </c>
      <c r="N902" t="str">
        <f t="shared" si="42"/>
        <v>Trading Day</v>
      </c>
      <c r="O902" t="str">
        <f t="shared" si="43"/>
        <v>No Change</v>
      </c>
      <c r="P902" t="str">
        <f t="shared" si="44"/>
        <v>Positive</v>
      </c>
    </row>
    <row r="903" spans="1:16" x14ac:dyDescent="0.3">
      <c r="A903" s="1">
        <v>44256</v>
      </c>
      <c r="B903">
        <v>55.06</v>
      </c>
      <c r="C903">
        <v>30414000</v>
      </c>
      <c r="D903">
        <v>0.92900000000000005</v>
      </c>
      <c r="E903">
        <v>52</v>
      </c>
      <c r="F903">
        <v>2.79</v>
      </c>
      <c r="G903">
        <v>0.29970000000000002</v>
      </c>
      <c r="H903">
        <v>0</v>
      </c>
      <c r="J903">
        <v>1</v>
      </c>
      <c r="K903">
        <f>YEAR(NetflixData[[#This Row],[date]])</f>
        <v>2021</v>
      </c>
      <c r="L903" t="str">
        <f>TEXT(NetflixData[[#This Row],[date]],"mmm")</f>
        <v>Mar</v>
      </c>
      <c r="M903" t="str">
        <f>TEXT(NetflixData[[#This Row],[date]],"mmm yyyy")</f>
        <v>Mar 2021</v>
      </c>
      <c r="N903" t="str">
        <f t="shared" si="42"/>
        <v>Trading Day</v>
      </c>
      <c r="O903" t="str">
        <f t="shared" si="43"/>
        <v>Positive</v>
      </c>
      <c r="P903" t="str">
        <f t="shared" si="44"/>
        <v>Positive</v>
      </c>
    </row>
    <row r="904" spans="1:16" x14ac:dyDescent="0.3">
      <c r="A904" s="1">
        <v>44257</v>
      </c>
      <c r="B904">
        <v>54.78</v>
      </c>
      <c r="C904">
        <v>30422000</v>
      </c>
      <c r="D904">
        <v>-0.998</v>
      </c>
      <c r="E904">
        <v>61</v>
      </c>
      <c r="F904">
        <v>3</v>
      </c>
      <c r="G904">
        <v>0.36270000000000002</v>
      </c>
      <c r="H904">
        <v>0</v>
      </c>
      <c r="J904">
        <v>1</v>
      </c>
      <c r="K904">
        <f>YEAR(NetflixData[[#This Row],[date]])</f>
        <v>2021</v>
      </c>
      <c r="L904" t="str">
        <f>TEXT(NetflixData[[#This Row],[date]],"mmm")</f>
        <v>Mar</v>
      </c>
      <c r="M904" t="str">
        <f>TEXT(NetflixData[[#This Row],[date]],"mmm yyyy")</f>
        <v>Mar 2021</v>
      </c>
      <c r="N904" t="str">
        <f t="shared" si="42"/>
        <v>Trading Day</v>
      </c>
      <c r="O904" t="str">
        <f t="shared" si="43"/>
        <v>Negative</v>
      </c>
      <c r="P904" t="str">
        <f t="shared" si="44"/>
        <v>Positive</v>
      </c>
    </row>
    <row r="905" spans="1:16" x14ac:dyDescent="0.3">
      <c r="A905" s="1">
        <v>44258</v>
      </c>
      <c r="B905">
        <v>52.07</v>
      </c>
      <c r="C905">
        <v>53624000</v>
      </c>
      <c r="D905">
        <v>-4.6210000000000004</v>
      </c>
      <c r="E905">
        <v>62</v>
      </c>
      <c r="F905">
        <v>3.23</v>
      </c>
      <c r="G905">
        <v>0.40560000000000002</v>
      </c>
      <c r="H905">
        <v>0</v>
      </c>
      <c r="J905">
        <v>1</v>
      </c>
      <c r="K905">
        <f>YEAR(NetflixData[[#This Row],[date]])</f>
        <v>2021</v>
      </c>
      <c r="L905" t="str">
        <f>TEXT(NetflixData[[#This Row],[date]],"mmm")</f>
        <v>Mar</v>
      </c>
      <c r="M905" t="str">
        <f>TEXT(NetflixData[[#This Row],[date]],"mmm yyyy")</f>
        <v>Mar 2021</v>
      </c>
      <c r="N905" t="str">
        <f t="shared" si="42"/>
        <v>Trading Day</v>
      </c>
      <c r="O905" t="str">
        <f t="shared" si="43"/>
        <v>Negative</v>
      </c>
      <c r="P905" t="str">
        <f t="shared" si="44"/>
        <v>Positive</v>
      </c>
    </row>
    <row r="906" spans="1:16" x14ac:dyDescent="0.3">
      <c r="A906" s="1">
        <v>44259</v>
      </c>
      <c r="B906">
        <v>51.13</v>
      </c>
      <c r="C906">
        <v>50348000</v>
      </c>
      <c r="D906">
        <v>-1.958</v>
      </c>
      <c r="E906">
        <v>52</v>
      </c>
      <c r="F906">
        <v>2.88</v>
      </c>
      <c r="G906">
        <v>0.24740000000000001</v>
      </c>
      <c r="H906">
        <v>0</v>
      </c>
      <c r="J906">
        <v>1</v>
      </c>
      <c r="K906">
        <f>YEAR(NetflixData[[#This Row],[date]])</f>
        <v>2021</v>
      </c>
      <c r="L906" t="str">
        <f>TEXT(NetflixData[[#This Row],[date]],"mmm")</f>
        <v>Mar</v>
      </c>
      <c r="M906" t="str">
        <f>TEXT(NetflixData[[#This Row],[date]],"mmm yyyy")</f>
        <v>Mar 2021</v>
      </c>
      <c r="N906" t="str">
        <f t="shared" si="42"/>
        <v>Trading Day</v>
      </c>
      <c r="O906" t="str">
        <f t="shared" si="43"/>
        <v>Negative</v>
      </c>
      <c r="P906" t="str">
        <f t="shared" si="44"/>
        <v>Positive</v>
      </c>
    </row>
    <row r="907" spans="1:16" x14ac:dyDescent="0.3">
      <c r="A907" s="1">
        <v>44260</v>
      </c>
      <c r="B907">
        <v>51.64</v>
      </c>
      <c r="C907">
        <v>50700000</v>
      </c>
      <c r="D907">
        <v>0.86099999999999999</v>
      </c>
      <c r="E907">
        <v>122</v>
      </c>
      <c r="F907">
        <v>3.69</v>
      </c>
      <c r="G907">
        <v>0.39319999999999999</v>
      </c>
      <c r="H907">
        <v>0</v>
      </c>
      <c r="J907">
        <v>1</v>
      </c>
      <c r="K907">
        <f>YEAR(NetflixData[[#This Row],[date]])</f>
        <v>2021</v>
      </c>
      <c r="L907" t="str">
        <f>TEXT(NetflixData[[#This Row],[date]],"mmm")</f>
        <v>Mar</v>
      </c>
      <c r="M907" t="str">
        <f>TEXT(NetflixData[[#This Row],[date]],"mmm yyyy")</f>
        <v>Mar 2021</v>
      </c>
      <c r="N907" t="str">
        <f t="shared" si="42"/>
        <v>Non-Trading Day</v>
      </c>
      <c r="O907" t="str">
        <f t="shared" si="43"/>
        <v>Positive</v>
      </c>
      <c r="P907" t="str">
        <f t="shared" si="44"/>
        <v>Positive</v>
      </c>
    </row>
    <row r="908" spans="1:16" x14ac:dyDescent="0.3">
      <c r="A908" s="1">
        <v>44261</v>
      </c>
      <c r="B908">
        <v>51.64</v>
      </c>
      <c r="C908">
        <v>0</v>
      </c>
      <c r="D908">
        <v>0</v>
      </c>
      <c r="E908">
        <v>85</v>
      </c>
      <c r="F908">
        <v>3.41</v>
      </c>
      <c r="G908">
        <v>0.35199999999999998</v>
      </c>
      <c r="H908">
        <v>0</v>
      </c>
      <c r="J908">
        <v>0</v>
      </c>
      <c r="K908">
        <f>YEAR(NetflixData[[#This Row],[date]])</f>
        <v>2021</v>
      </c>
      <c r="L908" t="str">
        <f>TEXT(NetflixData[[#This Row],[date]],"mmm")</f>
        <v>Mar</v>
      </c>
      <c r="M908" t="str">
        <f>TEXT(NetflixData[[#This Row],[date]],"mmm yyyy")</f>
        <v>Mar 2021</v>
      </c>
      <c r="N908" t="str">
        <f t="shared" si="42"/>
        <v>Non-Trading Day</v>
      </c>
      <c r="O908" t="str">
        <f t="shared" si="43"/>
        <v>No Change</v>
      </c>
      <c r="P908" t="str">
        <f t="shared" si="44"/>
        <v>Positive</v>
      </c>
    </row>
    <row r="909" spans="1:16" x14ac:dyDescent="0.3">
      <c r="A909" s="1">
        <v>44262</v>
      </c>
      <c r="B909">
        <v>51.64</v>
      </c>
      <c r="C909">
        <v>0</v>
      </c>
      <c r="D909">
        <v>0</v>
      </c>
      <c r="E909">
        <v>79</v>
      </c>
      <c r="F909">
        <v>3.32</v>
      </c>
      <c r="G909">
        <v>0.32340000000000002</v>
      </c>
      <c r="H909">
        <v>0</v>
      </c>
      <c r="J909">
        <v>0</v>
      </c>
      <c r="K909">
        <f>YEAR(NetflixData[[#This Row],[date]])</f>
        <v>2021</v>
      </c>
      <c r="L909" t="str">
        <f>TEXT(NetflixData[[#This Row],[date]],"mmm")</f>
        <v>Mar</v>
      </c>
      <c r="M909" t="str">
        <f>TEXT(NetflixData[[#This Row],[date]],"mmm yyyy")</f>
        <v>Mar 2021</v>
      </c>
      <c r="N909" t="str">
        <f t="shared" si="42"/>
        <v>Trading Day</v>
      </c>
      <c r="O909" t="str">
        <f t="shared" si="43"/>
        <v>No Change</v>
      </c>
      <c r="P909" t="str">
        <f t="shared" si="44"/>
        <v>Positive</v>
      </c>
    </row>
    <row r="910" spans="1:16" x14ac:dyDescent="0.3">
      <c r="A910" s="1">
        <v>44263</v>
      </c>
      <c r="B910">
        <v>49.33</v>
      </c>
      <c r="C910">
        <v>39818000</v>
      </c>
      <c r="D910">
        <v>-4.1070000000000002</v>
      </c>
      <c r="E910">
        <v>53</v>
      </c>
      <c r="F910">
        <v>3.45</v>
      </c>
      <c r="G910">
        <v>0.30620000000000003</v>
      </c>
      <c r="H910">
        <v>0</v>
      </c>
      <c r="J910">
        <v>1</v>
      </c>
      <c r="K910">
        <f>YEAR(NetflixData[[#This Row],[date]])</f>
        <v>2021</v>
      </c>
      <c r="L910" t="str">
        <f>TEXT(NetflixData[[#This Row],[date]],"mmm")</f>
        <v>Mar</v>
      </c>
      <c r="M910" t="str">
        <f>TEXT(NetflixData[[#This Row],[date]],"mmm yyyy")</f>
        <v>Mar 2021</v>
      </c>
      <c r="N910" t="str">
        <f t="shared" si="42"/>
        <v>Trading Day</v>
      </c>
      <c r="O910" t="str">
        <f t="shared" si="43"/>
        <v>Negative</v>
      </c>
      <c r="P910" t="str">
        <f t="shared" si="44"/>
        <v>Positive</v>
      </c>
    </row>
    <row r="911" spans="1:16" x14ac:dyDescent="0.3">
      <c r="A911" s="1">
        <v>44264</v>
      </c>
      <c r="B911">
        <v>50.64</v>
      </c>
      <c r="C911">
        <v>34700000</v>
      </c>
      <c r="D911">
        <v>-0.17100000000000001</v>
      </c>
      <c r="E911">
        <v>66</v>
      </c>
      <c r="F911">
        <v>3.48</v>
      </c>
      <c r="G911">
        <v>0.4128</v>
      </c>
      <c r="H911">
        <v>0</v>
      </c>
      <c r="J911">
        <v>1</v>
      </c>
      <c r="K911">
        <f>YEAR(NetflixData[[#This Row],[date]])</f>
        <v>2021</v>
      </c>
      <c r="L911" t="str">
        <f>TEXT(NetflixData[[#This Row],[date]],"mmm")</f>
        <v>Mar</v>
      </c>
      <c r="M911" t="str">
        <f>TEXT(NetflixData[[#This Row],[date]],"mmm yyyy")</f>
        <v>Mar 2021</v>
      </c>
      <c r="N911" t="str">
        <f t="shared" si="42"/>
        <v>Trading Day</v>
      </c>
      <c r="O911" t="str">
        <f t="shared" si="43"/>
        <v>Negative</v>
      </c>
      <c r="P911" t="str">
        <f t="shared" si="44"/>
        <v>Positive</v>
      </c>
    </row>
    <row r="912" spans="1:16" x14ac:dyDescent="0.3">
      <c r="A912" s="1">
        <v>44265</v>
      </c>
      <c r="B912">
        <v>50.45</v>
      </c>
      <c r="C912">
        <v>37715000</v>
      </c>
      <c r="D912">
        <v>-1.7450000000000001</v>
      </c>
      <c r="E912">
        <v>54</v>
      </c>
      <c r="F912">
        <v>3.3</v>
      </c>
      <c r="G912">
        <v>0.31309999999999999</v>
      </c>
      <c r="H912">
        <v>0</v>
      </c>
      <c r="J912">
        <v>1</v>
      </c>
      <c r="K912">
        <f>YEAR(NetflixData[[#This Row],[date]])</f>
        <v>2021</v>
      </c>
      <c r="L912" t="str">
        <f>TEXT(NetflixData[[#This Row],[date]],"mmm")</f>
        <v>Mar</v>
      </c>
      <c r="M912" t="str">
        <f>TEXT(NetflixData[[#This Row],[date]],"mmm yyyy")</f>
        <v>Mar 2021</v>
      </c>
      <c r="N912" t="str">
        <f t="shared" si="42"/>
        <v>Trading Day</v>
      </c>
      <c r="O912" t="str">
        <f t="shared" si="43"/>
        <v>Negative</v>
      </c>
      <c r="P912" t="str">
        <f t="shared" si="44"/>
        <v>Positive</v>
      </c>
    </row>
    <row r="913" spans="1:16" x14ac:dyDescent="0.3">
      <c r="A913" s="1">
        <v>44266</v>
      </c>
      <c r="B913">
        <v>52.31</v>
      </c>
      <c r="C913">
        <v>47145000</v>
      </c>
      <c r="D913">
        <v>2.12</v>
      </c>
      <c r="E913">
        <v>53</v>
      </c>
      <c r="F913">
        <v>3.23</v>
      </c>
      <c r="G913">
        <v>0.1326</v>
      </c>
      <c r="H913">
        <v>0</v>
      </c>
      <c r="J913">
        <v>1</v>
      </c>
      <c r="K913">
        <f>YEAR(NetflixData[[#This Row],[date]])</f>
        <v>2021</v>
      </c>
      <c r="L913" t="str">
        <f>TEXT(NetflixData[[#This Row],[date]],"mmm")</f>
        <v>Mar</v>
      </c>
      <c r="M913" t="str">
        <f>TEXT(NetflixData[[#This Row],[date]],"mmm yyyy")</f>
        <v>Mar 2021</v>
      </c>
      <c r="N913" t="str">
        <f t="shared" si="42"/>
        <v>Trading Day</v>
      </c>
      <c r="O913" t="str">
        <f t="shared" si="43"/>
        <v>Positive</v>
      </c>
      <c r="P913" t="str">
        <f t="shared" si="44"/>
        <v>Positive</v>
      </c>
    </row>
    <row r="914" spans="1:16" x14ac:dyDescent="0.3">
      <c r="A914" s="1">
        <v>44267</v>
      </c>
      <c r="B914">
        <v>51.8</v>
      </c>
      <c r="C914">
        <v>39817000</v>
      </c>
      <c r="D914">
        <v>1.077</v>
      </c>
      <c r="E914">
        <v>63</v>
      </c>
      <c r="F914">
        <v>3.21</v>
      </c>
      <c r="G914">
        <v>0.30230000000000001</v>
      </c>
      <c r="H914">
        <v>0</v>
      </c>
      <c r="J914">
        <v>1</v>
      </c>
      <c r="K914">
        <f>YEAR(NetflixData[[#This Row],[date]])</f>
        <v>2021</v>
      </c>
      <c r="L914" t="str">
        <f>TEXT(NetflixData[[#This Row],[date]],"mmm")</f>
        <v>Mar</v>
      </c>
      <c r="M914" t="str">
        <f>TEXT(NetflixData[[#This Row],[date]],"mmm yyyy")</f>
        <v>Mar 2021</v>
      </c>
      <c r="N914" t="str">
        <f t="shared" si="42"/>
        <v>Non-Trading Day</v>
      </c>
      <c r="O914" t="str">
        <f t="shared" si="43"/>
        <v>Positive</v>
      </c>
      <c r="P914" t="str">
        <f t="shared" si="44"/>
        <v>Positive</v>
      </c>
    </row>
    <row r="915" spans="1:16" x14ac:dyDescent="0.3">
      <c r="A915" s="1">
        <v>44268</v>
      </c>
      <c r="B915">
        <v>51.8</v>
      </c>
      <c r="C915">
        <v>0</v>
      </c>
      <c r="D915">
        <v>0</v>
      </c>
      <c r="E915">
        <v>68</v>
      </c>
      <c r="F915">
        <v>3.41</v>
      </c>
      <c r="G915">
        <v>0.26869999999999999</v>
      </c>
      <c r="H915">
        <v>0</v>
      </c>
      <c r="J915">
        <v>0</v>
      </c>
      <c r="K915">
        <f>YEAR(NetflixData[[#This Row],[date]])</f>
        <v>2021</v>
      </c>
      <c r="L915" t="str">
        <f>TEXT(NetflixData[[#This Row],[date]],"mmm")</f>
        <v>Mar</v>
      </c>
      <c r="M915" t="str">
        <f>TEXT(NetflixData[[#This Row],[date]],"mmm yyyy")</f>
        <v>Mar 2021</v>
      </c>
      <c r="N915" t="str">
        <f t="shared" si="42"/>
        <v>Non-Trading Day</v>
      </c>
      <c r="O915" t="str">
        <f t="shared" si="43"/>
        <v>No Change</v>
      </c>
      <c r="P915" t="str">
        <f t="shared" si="44"/>
        <v>Positive</v>
      </c>
    </row>
    <row r="916" spans="1:16" x14ac:dyDescent="0.3">
      <c r="A916" s="1">
        <v>44269</v>
      </c>
      <c r="B916">
        <v>51.8</v>
      </c>
      <c r="C916">
        <v>0</v>
      </c>
      <c r="D916">
        <v>0</v>
      </c>
      <c r="E916">
        <v>63</v>
      </c>
      <c r="F916">
        <v>3.27</v>
      </c>
      <c r="G916">
        <v>0.2606</v>
      </c>
      <c r="H916">
        <v>0</v>
      </c>
      <c r="J916">
        <v>0</v>
      </c>
      <c r="K916">
        <f>YEAR(NetflixData[[#This Row],[date]])</f>
        <v>2021</v>
      </c>
      <c r="L916" t="str">
        <f>TEXT(NetflixData[[#This Row],[date]],"mmm")</f>
        <v>Mar</v>
      </c>
      <c r="M916" t="str">
        <f>TEXT(NetflixData[[#This Row],[date]],"mmm yyyy")</f>
        <v>Mar 2021</v>
      </c>
      <c r="N916" t="str">
        <f t="shared" si="42"/>
        <v>Trading Day</v>
      </c>
      <c r="O916" t="str">
        <f t="shared" si="43"/>
        <v>No Change</v>
      </c>
      <c r="P916" t="str">
        <f t="shared" si="44"/>
        <v>Positive</v>
      </c>
    </row>
    <row r="917" spans="1:16" x14ac:dyDescent="0.3">
      <c r="A917" s="1">
        <v>44270</v>
      </c>
      <c r="B917">
        <v>52.03</v>
      </c>
      <c r="C917">
        <v>34843000</v>
      </c>
      <c r="D917">
        <v>0.76100000000000001</v>
      </c>
      <c r="E917">
        <v>57</v>
      </c>
      <c r="F917">
        <v>3.49</v>
      </c>
      <c r="G917">
        <v>0.39410000000000001</v>
      </c>
      <c r="H917">
        <v>0</v>
      </c>
      <c r="J917">
        <v>1</v>
      </c>
      <c r="K917">
        <f>YEAR(NetflixData[[#This Row],[date]])</f>
        <v>2021</v>
      </c>
      <c r="L917" t="str">
        <f>TEXT(NetflixData[[#This Row],[date]],"mmm")</f>
        <v>Mar</v>
      </c>
      <c r="M917" t="str">
        <f>TEXT(NetflixData[[#This Row],[date]],"mmm yyyy")</f>
        <v>Mar 2021</v>
      </c>
      <c r="N917" t="str">
        <f t="shared" si="42"/>
        <v>Trading Day</v>
      </c>
      <c r="O917" t="str">
        <f t="shared" si="43"/>
        <v>Positive</v>
      </c>
      <c r="P917" t="str">
        <f t="shared" si="44"/>
        <v>Positive</v>
      </c>
    </row>
    <row r="918" spans="1:16" x14ac:dyDescent="0.3">
      <c r="A918" s="1">
        <v>44271</v>
      </c>
      <c r="B918">
        <v>52.4</v>
      </c>
      <c r="C918">
        <v>32389000</v>
      </c>
      <c r="D918">
        <v>-8.4000000000000005E-2</v>
      </c>
      <c r="E918">
        <v>64</v>
      </c>
      <c r="F918">
        <v>2.88</v>
      </c>
      <c r="G918">
        <v>0.1077</v>
      </c>
      <c r="H918">
        <v>0</v>
      </c>
      <c r="J918">
        <v>1</v>
      </c>
      <c r="K918">
        <f>YEAR(NetflixData[[#This Row],[date]])</f>
        <v>2021</v>
      </c>
      <c r="L918" t="str">
        <f>TEXT(NetflixData[[#This Row],[date]],"mmm")</f>
        <v>Mar</v>
      </c>
      <c r="M918" t="str">
        <f>TEXT(NetflixData[[#This Row],[date]],"mmm yyyy")</f>
        <v>Mar 2021</v>
      </c>
      <c r="N918" t="str">
        <f t="shared" si="42"/>
        <v>Trading Day</v>
      </c>
      <c r="O918" t="str">
        <f t="shared" si="43"/>
        <v>Negative</v>
      </c>
      <c r="P918" t="str">
        <f t="shared" si="44"/>
        <v>Positive</v>
      </c>
    </row>
    <row r="919" spans="1:16" x14ac:dyDescent="0.3">
      <c r="A919" s="1">
        <v>44272</v>
      </c>
      <c r="B919">
        <v>52.44</v>
      </c>
      <c r="C919">
        <v>28174000</v>
      </c>
      <c r="D919">
        <v>0.46700000000000003</v>
      </c>
      <c r="E919">
        <v>48</v>
      </c>
      <c r="F919">
        <v>3.42</v>
      </c>
      <c r="G919">
        <v>0.23799999999999999</v>
      </c>
      <c r="H919">
        <v>0</v>
      </c>
      <c r="J919">
        <v>1</v>
      </c>
      <c r="K919">
        <f>YEAR(NetflixData[[#This Row],[date]])</f>
        <v>2021</v>
      </c>
      <c r="L919" t="str">
        <f>TEXT(NetflixData[[#This Row],[date]],"mmm")</f>
        <v>Mar</v>
      </c>
      <c r="M919" t="str">
        <f>TEXT(NetflixData[[#This Row],[date]],"mmm yyyy")</f>
        <v>Mar 2021</v>
      </c>
      <c r="N919" t="str">
        <f t="shared" si="42"/>
        <v>Trading Day</v>
      </c>
      <c r="O919" t="str">
        <f t="shared" si="43"/>
        <v>Positive</v>
      </c>
      <c r="P919" t="str">
        <f t="shared" si="44"/>
        <v>Positive</v>
      </c>
    </row>
    <row r="920" spans="1:16" x14ac:dyDescent="0.3">
      <c r="A920" s="1">
        <v>44273</v>
      </c>
      <c r="B920">
        <v>50.48</v>
      </c>
      <c r="C920">
        <v>40945000</v>
      </c>
      <c r="D920">
        <v>-2.2480000000000002</v>
      </c>
      <c r="E920">
        <v>51</v>
      </c>
      <c r="F920">
        <v>3.08</v>
      </c>
      <c r="G920">
        <v>0.31230000000000002</v>
      </c>
      <c r="H920">
        <v>0</v>
      </c>
      <c r="J920">
        <v>1</v>
      </c>
      <c r="K920">
        <f>YEAR(NetflixData[[#This Row],[date]])</f>
        <v>2021</v>
      </c>
      <c r="L920" t="str">
        <f>TEXT(NetflixData[[#This Row],[date]],"mmm")</f>
        <v>Mar</v>
      </c>
      <c r="M920" t="str">
        <f>TEXT(NetflixData[[#This Row],[date]],"mmm yyyy")</f>
        <v>Mar 2021</v>
      </c>
      <c r="N920" t="str">
        <f t="shared" si="42"/>
        <v>Trading Day</v>
      </c>
      <c r="O920" t="str">
        <f t="shared" si="43"/>
        <v>Negative</v>
      </c>
      <c r="P920" t="str">
        <f t="shared" si="44"/>
        <v>Positive</v>
      </c>
    </row>
    <row r="921" spans="1:16" x14ac:dyDescent="0.3">
      <c r="A921" s="1">
        <v>44274</v>
      </c>
      <c r="B921">
        <v>51.22</v>
      </c>
      <c r="C921">
        <v>43864000</v>
      </c>
      <c r="D921">
        <v>1.43</v>
      </c>
      <c r="E921">
        <v>59</v>
      </c>
      <c r="F921">
        <v>3.54</v>
      </c>
      <c r="G921">
        <v>0.36530000000000001</v>
      </c>
      <c r="H921">
        <v>0</v>
      </c>
      <c r="J921">
        <v>1</v>
      </c>
      <c r="K921">
        <f>YEAR(NetflixData[[#This Row],[date]])</f>
        <v>2021</v>
      </c>
      <c r="L921" t="str">
        <f>TEXT(NetflixData[[#This Row],[date]],"mmm")</f>
        <v>Mar</v>
      </c>
      <c r="M921" t="str">
        <f>TEXT(NetflixData[[#This Row],[date]],"mmm yyyy")</f>
        <v>Mar 2021</v>
      </c>
      <c r="N921" t="str">
        <f t="shared" si="42"/>
        <v>Non-Trading Day</v>
      </c>
      <c r="O921" t="str">
        <f t="shared" si="43"/>
        <v>Positive</v>
      </c>
      <c r="P921" t="str">
        <f t="shared" si="44"/>
        <v>Positive</v>
      </c>
    </row>
    <row r="922" spans="1:16" x14ac:dyDescent="0.3">
      <c r="A922" s="1">
        <v>44275</v>
      </c>
      <c r="B922">
        <v>51.22</v>
      </c>
      <c r="C922">
        <v>0</v>
      </c>
      <c r="D922">
        <v>0</v>
      </c>
      <c r="E922">
        <v>61</v>
      </c>
      <c r="F922">
        <v>2.7</v>
      </c>
      <c r="G922">
        <v>0.17879999999999999</v>
      </c>
      <c r="H922">
        <v>0</v>
      </c>
      <c r="J922">
        <v>0</v>
      </c>
      <c r="K922">
        <f>YEAR(NetflixData[[#This Row],[date]])</f>
        <v>2021</v>
      </c>
      <c r="L922" t="str">
        <f>TEXT(NetflixData[[#This Row],[date]],"mmm")</f>
        <v>Mar</v>
      </c>
      <c r="M922" t="str">
        <f>TEXT(NetflixData[[#This Row],[date]],"mmm yyyy")</f>
        <v>Mar 2021</v>
      </c>
      <c r="N922" t="str">
        <f t="shared" si="42"/>
        <v>Non-Trading Day</v>
      </c>
      <c r="O922" t="str">
        <f t="shared" si="43"/>
        <v>No Change</v>
      </c>
      <c r="P922" t="str">
        <f t="shared" si="44"/>
        <v>Positive</v>
      </c>
    </row>
    <row r="923" spans="1:16" x14ac:dyDescent="0.3">
      <c r="A923" s="1">
        <v>44276</v>
      </c>
      <c r="B923">
        <v>51.22</v>
      </c>
      <c r="C923">
        <v>0</v>
      </c>
      <c r="D923">
        <v>0</v>
      </c>
      <c r="E923">
        <v>41</v>
      </c>
      <c r="F923">
        <v>3.15</v>
      </c>
      <c r="G923">
        <v>0.29609999999999997</v>
      </c>
      <c r="H923">
        <v>0</v>
      </c>
      <c r="J923">
        <v>0</v>
      </c>
      <c r="K923">
        <f>YEAR(NetflixData[[#This Row],[date]])</f>
        <v>2021</v>
      </c>
      <c r="L923" t="str">
        <f>TEXT(NetflixData[[#This Row],[date]],"mmm")</f>
        <v>Mar</v>
      </c>
      <c r="M923" t="str">
        <f>TEXT(NetflixData[[#This Row],[date]],"mmm yyyy")</f>
        <v>Mar 2021</v>
      </c>
      <c r="N923" t="str">
        <f t="shared" si="42"/>
        <v>Trading Day</v>
      </c>
      <c r="O923" t="str">
        <f t="shared" si="43"/>
        <v>No Change</v>
      </c>
      <c r="P923" t="str">
        <f t="shared" si="44"/>
        <v>Positive</v>
      </c>
    </row>
    <row r="924" spans="1:16" x14ac:dyDescent="0.3">
      <c r="A924" s="1">
        <v>44277</v>
      </c>
      <c r="B924">
        <v>52.31</v>
      </c>
      <c r="C924">
        <v>33606000</v>
      </c>
      <c r="D924">
        <v>2.746</v>
      </c>
      <c r="E924">
        <v>58</v>
      </c>
      <c r="F924">
        <v>2.95</v>
      </c>
      <c r="G924">
        <v>0.30020000000000002</v>
      </c>
      <c r="H924">
        <v>0</v>
      </c>
      <c r="J924">
        <v>1</v>
      </c>
      <c r="K924">
        <f>YEAR(NetflixData[[#This Row],[date]])</f>
        <v>2021</v>
      </c>
      <c r="L924" t="str">
        <f>TEXT(NetflixData[[#This Row],[date]],"mmm")</f>
        <v>Mar</v>
      </c>
      <c r="M924" t="str">
        <f>TEXT(NetflixData[[#This Row],[date]],"mmm yyyy")</f>
        <v>Mar 2021</v>
      </c>
      <c r="N924" t="str">
        <f t="shared" si="42"/>
        <v>Trading Day</v>
      </c>
      <c r="O924" t="str">
        <f t="shared" si="43"/>
        <v>Positive</v>
      </c>
      <c r="P924" t="str">
        <f t="shared" si="44"/>
        <v>Positive</v>
      </c>
    </row>
    <row r="925" spans="1:16" x14ac:dyDescent="0.3">
      <c r="A925" s="1">
        <v>44278</v>
      </c>
      <c r="B925">
        <v>53.51</v>
      </c>
      <c r="C925">
        <v>55835000</v>
      </c>
      <c r="D925">
        <v>0.98499999999999999</v>
      </c>
      <c r="E925">
        <v>61</v>
      </c>
      <c r="F925">
        <v>3.34</v>
      </c>
      <c r="G925">
        <v>0.37859999999999999</v>
      </c>
      <c r="H925">
        <v>0</v>
      </c>
      <c r="J925">
        <v>1</v>
      </c>
      <c r="K925">
        <f>YEAR(NetflixData[[#This Row],[date]])</f>
        <v>2021</v>
      </c>
      <c r="L925" t="str">
        <f>TEXT(NetflixData[[#This Row],[date]],"mmm")</f>
        <v>Mar</v>
      </c>
      <c r="M925" t="str">
        <f>TEXT(NetflixData[[#This Row],[date]],"mmm yyyy")</f>
        <v>Mar 2021</v>
      </c>
      <c r="N925" t="str">
        <f t="shared" si="42"/>
        <v>Trading Day</v>
      </c>
      <c r="O925" t="str">
        <f t="shared" si="43"/>
        <v>Positive</v>
      </c>
      <c r="P925" t="str">
        <f t="shared" si="44"/>
        <v>Positive</v>
      </c>
    </row>
    <row r="926" spans="1:16" x14ac:dyDescent="0.3">
      <c r="A926" s="1">
        <v>44279</v>
      </c>
      <c r="B926">
        <v>52.08</v>
      </c>
      <c r="C926">
        <v>41022000</v>
      </c>
      <c r="D926">
        <v>-2.4300000000000002</v>
      </c>
      <c r="E926">
        <v>53</v>
      </c>
      <c r="F926">
        <v>3.26</v>
      </c>
      <c r="G926">
        <v>0.23730000000000001</v>
      </c>
      <c r="H926">
        <v>0</v>
      </c>
      <c r="J926">
        <v>1</v>
      </c>
      <c r="K926">
        <f>YEAR(NetflixData[[#This Row],[date]])</f>
        <v>2021</v>
      </c>
      <c r="L926" t="str">
        <f>TEXT(NetflixData[[#This Row],[date]],"mmm")</f>
        <v>Mar</v>
      </c>
      <c r="M926" t="str">
        <f>TEXT(NetflixData[[#This Row],[date]],"mmm yyyy")</f>
        <v>Mar 2021</v>
      </c>
      <c r="N926" t="str">
        <f t="shared" si="42"/>
        <v>Trading Day</v>
      </c>
      <c r="O926" t="str">
        <f t="shared" si="43"/>
        <v>Negative</v>
      </c>
      <c r="P926" t="str">
        <f t="shared" si="44"/>
        <v>Positive</v>
      </c>
    </row>
    <row r="927" spans="1:16" x14ac:dyDescent="0.3">
      <c r="A927" s="1">
        <v>44280</v>
      </c>
      <c r="B927">
        <v>50.29</v>
      </c>
      <c r="C927">
        <v>49268000</v>
      </c>
      <c r="D927">
        <v>-2.7330000000000001</v>
      </c>
      <c r="E927">
        <v>52</v>
      </c>
      <c r="F927">
        <v>2.96</v>
      </c>
      <c r="G927">
        <v>0.25919999999999999</v>
      </c>
      <c r="H927">
        <v>0</v>
      </c>
      <c r="J927">
        <v>1</v>
      </c>
      <c r="K927">
        <f>YEAR(NetflixData[[#This Row],[date]])</f>
        <v>2021</v>
      </c>
      <c r="L927" t="str">
        <f>TEXT(NetflixData[[#This Row],[date]],"mmm")</f>
        <v>Mar</v>
      </c>
      <c r="M927" t="str">
        <f>TEXT(NetflixData[[#This Row],[date]],"mmm yyyy")</f>
        <v>Mar 2021</v>
      </c>
      <c r="N927" t="str">
        <f t="shared" si="42"/>
        <v>Trading Day</v>
      </c>
      <c r="O927" t="str">
        <f t="shared" si="43"/>
        <v>Negative</v>
      </c>
      <c r="P927" t="str">
        <f t="shared" si="44"/>
        <v>Positive</v>
      </c>
    </row>
    <row r="928" spans="1:16" x14ac:dyDescent="0.3">
      <c r="A928" s="1">
        <v>44281</v>
      </c>
      <c r="B928">
        <v>50.81</v>
      </c>
      <c r="C928">
        <v>34678000</v>
      </c>
      <c r="D928">
        <v>1.04</v>
      </c>
      <c r="E928">
        <v>58</v>
      </c>
      <c r="F928">
        <v>3.16</v>
      </c>
      <c r="G928">
        <v>0.309</v>
      </c>
      <c r="H928">
        <v>0</v>
      </c>
      <c r="J928">
        <v>1</v>
      </c>
      <c r="K928">
        <f>YEAR(NetflixData[[#This Row],[date]])</f>
        <v>2021</v>
      </c>
      <c r="L928" t="str">
        <f>TEXT(NetflixData[[#This Row],[date]],"mmm")</f>
        <v>Mar</v>
      </c>
      <c r="M928" t="str">
        <f>TEXT(NetflixData[[#This Row],[date]],"mmm yyyy")</f>
        <v>Mar 2021</v>
      </c>
      <c r="N928" t="str">
        <f t="shared" si="42"/>
        <v>Non-Trading Day</v>
      </c>
      <c r="O928" t="str">
        <f t="shared" si="43"/>
        <v>Positive</v>
      </c>
      <c r="P928" t="str">
        <f t="shared" si="44"/>
        <v>Positive</v>
      </c>
    </row>
    <row r="929" spans="1:16" x14ac:dyDescent="0.3">
      <c r="A929" s="1">
        <v>44282</v>
      </c>
      <c r="B929">
        <v>50.81</v>
      </c>
      <c r="C929">
        <v>0</v>
      </c>
      <c r="D929">
        <v>0</v>
      </c>
      <c r="E929">
        <v>57</v>
      </c>
      <c r="F929">
        <v>2.72</v>
      </c>
      <c r="G929">
        <v>0.25869999999999999</v>
      </c>
      <c r="H929">
        <v>0</v>
      </c>
      <c r="J929">
        <v>0</v>
      </c>
      <c r="K929">
        <f>YEAR(NetflixData[[#This Row],[date]])</f>
        <v>2021</v>
      </c>
      <c r="L929" t="str">
        <f>TEXT(NetflixData[[#This Row],[date]],"mmm")</f>
        <v>Mar</v>
      </c>
      <c r="M929" t="str">
        <f>TEXT(NetflixData[[#This Row],[date]],"mmm yyyy")</f>
        <v>Mar 2021</v>
      </c>
      <c r="N929" t="str">
        <f t="shared" si="42"/>
        <v>Non-Trading Day</v>
      </c>
      <c r="O929" t="str">
        <f t="shared" si="43"/>
        <v>No Change</v>
      </c>
      <c r="P929" t="str">
        <f t="shared" si="44"/>
        <v>Positive</v>
      </c>
    </row>
    <row r="930" spans="1:16" x14ac:dyDescent="0.3">
      <c r="A930" s="1">
        <v>44283</v>
      </c>
      <c r="B930">
        <v>50.81</v>
      </c>
      <c r="C930">
        <v>0</v>
      </c>
      <c r="D930">
        <v>0</v>
      </c>
      <c r="E930">
        <v>57</v>
      </c>
      <c r="F930">
        <v>3.44</v>
      </c>
      <c r="G930">
        <v>0.29820000000000002</v>
      </c>
      <c r="H930">
        <v>0</v>
      </c>
      <c r="J930">
        <v>0</v>
      </c>
      <c r="K930">
        <f>YEAR(NetflixData[[#This Row],[date]])</f>
        <v>2021</v>
      </c>
      <c r="L930" t="str">
        <f>TEXT(NetflixData[[#This Row],[date]],"mmm")</f>
        <v>Mar</v>
      </c>
      <c r="M930" t="str">
        <f>TEXT(NetflixData[[#This Row],[date]],"mmm yyyy")</f>
        <v>Mar 2021</v>
      </c>
      <c r="N930" t="str">
        <f t="shared" si="42"/>
        <v>Trading Day</v>
      </c>
      <c r="O930" t="str">
        <f t="shared" si="43"/>
        <v>No Change</v>
      </c>
      <c r="P930" t="str">
        <f t="shared" si="44"/>
        <v>Positive</v>
      </c>
    </row>
    <row r="931" spans="1:16" x14ac:dyDescent="0.3">
      <c r="A931" s="1">
        <v>44284</v>
      </c>
      <c r="B931">
        <v>51.4</v>
      </c>
      <c r="C931">
        <v>33300000</v>
      </c>
      <c r="D931">
        <v>1.639</v>
      </c>
      <c r="E931">
        <v>57</v>
      </c>
      <c r="F931">
        <v>2.95</v>
      </c>
      <c r="G931">
        <v>0.21060000000000001</v>
      </c>
      <c r="H931">
        <v>0</v>
      </c>
      <c r="J931">
        <v>1</v>
      </c>
      <c r="K931">
        <f>YEAR(NetflixData[[#This Row],[date]])</f>
        <v>2021</v>
      </c>
      <c r="L931" t="str">
        <f>TEXT(NetflixData[[#This Row],[date]],"mmm")</f>
        <v>Mar</v>
      </c>
      <c r="M931" t="str">
        <f>TEXT(NetflixData[[#This Row],[date]],"mmm yyyy")</f>
        <v>Mar 2021</v>
      </c>
      <c r="N931" t="str">
        <f t="shared" si="42"/>
        <v>Trading Day</v>
      </c>
      <c r="O931" t="str">
        <f t="shared" si="43"/>
        <v>Positive</v>
      </c>
      <c r="P931" t="str">
        <f t="shared" si="44"/>
        <v>Positive</v>
      </c>
    </row>
    <row r="932" spans="1:16" x14ac:dyDescent="0.3">
      <c r="A932" s="1">
        <v>44285</v>
      </c>
      <c r="B932">
        <v>51.34</v>
      </c>
      <c r="C932">
        <v>24181000</v>
      </c>
      <c r="D932">
        <v>0.56399999999999995</v>
      </c>
      <c r="E932">
        <v>44</v>
      </c>
      <c r="F932">
        <v>3.34</v>
      </c>
      <c r="G932">
        <v>0.29609999999999997</v>
      </c>
      <c r="H932">
        <v>0</v>
      </c>
      <c r="J932">
        <v>1</v>
      </c>
      <c r="K932">
        <f>YEAR(NetflixData[[#This Row],[date]])</f>
        <v>2021</v>
      </c>
      <c r="L932" t="str">
        <f>TEXT(NetflixData[[#This Row],[date]],"mmm")</f>
        <v>Mar</v>
      </c>
      <c r="M932" t="str">
        <f>TEXT(NetflixData[[#This Row],[date]],"mmm yyyy")</f>
        <v>Mar 2021</v>
      </c>
      <c r="N932" t="str">
        <f t="shared" si="42"/>
        <v>Trading Day</v>
      </c>
      <c r="O932" t="str">
        <f t="shared" si="43"/>
        <v>Positive</v>
      </c>
      <c r="P932" t="str">
        <f t="shared" si="44"/>
        <v>Positive</v>
      </c>
    </row>
    <row r="933" spans="1:16" x14ac:dyDescent="0.3">
      <c r="A933" s="1">
        <v>44286</v>
      </c>
      <c r="B933">
        <v>52.17</v>
      </c>
      <c r="C933">
        <v>35031000</v>
      </c>
      <c r="D933">
        <v>1.1619999999999999</v>
      </c>
      <c r="E933">
        <v>51</v>
      </c>
      <c r="F933">
        <v>2.98</v>
      </c>
      <c r="G933">
        <v>0.34360000000000002</v>
      </c>
      <c r="H933">
        <v>0</v>
      </c>
      <c r="J933">
        <v>1</v>
      </c>
      <c r="K933">
        <f>YEAR(NetflixData[[#This Row],[date]])</f>
        <v>2021</v>
      </c>
      <c r="L933" t="str">
        <f>TEXT(NetflixData[[#This Row],[date]],"mmm")</f>
        <v>Mar</v>
      </c>
      <c r="M933" t="str">
        <f>TEXT(NetflixData[[#This Row],[date]],"mmm yyyy")</f>
        <v>Mar 2021</v>
      </c>
      <c r="N933" t="str">
        <f t="shared" si="42"/>
        <v>Trading Day</v>
      </c>
      <c r="O933" t="str">
        <f t="shared" si="43"/>
        <v>Positive</v>
      </c>
      <c r="P933" t="str">
        <f t="shared" si="44"/>
        <v>Positive</v>
      </c>
    </row>
    <row r="934" spans="1:16" x14ac:dyDescent="0.3">
      <c r="A934" s="1">
        <v>44287</v>
      </c>
      <c r="B934">
        <v>53.94</v>
      </c>
      <c r="C934">
        <v>39386000</v>
      </c>
      <c r="D934">
        <v>1.7909999999999999</v>
      </c>
      <c r="E934">
        <v>43</v>
      </c>
      <c r="F934">
        <v>2.98</v>
      </c>
      <c r="G934">
        <v>0.2424</v>
      </c>
      <c r="H934">
        <v>0</v>
      </c>
      <c r="J934">
        <v>1</v>
      </c>
      <c r="K934">
        <f>YEAR(NetflixData[[#This Row],[date]])</f>
        <v>2021</v>
      </c>
      <c r="L934" t="str">
        <f>TEXT(NetflixData[[#This Row],[date]],"mmm")</f>
        <v>Apr</v>
      </c>
      <c r="M934" t="str">
        <f>TEXT(NetflixData[[#This Row],[date]],"mmm yyyy")</f>
        <v>Apr 2021</v>
      </c>
      <c r="N934" t="str">
        <f t="shared" si="42"/>
        <v>Non-Trading Day</v>
      </c>
      <c r="O934" t="str">
        <f t="shared" si="43"/>
        <v>Positive</v>
      </c>
      <c r="P934" t="str">
        <f t="shared" si="44"/>
        <v>Positive</v>
      </c>
    </row>
    <row r="935" spans="1:16" x14ac:dyDescent="0.3">
      <c r="A935" s="1">
        <v>44288</v>
      </c>
      <c r="B935">
        <v>53.94</v>
      </c>
      <c r="C935">
        <v>0</v>
      </c>
      <c r="D935">
        <v>0</v>
      </c>
      <c r="E935">
        <v>60</v>
      </c>
      <c r="F935">
        <v>2.9</v>
      </c>
      <c r="G935">
        <v>0.2341</v>
      </c>
      <c r="H935">
        <v>0</v>
      </c>
      <c r="J935">
        <v>0</v>
      </c>
      <c r="K935">
        <f>YEAR(NetflixData[[#This Row],[date]])</f>
        <v>2021</v>
      </c>
      <c r="L935" t="str">
        <f>TEXT(NetflixData[[#This Row],[date]],"mmm")</f>
        <v>Apr</v>
      </c>
      <c r="M935" t="str">
        <f>TEXT(NetflixData[[#This Row],[date]],"mmm yyyy")</f>
        <v>Apr 2021</v>
      </c>
      <c r="N935" t="str">
        <f t="shared" si="42"/>
        <v>Non-Trading Day</v>
      </c>
      <c r="O935" t="str">
        <f t="shared" si="43"/>
        <v>No Change</v>
      </c>
      <c r="P935" t="str">
        <f t="shared" si="44"/>
        <v>Positive</v>
      </c>
    </row>
    <row r="936" spans="1:16" x14ac:dyDescent="0.3">
      <c r="A936" s="1">
        <v>44289</v>
      </c>
      <c r="B936">
        <v>53.94</v>
      </c>
      <c r="C936">
        <v>0</v>
      </c>
      <c r="D936">
        <v>0</v>
      </c>
      <c r="E936">
        <v>42</v>
      </c>
      <c r="F936">
        <v>3.14</v>
      </c>
      <c r="G936">
        <v>0.30880000000000002</v>
      </c>
      <c r="H936">
        <v>0</v>
      </c>
      <c r="J936">
        <v>0</v>
      </c>
      <c r="K936">
        <f>YEAR(NetflixData[[#This Row],[date]])</f>
        <v>2021</v>
      </c>
      <c r="L936" t="str">
        <f>TEXT(NetflixData[[#This Row],[date]],"mmm")</f>
        <v>Apr</v>
      </c>
      <c r="M936" t="str">
        <f>TEXT(NetflixData[[#This Row],[date]],"mmm yyyy")</f>
        <v>Apr 2021</v>
      </c>
      <c r="N936" t="str">
        <f t="shared" si="42"/>
        <v>Non-Trading Day</v>
      </c>
      <c r="O936" t="str">
        <f t="shared" si="43"/>
        <v>No Change</v>
      </c>
      <c r="P936" t="str">
        <f t="shared" si="44"/>
        <v>Positive</v>
      </c>
    </row>
    <row r="937" spans="1:16" x14ac:dyDescent="0.3">
      <c r="A937" s="1">
        <v>44290</v>
      </c>
      <c r="B937">
        <v>53.94</v>
      </c>
      <c r="C937">
        <v>0</v>
      </c>
      <c r="D937">
        <v>0</v>
      </c>
      <c r="E937">
        <v>53</v>
      </c>
      <c r="F937">
        <v>3.06</v>
      </c>
      <c r="G937">
        <v>0.22850000000000001</v>
      </c>
      <c r="H937">
        <v>0</v>
      </c>
      <c r="J937">
        <v>0</v>
      </c>
      <c r="K937">
        <f>YEAR(NetflixData[[#This Row],[date]])</f>
        <v>2021</v>
      </c>
      <c r="L937" t="str">
        <f>TEXT(NetflixData[[#This Row],[date]],"mmm")</f>
        <v>Apr</v>
      </c>
      <c r="M937" t="str">
        <f>TEXT(NetflixData[[#This Row],[date]],"mmm yyyy")</f>
        <v>Apr 2021</v>
      </c>
      <c r="N937" t="str">
        <f t="shared" si="42"/>
        <v>Trading Day</v>
      </c>
      <c r="O937" t="str">
        <f t="shared" si="43"/>
        <v>No Change</v>
      </c>
      <c r="P937" t="str">
        <f t="shared" si="44"/>
        <v>Positive</v>
      </c>
    </row>
    <row r="938" spans="1:16" x14ac:dyDescent="0.3">
      <c r="A938" s="1">
        <v>44291</v>
      </c>
      <c r="B938">
        <v>54.07</v>
      </c>
      <c r="C938">
        <v>33559000</v>
      </c>
      <c r="D938">
        <v>0.122</v>
      </c>
      <c r="E938">
        <v>49</v>
      </c>
      <c r="F938">
        <v>3.18</v>
      </c>
      <c r="G938">
        <v>0.31809999999999999</v>
      </c>
      <c r="H938">
        <v>0</v>
      </c>
      <c r="J938">
        <v>1</v>
      </c>
      <c r="K938">
        <f>YEAR(NetflixData[[#This Row],[date]])</f>
        <v>2021</v>
      </c>
      <c r="L938" t="str">
        <f>TEXT(NetflixData[[#This Row],[date]],"mmm")</f>
        <v>Apr</v>
      </c>
      <c r="M938" t="str">
        <f>TEXT(NetflixData[[#This Row],[date]],"mmm yyyy")</f>
        <v>Apr 2021</v>
      </c>
      <c r="N938" t="str">
        <f t="shared" si="42"/>
        <v>Trading Day</v>
      </c>
      <c r="O938" t="str">
        <f t="shared" si="43"/>
        <v>Positive</v>
      </c>
      <c r="P938" t="str">
        <f t="shared" si="44"/>
        <v>Positive</v>
      </c>
    </row>
    <row r="939" spans="1:16" x14ac:dyDescent="0.3">
      <c r="A939" s="1">
        <v>44292</v>
      </c>
      <c r="B939">
        <v>54.45</v>
      </c>
      <c r="C939">
        <v>34742000</v>
      </c>
      <c r="D939">
        <v>-5.0999999999999997E-2</v>
      </c>
      <c r="E939">
        <v>59</v>
      </c>
      <c r="F939">
        <v>2.85</v>
      </c>
      <c r="G939">
        <v>0.18459999999999999</v>
      </c>
      <c r="H939">
        <v>0</v>
      </c>
      <c r="J939">
        <v>1</v>
      </c>
      <c r="K939">
        <f>YEAR(NetflixData[[#This Row],[date]])</f>
        <v>2021</v>
      </c>
      <c r="L939" t="str">
        <f>TEXT(NetflixData[[#This Row],[date]],"mmm")</f>
        <v>Apr</v>
      </c>
      <c r="M939" t="str">
        <f>TEXT(NetflixData[[#This Row],[date]],"mmm yyyy")</f>
        <v>Apr 2021</v>
      </c>
      <c r="N939" t="str">
        <f t="shared" si="42"/>
        <v>Trading Day</v>
      </c>
      <c r="O939" t="str">
        <f t="shared" si="43"/>
        <v>Negative</v>
      </c>
      <c r="P939" t="str">
        <f t="shared" si="44"/>
        <v>Positive</v>
      </c>
    </row>
    <row r="940" spans="1:16" x14ac:dyDescent="0.3">
      <c r="A940" s="1">
        <v>44293</v>
      </c>
      <c r="B940">
        <v>54.7</v>
      </c>
      <c r="C940">
        <v>21513000</v>
      </c>
      <c r="D940">
        <v>0.64200000000000002</v>
      </c>
      <c r="E940">
        <v>53</v>
      </c>
      <c r="F940">
        <v>3.36</v>
      </c>
      <c r="G940">
        <v>0.44800000000000001</v>
      </c>
      <c r="H940">
        <v>0</v>
      </c>
      <c r="J940">
        <v>1</v>
      </c>
      <c r="K940">
        <f>YEAR(NetflixData[[#This Row],[date]])</f>
        <v>2021</v>
      </c>
      <c r="L940" t="str">
        <f>TEXT(NetflixData[[#This Row],[date]],"mmm")</f>
        <v>Apr</v>
      </c>
      <c r="M940" t="str">
        <f>TEXT(NetflixData[[#This Row],[date]],"mmm yyyy")</f>
        <v>Apr 2021</v>
      </c>
      <c r="N940" t="str">
        <f t="shared" si="42"/>
        <v>Trading Day</v>
      </c>
      <c r="O940" t="str">
        <f t="shared" si="43"/>
        <v>Positive</v>
      </c>
      <c r="P940" t="str">
        <f t="shared" si="44"/>
        <v>Positive</v>
      </c>
    </row>
    <row r="941" spans="1:16" x14ac:dyDescent="0.3">
      <c r="A941" s="1">
        <v>44294</v>
      </c>
      <c r="B941">
        <v>55.46</v>
      </c>
      <c r="C941">
        <v>43098000</v>
      </c>
      <c r="D941">
        <v>0.626</v>
      </c>
      <c r="E941">
        <v>53</v>
      </c>
      <c r="F941">
        <v>2.68</v>
      </c>
      <c r="G941">
        <v>0.24030000000000001</v>
      </c>
      <c r="H941">
        <v>0</v>
      </c>
      <c r="J941">
        <v>1</v>
      </c>
      <c r="K941">
        <f>YEAR(NetflixData[[#This Row],[date]])</f>
        <v>2021</v>
      </c>
      <c r="L941" t="str">
        <f>TEXT(NetflixData[[#This Row],[date]],"mmm")</f>
        <v>Apr</v>
      </c>
      <c r="M941" t="str">
        <f>TEXT(NetflixData[[#This Row],[date]],"mmm yyyy")</f>
        <v>Apr 2021</v>
      </c>
      <c r="N941" t="str">
        <f t="shared" si="42"/>
        <v>Trading Day</v>
      </c>
      <c r="O941" t="str">
        <f t="shared" si="43"/>
        <v>Positive</v>
      </c>
      <c r="P941" t="str">
        <f t="shared" si="44"/>
        <v>Positive</v>
      </c>
    </row>
    <row r="942" spans="1:16" x14ac:dyDescent="0.3">
      <c r="A942" s="1">
        <v>44295</v>
      </c>
      <c r="B942">
        <v>55.53</v>
      </c>
      <c r="C942">
        <v>28940000</v>
      </c>
      <c r="D942">
        <v>0.47399999999999998</v>
      </c>
      <c r="E942">
        <v>56</v>
      </c>
      <c r="F942">
        <v>2.89</v>
      </c>
      <c r="G942">
        <v>0.2175</v>
      </c>
      <c r="H942">
        <v>0</v>
      </c>
      <c r="J942">
        <v>1</v>
      </c>
      <c r="K942">
        <f>YEAR(NetflixData[[#This Row],[date]])</f>
        <v>2021</v>
      </c>
      <c r="L942" t="str">
        <f>TEXT(NetflixData[[#This Row],[date]],"mmm")</f>
        <v>Apr</v>
      </c>
      <c r="M942" t="str">
        <f>TEXT(NetflixData[[#This Row],[date]],"mmm yyyy")</f>
        <v>Apr 2021</v>
      </c>
      <c r="N942" t="str">
        <f t="shared" si="42"/>
        <v>Non-Trading Day</v>
      </c>
      <c r="O942" t="str">
        <f t="shared" si="43"/>
        <v>Positive</v>
      </c>
      <c r="P942" t="str">
        <f t="shared" si="44"/>
        <v>Positive</v>
      </c>
    </row>
    <row r="943" spans="1:16" x14ac:dyDescent="0.3">
      <c r="A943" s="1">
        <v>44296</v>
      </c>
      <c r="B943">
        <v>55.53</v>
      </c>
      <c r="C943">
        <v>0</v>
      </c>
      <c r="D943">
        <v>0</v>
      </c>
      <c r="E943">
        <v>64</v>
      </c>
      <c r="F943">
        <v>2.72</v>
      </c>
      <c r="G943">
        <v>0.1188</v>
      </c>
      <c r="H943">
        <v>0</v>
      </c>
      <c r="J943">
        <v>0</v>
      </c>
      <c r="K943">
        <f>YEAR(NetflixData[[#This Row],[date]])</f>
        <v>2021</v>
      </c>
      <c r="L943" t="str">
        <f>TEXT(NetflixData[[#This Row],[date]],"mmm")</f>
        <v>Apr</v>
      </c>
      <c r="M943" t="str">
        <f>TEXT(NetflixData[[#This Row],[date]],"mmm yyyy")</f>
        <v>Apr 2021</v>
      </c>
      <c r="N943" t="str">
        <f t="shared" si="42"/>
        <v>Non-Trading Day</v>
      </c>
      <c r="O943" t="str">
        <f t="shared" si="43"/>
        <v>No Change</v>
      </c>
      <c r="P943" t="str">
        <f t="shared" si="44"/>
        <v>Positive</v>
      </c>
    </row>
    <row r="944" spans="1:16" x14ac:dyDescent="0.3">
      <c r="A944" s="1">
        <v>44297</v>
      </c>
      <c r="B944">
        <v>55.53</v>
      </c>
      <c r="C944">
        <v>0</v>
      </c>
      <c r="D944">
        <v>0</v>
      </c>
      <c r="E944">
        <v>65</v>
      </c>
      <c r="F944">
        <v>2.29</v>
      </c>
      <c r="G944">
        <v>0.1651</v>
      </c>
      <c r="H944">
        <v>0</v>
      </c>
      <c r="J944">
        <v>0</v>
      </c>
      <c r="K944">
        <f>YEAR(NetflixData[[#This Row],[date]])</f>
        <v>2021</v>
      </c>
      <c r="L944" t="str">
        <f>TEXT(NetflixData[[#This Row],[date]],"mmm")</f>
        <v>Apr</v>
      </c>
      <c r="M944" t="str">
        <f>TEXT(NetflixData[[#This Row],[date]],"mmm yyyy")</f>
        <v>Apr 2021</v>
      </c>
      <c r="N944" t="str">
        <f t="shared" si="42"/>
        <v>Trading Day</v>
      </c>
      <c r="O944" t="str">
        <f t="shared" si="43"/>
        <v>No Change</v>
      </c>
      <c r="P944" t="str">
        <f t="shared" si="44"/>
        <v>Positive</v>
      </c>
    </row>
    <row r="945" spans="1:16" x14ac:dyDescent="0.3">
      <c r="A945" s="1">
        <v>44298</v>
      </c>
      <c r="B945">
        <v>55.28</v>
      </c>
      <c r="C945">
        <v>29441000</v>
      </c>
      <c r="D945">
        <v>0.314</v>
      </c>
      <c r="E945">
        <v>57</v>
      </c>
      <c r="F945">
        <v>2.77</v>
      </c>
      <c r="G945">
        <v>0.30059999999999998</v>
      </c>
      <c r="H945">
        <v>0</v>
      </c>
      <c r="J945">
        <v>1</v>
      </c>
      <c r="K945">
        <f>YEAR(NetflixData[[#This Row],[date]])</f>
        <v>2021</v>
      </c>
      <c r="L945" t="str">
        <f>TEXT(NetflixData[[#This Row],[date]],"mmm")</f>
        <v>Apr</v>
      </c>
      <c r="M945" t="str">
        <f>TEXT(NetflixData[[#This Row],[date]],"mmm yyyy")</f>
        <v>Apr 2021</v>
      </c>
      <c r="N945" t="str">
        <f t="shared" si="42"/>
        <v>Trading Day</v>
      </c>
      <c r="O945" t="str">
        <f t="shared" si="43"/>
        <v>Positive</v>
      </c>
      <c r="P945" t="str">
        <f t="shared" si="44"/>
        <v>Positive</v>
      </c>
    </row>
    <row r="946" spans="1:16" x14ac:dyDescent="0.3">
      <c r="A946" s="1">
        <v>44299</v>
      </c>
      <c r="B946">
        <v>55.37</v>
      </c>
      <c r="C946">
        <v>27203000</v>
      </c>
      <c r="D946">
        <v>-0.58699999999999997</v>
      </c>
      <c r="E946">
        <v>62</v>
      </c>
      <c r="F946">
        <v>2.4</v>
      </c>
      <c r="G946">
        <v>8.6599999999999996E-2</v>
      </c>
      <c r="H946">
        <v>0</v>
      </c>
      <c r="J946">
        <v>1</v>
      </c>
      <c r="K946">
        <f>YEAR(NetflixData[[#This Row],[date]])</f>
        <v>2021</v>
      </c>
      <c r="L946" t="str">
        <f>TEXT(NetflixData[[#This Row],[date]],"mmm")</f>
        <v>Apr</v>
      </c>
      <c r="M946" t="str">
        <f>TEXT(NetflixData[[#This Row],[date]],"mmm yyyy")</f>
        <v>Apr 2021</v>
      </c>
      <c r="N946" t="str">
        <f t="shared" si="42"/>
        <v>Trading Day</v>
      </c>
      <c r="O946" t="str">
        <f t="shared" si="43"/>
        <v>Negative</v>
      </c>
      <c r="P946" t="str">
        <f t="shared" si="44"/>
        <v>Neutral</v>
      </c>
    </row>
    <row r="947" spans="1:16" x14ac:dyDescent="0.3">
      <c r="A947" s="1">
        <v>44300</v>
      </c>
      <c r="B947">
        <v>54</v>
      </c>
      <c r="C947">
        <v>37403000</v>
      </c>
      <c r="D947">
        <v>-2.6760000000000002</v>
      </c>
      <c r="E947">
        <v>56</v>
      </c>
      <c r="F947">
        <v>2.59</v>
      </c>
      <c r="G947">
        <v>0.1207</v>
      </c>
      <c r="H947">
        <v>0</v>
      </c>
      <c r="J947">
        <v>1</v>
      </c>
      <c r="K947">
        <f>YEAR(NetflixData[[#This Row],[date]])</f>
        <v>2021</v>
      </c>
      <c r="L947" t="str">
        <f>TEXT(NetflixData[[#This Row],[date]],"mmm")</f>
        <v>Apr</v>
      </c>
      <c r="M947" t="str">
        <f>TEXT(NetflixData[[#This Row],[date]],"mmm yyyy")</f>
        <v>Apr 2021</v>
      </c>
      <c r="N947" t="str">
        <f t="shared" si="42"/>
        <v>Trading Day</v>
      </c>
      <c r="O947" t="str">
        <f t="shared" si="43"/>
        <v>Negative</v>
      </c>
      <c r="P947" t="str">
        <f t="shared" si="44"/>
        <v>Positive</v>
      </c>
    </row>
    <row r="948" spans="1:16" x14ac:dyDescent="0.3">
      <c r="A948" s="1">
        <v>44301</v>
      </c>
      <c r="B948">
        <v>54.92</v>
      </c>
      <c r="C948">
        <v>31391000</v>
      </c>
      <c r="D948">
        <v>0.92800000000000005</v>
      </c>
      <c r="E948">
        <v>50</v>
      </c>
      <c r="F948">
        <v>2.48</v>
      </c>
      <c r="G948">
        <v>0.1434</v>
      </c>
      <c r="H948">
        <v>0</v>
      </c>
      <c r="J948">
        <v>1</v>
      </c>
      <c r="K948">
        <f>YEAR(NetflixData[[#This Row],[date]])</f>
        <v>2021</v>
      </c>
      <c r="L948" t="str">
        <f>TEXT(NetflixData[[#This Row],[date]],"mmm")</f>
        <v>Apr</v>
      </c>
      <c r="M948" t="str">
        <f>TEXT(NetflixData[[#This Row],[date]],"mmm yyyy")</f>
        <v>Apr 2021</v>
      </c>
      <c r="N948" t="str">
        <f t="shared" si="42"/>
        <v>Trading Day</v>
      </c>
      <c r="O948" t="str">
        <f t="shared" si="43"/>
        <v>Positive</v>
      </c>
      <c r="P948" t="str">
        <f t="shared" si="44"/>
        <v>Positive</v>
      </c>
    </row>
    <row r="949" spans="1:16" x14ac:dyDescent="0.3">
      <c r="A949" s="1">
        <v>44302</v>
      </c>
      <c r="B949">
        <v>54.65</v>
      </c>
      <c r="C949">
        <v>32091000</v>
      </c>
      <c r="D949">
        <v>-0.72699999999999998</v>
      </c>
      <c r="E949">
        <v>45</v>
      </c>
      <c r="F949">
        <v>2.58</v>
      </c>
      <c r="G949">
        <v>6.0100000000000001E-2</v>
      </c>
      <c r="H949">
        <v>0</v>
      </c>
      <c r="J949">
        <v>1</v>
      </c>
      <c r="K949">
        <f>YEAR(NetflixData[[#This Row],[date]])</f>
        <v>2021</v>
      </c>
      <c r="L949" t="str">
        <f>TEXT(NetflixData[[#This Row],[date]],"mmm")</f>
        <v>Apr</v>
      </c>
      <c r="M949" t="str">
        <f>TEXT(NetflixData[[#This Row],[date]],"mmm yyyy")</f>
        <v>Apr 2021</v>
      </c>
      <c r="N949" t="str">
        <f t="shared" si="42"/>
        <v>Non-Trading Day</v>
      </c>
      <c r="O949" t="str">
        <f t="shared" si="43"/>
        <v>Negative</v>
      </c>
      <c r="P949" t="str">
        <f t="shared" si="44"/>
        <v>Neutral</v>
      </c>
    </row>
    <row r="950" spans="1:16" x14ac:dyDescent="0.3">
      <c r="A950" s="1">
        <v>44303</v>
      </c>
      <c r="B950">
        <v>54.65</v>
      </c>
      <c r="C950">
        <v>0</v>
      </c>
      <c r="D950">
        <v>0</v>
      </c>
      <c r="E950">
        <v>55</v>
      </c>
      <c r="F950">
        <v>2.8</v>
      </c>
      <c r="G950">
        <v>0.21310000000000001</v>
      </c>
      <c r="H950">
        <v>0</v>
      </c>
      <c r="J950">
        <v>0</v>
      </c>
      <c r="K950">
        <f>YEAR(NetflixData[[#This Row],[date]])</f>
        <v>2021</v>
      </c>
      <c r="L950" t="str">
        <f>TEXT(NetflixData[[#This Row],[date]],"mmm")</f>
        <v>Apr</v>
      </c>
      <c r="M950" t="str">
        <f>TEXT(NetflixData[[#This Row],[date]],"mmm yyyy")</f>
        <v>Apr 2021</v>
      </c>
      <c r="N950" t="str">
        <f t="shared" si="42"/>
        <v>Non-Trading Day</v>
      </c>
      <c r="O950" t="str">
        <f t="shared" si="43"/>
        <v>No Change</v>
      </c>
      <c r="P950" t="str">
        <f t="shared" si="44"/>
        <v>Positive</v>
      </c>
    </row>
    <row r="951" spans="1:16" x14ac:dyDescent="0.3">
      <c r="A951" s="1">
        <v>44304</v>
      </c>
      <c r="B951">
        <v>54.65</v>
      </c>
      <c r="C951">
        <v>0</v>
      </c>
      <c r="D951">
        <v>0</v>
      </c>
      <c r="E951">
        <v>60</v>
      </c>
      <c r="F951">
        <v>2.57</v>
      </c>
      <c r="G951">
        <v>0.1885</v>
      </c>
      <c r="H951">
        <v>0</v>
      </c>
      <c r="J951">
        <v>0</v>
      </c>
      <c r="K951">
        <f>YEAR(NetflixData[[#This Row],[date]])</f>
        <v>2021</v>
      </c>
      <c r="L951" t="str">
        <f>TEXT(NetflixData[[#This Row],[date]],"mmm")</f>
        <v>Apr</v>
      </c>
      <c r="M951" t="str">
        <f>TEXT(NetflixData[[#This Row],[date]],"mmm yyyy")</f>
        <v>Apr 2021</v>
      </c>
      <c r="N951" t="str">
        <f t="shared" si="42"/>
        <v>Trading Day</v>
      </c>
      <c r="O951" t="str">
        <f t="shared" si="43"/>
        <v>No Change</v>
      </c>
      <c r="P951" t="str">
        <f t="shared" si="44"/>
        <v>Positive</v>
      </c>
    </row>
    <row r="952" spans="1:16" x14ac:dyDescent="0.3">
      <c r="A952" s="1">
        <v>44305</v>
      </c>
      <c r="B952">
        <v>55.44</v>
      </c>
      <c r="C952">
        <v>42887000</v>
      </c>
      <c r="D952">
        <v>1.379</v>
      </c>
      <c r="E952">
        <v>56</v>
      </c>
      <c r="F952">
        <v>2.64</v>
      </c>
      <c r="G952">
        <v>0.1537</v>
      </c>
      <c r="H952">
        <v>0</v>
      </c>
      <c r="J952">
        <v>1</v>
      </c>
      <c r="K952">
        <f>YEAR(NetflixData[[#This Row],[date]])</f>
        <v>2021</v>
      </c>
      <c r="L952" t="str">
        <f>TEXT(NetflixData[[#This Row],[date]],"mmm")</f>
        <v>Apr</v>
      </c>
      <c r="M952" t="str">
        <f>TEXT(NetflixData[[#This Row],[date]],"mmm yyyy")</f>
        <v>Apr 2021</v>
      </c>
      <c r="N952" t="str">
        <f t="shared" si="42"/>
        <v>Trading Day</v>
      </c>
      <c r="O952" t="str">
        <f t="shared" si="43"/>
        <v>Positive</v>
      </c>
      <c r="P952" t="str">
        <f t="shared" si="44"/>
        <v>Positive</v>
      </c>
    </row>
    <row r="953" spans="1:16" x14ac:dyDescent="0.3">
      <c r="A953" s="1">
        <v>44306</v>
      </c>
      <c r="B953">
        <v>54.96</v>
      </c>
      <c r="C953">
        <v>112576000</v>
      </c>
      <c r="D953">
        <v>-0.875</v>
      </c>
      <c r="E953">
        <v>54</v>
      </c>
      <c r="F953">
        <v>2.94</v>
      </c>
      <c r="G953">
        <v>0.28799999999999998</v>
      </c>
      <c r="H953">
        <v>0</v>
      </c>
      <c r="J953">
        <v>1</v>
      </c>
      <c r="K953">
        <f>YEAR(NetflixData[[#This Row],[date]])</f>
        <v>2021</v>
      </c>
      <c r="L953" t="str">
        <f>TEXT(NetflixData[[#This Row],[date]],"mmm")</f>
        <v>Apr</v>
      </c>
      <c r="M953" t="str">
        <f>TEXT(NetflixData[[#This Row],[date]],"mmm yyyy")</f>
        <v>Apr 2021</v>
      </c>
      <c r="N953" t="str">
        <f t="shared" si="42"/>
        <v>Trading Day</v>
      </c>
      <c r="O953" t="str">
        <f t="shared" si="43"/>
        <v>Negative</v>
      </c>
      <c r="P953" t="str">
        <f t="shared" si="44"/>
        <v>Positive</v>
      </c>
    </row>
    <row r="954" spans="1:16" x14ac:dyDescent="0.3">
      <c r="A954" s="1">
        <v>44307</v>
      </c>
      <c r="B954">
        <v>50.89</v>
      </c>
      <c r="C954">
        <v>228974000</v>
      </c>
      <c r="D954">
        <v>0.17699999999999999</v>
      </c>
      <c r="E954">
        <v>50</v>
      </c>
      <c r="F954">
        <v>2.86</v>
      </c>
      <c r="G954">
        <v>0.19650000000000001</v>
      </c>
      <c r="H954">
        <v>0</v>
      </c>
      <c r="J954">
        <v>1</v>
      </c>
      <c r="K954">
        <f>YEAR(NetflixData[[#This Row],[date]])</f>
        <v>2021</v>
      </c>
      <c r="L954" t="str">
        <f>TEXT(NetflixData[[#This Row],[date]],"mmm")</f>
        <v>Apr</v>
      </c>
      <c r="M954" t="str">
        <f>TEXT(NetflixData[[#This Row],[date]],"mmm yyyy")</f>
        <v>Apr 2021</v>
      </c>
      <c r="N954" t="str">
        <f t="shared" si="42"/>
        <v>Trading Day</v>
      </c>
      <c r="O954" t="str">
        <f t="shared" si="43"/>
        <v>Positive</v>
      </c>
      <c r="P954" t="str">
        <f t="shared" si="44"/>
        <v>Positive</v>
      </c>
    </row>
    <row r="955" spans="1:16" x14ac:dyDescent="0.3">
      <c r="A955" s="1">
        <v>44308</v>
      </c>
      <c r="B955">
        <v>50.88</v>
      </c>
      <c r="C955">
        <v>90611000</v>
      </c>
      <c r="D955">
        <v>-0.98099999999999998</v>
      </c>
      <c r="E955">
        <v>42</v>
      </c>
      <c r="F955">
        <v>2.62</v>
      </c>
      <c r="G955">
        <v>0.18629999999999999</v>
      </c>
      <c r="H955">
        <v>0</v>
      </c>
      <c r="J955">
        <v>1</v>
      </c>
      <c r="K955">
        <f>YEAR(NetflixData[[#This Row],[date]])</f>
        <v>2021</v>
      </c>
      <c r="L955" t="str">
        <f>TEXT(NetflixData[[#This Row],[date]],"mmm")</f>
        <v>Apr</v>
      </c>
      <c r="M955" t="str">
        <f>TEXT(NetflixData[[#This Row],[date]],"mmm yyyy")</f>
        <v>Apr 2021</v>
      </c>
      <c r="N955" t="str">
        <f t="shared" si="42"/>
        <v>Trading Day</v>
      </c>
      <c r="O955" t="str">
        <f t="shared" si="43"/>
        <v>Negative</v>
      </c>
      <c r="P955" t="str">
        <f t="shared" si="44"/>
        <v>Positive</v>
      </c>
    </row>
    <row r="956" spans="1:16" x14ac:dyDescent="0.3">
      <c r="A956" s="1">
        <v>44309</v>
      </c>
      <c r="B956">
        <v>50.56</v>
      </c>
      <c r="C956">
        <v>73077000</v>
      </c>
      <c r="D956">
        <v>-0.68</v>
      </c>
      <c r="E956">
        <v>55</v>
      </c>
      <c r="F956">
        <v>2.09</v>
      </c>
      <c r="G956">
        <v>1.6999999999999999E-3</v>
      </c>
      <c r="H956">
        <v>0</v>
      </c>
      <c r="J956">
        <v>1</v>
      </c>
      <c r="K956">
        <f>YEAR(NetflixData[[#This Row],[date]])</f>
        <v>2021</v>
      </c>
      <c r="L956" t="str">
        <f>TEXT(NetflixData[[#This Row],[date]],"mmm")</f>
        <v>Apr</v>
      </c>
      <c r="M956" t="str">
        <f>TEXT(NetflixData[[#This Row],[date]],"mmm yyyy")</f>
        <v>Apr 2021</v>
      </c>
      <c r="N956" t="str">
        <f t="shared" si="42"/>
        <v>Non-Trading Day</v>
      </c>
      <c r="O956" t="str">
        <f t="shared" si="43"/>
        <v>Negative</v>
      </c>
      <c r="P956" t="str">
        <f t="shared" si="44"/>
        <v>Neutral</v>
      </c>
    </row>
    <row r="957" spans="1:16" x14ac:dyDescent="0.3">
      <c r="A957" s="1">
        <v>44310</v>
      </c>
      <c r="B957">
        <v>50.56</v>
      </c>
      <c r="C957">
        <v>0</v>
      </c>
      <c r="D957">
        <v>0</v>
      </c>
      <c r="E957">
        <v>54</v>
      </c>
      <c r="F957">
        <v>2.41</v>
      </c>
      <c r="G957">
        <v>0.1323</v>
      </c>
      <c r="H957">
        <v>0</v>
      </c>
      <c r="J957">
        <v>0</v>
      </c>
      <c r="K957">
        <f>YEAR(NetflixData[[#This Row],[date]])</f>
        <v>2021</v>
      </c>
      <c r="L957" t="str">
        <f>TEXT(NetflixData[[#This Row],[date]],"mmm")</f>
        <v>Apr</v>
      </c>
      <c r="M957" t="str">
        <f>TEXT(NetflixData[[#This Row],[date]],"mmm yyyy")</f>
        <v>Apr 2021</v>
      </c>
      <c r="N957" t="str">
        <f t="shared" si="42"/>
        <v>Non-Trading Day</v>
      </c>
      <c r="O957" t="str">
        <f t="shared" si="43"/>
        <v>No Change</v>
      </c>
      <c r="P957" t="str">
        <f t="shared" si="44"/>
        <v>Positive</v>
      </c>
    </row>
    <row r="958" spans="1:16" x14ac:dyDescent="0.3">
      <c r="A958" s="1">
        <v>44311</v>
      </c>
      <c r="B958">
        <v>50.56</v>
      </c>
      <c r="C958">
        <v>0</v>
      </c>
      <c r="D958">
        <v>0</v>
      </c>
      <c r="E958">
        <v>43</v>
      </c>
      <c r="F958">
        <v>2.84</v>
      </c>
      <c r="G958">
        <v>0.27</v>
      </c>
      <c r="H958">
        <v>0</v>
      </c>
      <c r="J958">
        <v>0</v>
      </c>
      <c r="K958">
        <f>YEAR(NetflixData[[#This Row],[date]])</f>
        <v>2021</v>
      </c>
      <c r="L958" t="str">
        <f>TEXT(NetflixData[[#This Row],[date]],"mmm")</f>
        <v>Apr</v>
      </c>
      <c r="M958" t="str">
        <f>TEXT(NetflixData[[#This Row],[date]],"mmm yyyy")</f>
        <v>Apr 2021</v>
      </c>
      <c r="N958" t="str">
        <f t="shared" si="42"/>
        <v>Trading Day</v>
      </c>
      <c r="O958" t="str">
        <f t="shared" si="43"/>
        <v>No Change</v>
      </c>
      <c r="P958" t="str">
        <f t="shared" si="44"/>
        <v>Positive</v>
      </c>
    </row>
    <row r="959" spans="1:16" x14ac:dyDescent="0.3">
      <c r="A959" s="1">
        <v>44312</v>
      </c>
      <c r="B959">
        <v>51.03</v>
      </c>
      <c r="C959">
        <v>43888000</v>
      </c>
      <c r="D959">
        <v>0.69899999999999995</v>
      </c>
      <c r="E959">
        <v>46</v>
      </c>
      <c r="F959">
        <v>2.2200000000000002</v>
      </c>
      <c r="G959">
        <v>8.2900000000000001E-2</v>
      </c>
      <c r="H959">
        <v>0</v>
      </c>
      <c r="J959">
        <v>1</v>
      </c>
      <c r="K959">
        <f>YEAR(NetflixData[[#This Row],[date]])</f>
        <v>2021</v>
      </c>
      <c r="L959" t="str">
        <f>TEXT(NetflixData[[#This Row],[date]],"mmm")</f>
        <v>Apr</v>
      </c>
      <c r="M959" t="str">
        <f>TEXT(NetflixData[[#This Row],[date]],"mmm yyyy")</f>
        <v>Apr 2021</v>
      </c>
      <c r="N959" t="str">
        <f t="shared" si="42"/>
        <v>Trading Day</v>
      </c>
      <c r="O959" t="str">
        <f t="shared" si="43"/>
        <v>Positive</v>
      </c>
      <c r="P959" t="str">
        <f t="shared" si="44"/>
        <v>Neutral</v>
      </c>
    </row>
    <row r="960" spans="1:16" x14ac:dyDescent="0.3">
      <c r="A960" s="1">
        <v>44313</v>
      </c>
      <c r="B960">
        <v>50.56</v>
      </c>
      <c r="C960">
        <v>37613000</v>
      </c>
      <c r="D960">
        <v>-1.379</v>
      </c>
      <c r="E960">
        <v>71</v>
      </c>
      <c r="F960">
        <v>2.68</v>
      </c>
      <c r="G960">
        <v>0.15570000000000001</v>
      </c>
      <c r="H960">
        <v>0</v>
      </c>
      <c r="J960">
        <v>1</v>
      </c>
      <c r="K960">
        <f>YEAR(NetflixData[[#This Row],[date]])</f>
        <v>2021</v>
      </c>
      <c r="L960" t="str">
        <f>TEXT(NetflixData[[#This Row],[date]],"mmm")</f>
        <v>Apr</v>
      </c>
      <c r="M960" t="str">
        <f>TEXT(NetflixData[[#This Row],[date]],"mmm yyyy")</f>
        <v>Apr 2021</v>
      </c>
      <c r="N960" t="str">
        <f t="shared" si="42"/>
        <v>Trading Day</v>
      </c>
      <c r="O960" t="str">
        <f t="shared" si="43"/>
        <v>Negative</v>
      </c>
      <c r="P960" t="str">
        <f t="shared" si="44"/>
        <v>Positive</v>
      </c>
    </row>
    <row r="961" spans="1:16" x14ac:dyDescent="0.3">
      <c r="A961" s="1">
        <v>44314</v>
      </c>
      <c r="B961">
        <v>50.65</v>
      </c>
      <c r="C961">
        <v>31930000</v>
      </c>
      <c r="D961">
        <v>0.26100000000000001</v>
      </c>
      <c r="E961">
        <v>47</v>
      </c>
      <c r="F961">
        <v>3.04</v>
      </c>
      <c r="G961">
        <v>0.2697</v>
      </c>
      <c r="H961">
        <v>0</v>
      </c>
      <c r="J961">
        <v>1</v>
      </c>
      <c r="K961">
        <f>YEAR(NetflixData[[#This Row],[date]])</f>
        <v>2021</v>
      </c>
      <c r="L961" t="str">
        <f>TEXT(NetflixData[[#This Row],[date]],"mmm")</f>
        <v>Apr</v>
      </c>
      <c r="M961" t="str">
        <f>TEXT(NetflixData[[#This Row],[date]],"mmm yyyy")</f>
        <v>Apr 2021</v>
      </c>
      <c r="N961" t="str">
        <f t="shared" si="42"/>
        <v>Trading Day</v>
      </c>
      <c r="O961" t="str">
        <f t="shared" si="43"/>
        <v>Positive</v>
      </c>
      <c r="P961" t="str">
        <f t="shared" si="44"/>
        <v>Positive</v>
      </c>
    </row>
    <row r="962" spans="1:16" x14ac:dyDescent="0.3">
      <c r="A962" s="1">
        <v>44315</v>
      </c>
      <c r="B962">
        <v>50.9</v>
      </c>
      <c r="C962">
        <v>51278000</v>
      </c>
      <c r="D962">
        <v>0.27600000000000002</v>
      </c>
      <c r="E962">
        <v>34</v>
      </c>
      <c r="F962">
        <v>2.2599999999999998</v>
      </c>
      <c r="G962">
        <v>0.25</v>
      </c>
      <c r="H962">
        <v>0</v>
      </c>
      <c r="J962">
        <v>1</v>
      </c>
      <c r="K962">
        <f>YEAR(NetflixData[[#This Row],[date]])</f>
        <v>2021</v>
      </c>
      <c r="L962" t="str">
        <f>TEXT(NetflixData[[#This Row],[date]],"mmm")</f>
        <v>Apr</v>
      </c>
      <c r="M962" t="str">
        <f>TEXT(NetflixData[[#This Row],[date]],"mmm yyyy")</f>
        <v>Apr 2021</v>
      </c>
      <c r="N962" t="str">
        <f t="shared" ref="N962:N1025" si="45">IF(J963=1,"Trading Day","Non-Trading Day")</f>
        <v>Trading Day</v>
      </c>
      <c r="O962" t="str">
        <f t="shared" ref="O962:O1025" si="46">IF(D962&gt;0,"Positive",IF(D962&lt;0,"Negative","No Change"))</f>
        <v>Positive</v>
      </c>
      <c r="P962" t="str">
        <f t="shared" ref="P962:P1025" si="47">IF(G962&gt;0.1,"Positive",IF(G962&lt;-0.1,"Negative","Neutral"))</f>
        <v>Positive</v>
      </c>
    </row>
    <row r="963" spans="1:16" x14ac:dyDescent="0.3">
      <c r="A963" s="1">
        <v>44316</v>
      </c>
      <c r="B963">
        <v>51.35</v>
      </c>
      <c r="C963">
        <v>44132000</v>
      </c>
      <c r="D963">
        <v>1.677</v>
      </c>
      <c r="E963">
        <v>53</v>
      </c>
      <c r="F963">
        <v>2.4500000000000002</v>
      </c>
      <c r="G963">
        <v>0.18029999999999999</v>
      </c>
      <c r="H963">
        <v>0</v>
      </c>
      <c r="J963">
        <v>1</v>
      </c>
      <c r="K963">
        <f>YEAR(NetflixData[[#This Row],[date]])</f>
        <v>2021</v>
      </c>
      <c r="L963" t="str">
        <f>TEXT(NetflixData[[#This Row],[date]],"mmm")</f>
        <v>Apr</v>
      </c>
      <c r="M963" t="str">
        <f>TEXT(NetflixData[[#This Row],[date]],"mmm yyyy")</f>
        <v>Apr 2021</v>
      </c>
      <c r="N963" t="str">
        <f t="shared" si="45"/>
        <v>Non-Trading Day</v>
      </c>
      <c r="O963" t="str">
        <f t="shared" si="46"/>
        <v>Positive</v>
      </c>
      <c r="P963" t="str">
        <f t="shared" si="47"/>
        <v>Positive</v>
      </c>
    </row>
    <row r="964" spans="1:16" x14ac:dyDescent="0.3">
      <c r="A964" s="1">
        <v>44317</v>
      </c>
      <c r="B964">
        <v>51.35</v>
      </c>
      <c r="C964">
        <v>0</v>
      </c>
      <c r="D964">
        <v>0</v>
      </c>
      <c r="E964">
        <v>55</v>
      </c>
      <c r="F964">
        <v>2.67</v>
      </c>
      <c r="G964">
        <v>0.24990000000000001</v>
      </c>
      <c r="H964">
        <v>0</v>
      </c>
      <c r="J964">
        <v>0</v>
      </c>
      <c r="K964">
        <f>YEAR(NetflixData[[#This Row],[date]])</f>
        <v>2021</v>
      </c>
      <c r="L964" t="str">
        <f>TEXT(NetflixData[[#This Row],[date]],"mmm")</f>
        <v>May</v>
      </c>
      <c r="M964" t="str">
        <f>TEXT(NetflixData[[#This Row],[date]],"mmm yyyy")</f>
        <v>May 2021</v>
      </c>
      <c r="N964" t="str">
        <f t="shared" si="45"/>
        <v>Non-Trading Day</v>
      </c>
      <c r="O964" t="str">
        <f t="shared" si="46"/>
        <v>No Change</v>
      </c>
      <c r="P964" t="str">
        <f t="shared" si="47"/>
        <v>Positive</v>
      </c>
    </row>
    <row r="965" spans="1:16" x14ac:dyDescent="0.3">
      <c r="A965" s="1">
        <v>44318</v>
      </c>
      <c r="B965">
        <v>51.35</v>
      </c>
      <c r="C965">
        <v>0</v>
      </c>
      <c r="D965">
        <v>0</v>
      </c>
      <c r="E965">
        <v>48</v>
      </c>
      <c r="F965">
        <v>3.1</v>
      </c>
      <c r="G965">
        <v>0.18609999999999999</v>
      </c>
      <c r="H965">
        <v>0</v>
      </c>
      <c r="J965">
        <v>0</v>
      </c>
      <c r="K965">
        <f>YEAR(NetflixData[[#This Row],[date]])</f>
        <v>2021</v>
      </c>
      <c r="L965" t="str">
        <f>TEXT(NetflixData[[#This Row],[date]],"mmm")</f>
        <v>May</v>
      </c>
      <c r="M965" t="str">
        <f>TEXT(NetflixData[[#This Row],[date]],"mmm yyyy")</f>
        <v>May 2021</v>
      </c>
      <c r="N965" t="str">
        <f t="shared" si="45"/>
        <v>Trading Day</v>
      </c>
      <c r="O965" t="str">
        <f t="shared" si="46"/>
        <v>No Change</v>
      </c>
      <c r="P965" t="str">
        <f t="shared" si="47"/>
        <v>Positive</v>
      </c>
    </row>
    <row r="966" spans="1:16" x14ac:dyDescent="0.3">
      <c r="A966" s="1">
        <v>44319</v>
      </c>
      <c r="B966">
        <v>50.91</v>
      </c>
      <c r="C966">
        <v>40919000</v>
      </c>
      <c r="D966">
        <v>-0.69099999999999995</v>
      </c>
      <c r="E966">
        <v>69</v>
      </c>
      <c r="F966">
        <v>2.7</v>
      </c>
      <c r="G966">
        <v>6.0100000000000001E-2</v>
      </c>
      <c r="H966">
        <v>0</v>
      </c>
      <c r="J966">
        <v>1</v>
      </c>
      <c r="K966">
        <f>YEAR(NetflixData[[#This Row],[date]])</f>
        <v>2021</v>
      </c>
      <c r="L966" t="str">
        <f>TEXT(NetflixData[[#This Row],[date]],"mmm")</f>
        <v>May</v>
      </c>
      <c r="M966" t="str">
        <f>TEXT(NetflixData[[#This Row],[date]],"mmm yyyy")</f>
        <v>May 2021</v>
      </c>
      <c r="N966" t="str">
        <f t="shared" si="45"/>
        <v>Trading Day</v>
      </c>
      <c r="O966" t="str">
        <f t="shared" si="46"/>
        <v>Negative</v>
      </c>
      <c r="P966" t="str">
        <f t="shared" si="47"/>
        <v>Neutral</v>
      </c>
    </row>
    <row r="967" spans="1:16" x14ac:dyDescent="0.3">
      <c r="A967" s="1">
        <v>44320</v>
      </c>
      <c r="B967">
        <v>50.32</v>
      </c>
      <c r="C967">
        <v>43495000</v>
      </c>
      <c r="D967">
        <v>-1.488</v>
      </c>
      <c r="E967">
        <v>55</v>
      </c>
      <c r="F967">
        <v>2.71</v>
      </c>
      <c r="G967">
        <v>0.16239999999999999</v>
      </c>
      <c r="H967">
        <v>0</v>
      </c>
      <c r="J967">
        <v>1</v>
      </c>
      <c r="K967">
        <f>YEAR(NetflixData[[#This Row],[date]])</f>
        <v>2021</v>
      </c>
      <c r="L967" t="str">
        <f>TEXT(NetflixData[[#This Row],[date]],"mmm")</f>
        <v>May</v>
      </c>
      <c r="M967" t="str">
        <f>TEXT(NetflixData[[#This Row],[date]],"mmm yyyy")</f>
        <v>May 2021</v>
      </c>
      <c r="N967" t="str">
        <f t="shared" si="45"/>
        <v>Trading Day</v>
      </c>
      <c r="O967" t="str">
        <f t="shared" si="46"/>
        <v>Negative</v>
      </c>
      <c r="P967" t="str">
        <f t="shared" si="47"/>
        <v>Positive</v>
      </c>
    </row>
    <row r="968" spans="1:16" x14ac:dyDescent="0.3">
      <c r="A968" s="1">
        <v>44321</v>
      </c>
      <c r="B968">
        <v>49.61</v>
      </c>
      <c r="C968">
        <v>31294000</v>
      </c>
      <c r="D968">
        <v>-1.764</v>
      </c>
      <c r="E968">
        <v>57</v>
      </c>
      <c r="F968">
        <v>2.5299999999999998</v>
      </c>
      <c r="G968">
        <v>0.26269999999999999</v>
      </c>
      <c r="H968">
        <v>0</v>
      </c>
      <c r="J968">
        <v>1</v>
      </c>
      <c r="K968">
        <f>YEAR(NetflixData[[#This Row],[date]])</f>
        <v>2021</v>
      </c>
      <c r="L968" t="str">
        <f>TEXT(NetflixData[[#This Row],[date]],"mmm")</f>
        <v>May</v>
      </c>
      <c r="M968" t="str">
        <f>TEXT(NetflixData[[#This Row],[date]],"mmm yyyy")</f>
        <v>May 2021</v>
      </c>
      <c r="N968" t="str">
        <f t="shared" si="45"/>
        <v>Trading Day</v>
      </c>
      <c r="O968" t="str">
        <f t="shared" si="46"/>
        <v>Negative</v>
      </c>
      <c r="P968" t="str">
        <f t="shared" si="47"/>
        <v>Positive</v>
      </c>
    </row>
    <row r="969" spans="1:16" x14ac:dyDescent="0.3">
      <c r="A969" s="1">
        <v>44322</v>
      </c>
      <c r="B969">
        <v>49.96</v>
      </c>
      <c r="C969">
        <v>37837000</v>
      </c>
      <c r="D969">
        <v>0.71799999999999997</v>
      </c>
      <c r="E969">
        <v>59</v>
      </c>
      <c r="F969">
        <v>2.2400000000000002</v>
      </c>
      <c r="G969">
        <v>2.52E-2</v>
      </c>
      <c r="H969">
        <v>0</v>
      </c>
      <c r="J969">
        <v>1</v>
      </c>
      <c r="K969">
        <f>YEAR(NetflixData[[#This Row],[date]])</f>
        <v>2021</v>
      </c>
      <c r="L969" t="str">
        <f>TEXT(NetflixData[[#This Row],[date]],"mmm")</f>
        <v>May</v>
      </c>
      <c r="M969" t="str">
        <f>TEXT(NetflixData[[#This Row],[date]],"mmm yyyy")</f>
        <v>May 2021</v>
      </c>
      <c r="N969" t="str">
        <f t="shared" si="45"/>
        <v>Trading Day</v>
      </c>
      <c r="O969" t="str">
        <f t="shared" si="46"/>
        <v>Positive</v>
      </c>
      <c r="P969" t="str">
        <f t="shared" si="47"/>
        <v>Neutral</v>
      </c>
    </row>
    <row r="970" spans="1:16" x14ac:dyDescent="0.3">
      <c r="A970" s="1">
        <v>44323</v>
      </c>
      <c r="B970">
        <v>50.38</v>
      </c>
      <c r="C970">
        <v>31328000</v>
      </c>
      <c r="D970">
        <v>-0.155</v>
      </c>
      <c r="E970">
        <v>37</v>
      </c>
      <c r="F970">
        <v>3.22</v>
      </c>
      <c r="G970">
        <v>0.2346</v>
      </c>
      <c r="H970">
        <v>0</v>
      </c>
      <c r="J970">
        <v>1</v>
      </c>
      <c r="K970">
        <f>YEAR(NetflixData[[#This Row],[date]])</f>
        <v>2021</v>
      </c>
      <c r="L970" t="str">
        <f>TEXT(NetflixData[[#This Row],[date]],"mmm")</f>
        <v>May</v>
      </c>
      <c r="M970" t="str">
        <f>TEXT(NetflixData[[#This Row],[date]],"mmm yyyy")</f>
        <v>May 2021</v>
      </c>
      <c r="N970" t="str">
        <f t="shared" si="45"/>
        <v>Non-Trading Day</v>
      </c>
      <c r="O970" t="str">
        <f t="shared" si="46"/>
        <v>Negative</v>
      </c>
      <c r="P970" t="str">
        <f t="shared" si="47"/>
        <v>Positive</v>
      </c>
    </row>
    <row r="971" spans="1:16" x14ac:dyDescent="0.3">
      <c r="A971" s="1">
        <v>44324</v>
      </c>
      <c r="B971">
        <v>50.38</v>
      </c>
      <c r="C971">
        <v>0</v>
      </c>
      <c r="D971">
        <v>0</v>
      </c>
      <c r="E971">
        <v>50</v>
      </c>
      <c r="F971">
        <v>2.66</v>
      </c>
      <c r="G971">
        <v>3.4299999999999997E-2</v>
      </c>
      <c r="H971">
        <v>0</v>
      </c>
      <c r="J971">
        <v>0</v>
      </c>
      <c r="K971">
        <f>YEAR(NetflixData[[#This Row],[date]])</f>
        <v>2021</v>
      </c>
      <c r="L971" t="str">
        <f>TEXT(NetflixData[[#This Row],[date]],"mmm")</f>
        <v>May</v>
      </c>
      <c r="M971" t="str">
        <f>TEXT(NetflixData[[#This Row],[date]],"mmm yyyy")</f>
        <v>May 2021</v>
      </c>
      <c r="N971" t="str">
        <f t="shared" si="45"/>
        <v>Non-Trading Day</v>
      </c>
      <c r="O971" t="str">
        <f t="shared" si="46"/>
        <v>No Change</v>
      </c>
      <c r="P971" t="str">
        <f t="shared" si="47"/>
        <v>Neutral</v>
      </c>
    </row>
    <row r="972" spans="1:16" x14ac:dyDescent="0.3">
      <c r="A972" s="1">
        <v>44325</v>
      </c>
      <c r="B972">
        <v>50.38</v>
      </c>
      <c r="C972">
        <v>0</v>
      </c>
      <c r="D972">
        <v>0</v>
      </c>
      <c r="E972">
        <v>49</v>
      </c>
      <c r="F972">
        <v>2.67</v>
      </c>
      <c r="G972">
        <v>0.20069999999999999</v>
      </c>
      <c r="H972">
        <v>0</v>
      </c>
      <c r="J972">
        <v>0</v>
      </c>
      <c r="K972">
        <f>YEAR(NetflixData[[#This Row],[date]])</f>
        <v>2021</v>
      </c>
      <c r="L972" t="str">
        <f>TEXT(NetflixData[[#This Row],[date]],"mmm")</f>
        <v>May</v>
      </c>
      <c r="M972" t="str">
        <f>TEXT(NetflixData[[#This Row],[date]],"mmm yyyy")</f>
        <v>May 2021</v>
      </c>
      <c r="N972" t="str">
        <f t="shared" si="45"/>
        <v>Trading Day</v>
      </c>
      <c r="O972" t="str">
        <f t="shared" si="46"/>
        <v>No Change</v>
      </c>
      <c r="P972" t="str">
        <f t="shared" si="47"/>
        <v>Positive</v>
      </c>
    </row>
    <row r="973" spans="1:16" x14ac:dyDescent="0.3">
      <c r="A973" s="1">
        <v>44326</v>
      </c>
      <c r="B973">
        <v>48.67</v>
      </c>
      <c r="C973">
        <v>51316000</v>
      </c>
      <c r="D973">
        <v>-3.05</v>
      </c>
      <c r="E973">
        <v>57</v>
      </c>
      <c r="F973">
        <v>2.77</v>
      </c>
      <c r="G973">
        <v>0.1222</v>
      </c>
      <c r="H973">
        <v>0</v>
      </c>
      <c r="J973">
        <v>1</v>
      </c>
      <c r="K973">
        <f>YEAR(NetflixData[[#This Row],[date]])</f>
        <v>2021</v>
      </c>
      <c r="L973" t="str">
        <f>TEXT(NetflixData[[#This Row],[date]],"mmm")</f>
        <v>May</v>
      </c>
      <c r="M973" t="str">
        <f>TEXT(NetflixData[[#This Row],[date]],"mmm yyyy")</f>
        <v>May 2021</v>
      </c>
      <c r="N973" t="str">
        <f t="shared" si="45"/>
        <v>Trading Day</v>
      </c>
      <c r="O973" t="str">
        <f t="shared" si="46"/>
        <v>Negative</v>
      </c>
      <c r="P973" t="str">
        <f t="shared" si="47"/>
        <v>Positive</v>
      </c>
    </row>
    <row r="974" spans="1:16" x14ac:dyDescent="0.3">
      <c r="A974" s="1">
        <v>44327</v>
      </c>
      <c r="B974">
        <v>49.51</v>
      </c>
      <c r="C974">
        <v>44010000</v>
      </c>
      <c r="D974">
        <v>3.1949999999999998</v>
      </c>
      <c r="E974">
        <v>63</v>
      </c>
      <c r="F974">
        <v>2.92</v>
      </c>
      <c r="G974">
        <v>0.20949999999999999</v>
      </c>
      <c r="H974">
        <v>0</v>
      </c>
      <c r="J974">
        <v>1</v>
      </c>
      <c r="K974">
        <f>YEAR(NetflixData[[#This Row],[date]])</f>
        <v>2021</v>
      </c>
      <c r="L974" t="str">
        <f>TEXT(NetflixData[[#This Row],[date]],"mmm")</f>
        <v>May</v>
      </c>
      <c r="M974" t="str">
        <f>TEXT(NetflixData[[#This Row],[date]],"mmm yyyy")</f>
        <v>May 2021</v>
      </c>
      <c r="N974" t="str">
        <f t="shared" si="45"/>
        <v>Trading Day</v>
      </c>
      <c r="O974" t="str">
        <f t="shared" si="46"/>
        <v>Positive</v>
      </c>
      <c r="P974" t="str">
        <f t="shared" si="47"/>
        <v>Positive</v>
      </c>
    </row>
    <row r="975" spans="1:16" x14ac:dyDescent="0.3">
      <c r="A975" s="1">
        <v>44328</v>
      </c>
      <c r="B975">
        <v>48.5</v>
      </c>
      <c r="C975">
        <v>41215000</v>
      </c>
      <c r="D975">
        <v>-0.38</v>
      </c>
      <c r="E975">
        <v>55</v>
      </c>
      <c r="F975">
        <v>2.73</v>
      </c>
      <c r="G975">
        <v>0.1046</v>
      </c>
      <c r="H975">
        <v>0</v>
      </c>
      <c r="J975">
        <v>1</v>
      </c>
      <c r="K975">
        <f>YEAR(NetflixData[[#This Row],[date]])</f>
        <v>2021</v>
      </c>
      <c r="L975" t="str">
        <f>TEXT(NetflixData[[#This Row],[date]],"mmm")</f>
        <v>May</v>
      </c>
      <c r="M975" t="str">
        <f>TEXT(NetflixData[[#This Row],[date]],"mmm yyyy")</f>
        <v>May 2021</v>
      </c>
      <c r="N975" t="str">
        <f t="shared" si="45"/>
        <v>Trading Day</v>
      </c>
      <c r="O975" t="str">
        <f t="shared" si="46"/>
        <v>Negative</v>
      </c>
      <c r="P975" t="str">
        <f t="shared" si="47"/>
        <v>Positive</v>
      </c>
    </row>
    <row r="976" spans="1:16" x14ac:dyDescent="0.3">
      <c r="A976" s="1">
        <v>44329</v>
      </c>
      <c r="B976">
        <v>48.67</v>
      </c>
      <c r="C976">
        <v>27125000</v>
      </c>
      <c r="D976">
        <v>-0.505</v>
      </c>
      <c r="E976">
        <v>56</v>
      </c>
      <c r="F976">
        <v>2.5</v>
      </c>
      <c r="G976">
        <v>0.10100000000000001</v>
      </c>
      <c r="H976">
        <v>0</v>
      </c>
      <c r="J976">
        <v>1</v>
      </c>
      <c r="K976">
        <f>YEAR(NetflixData[[#This Row],[date]])</f>
        <v>2021</v>
      </c>
      <c r="L976" t="str">
        <f>TEXT(NetflixData[[#This Row],[date]],"mmm")</f>
        <v>May</v>
      </c>
      <c r="M976" t="str">
        <f>TEXT(NetflixData[[#This Row],[date]],"mmm yyyy")</f>
        <v>May 2021</v>
      </c>
      <c r="N976" t="str">
        <f t="shared" si="45"/>
        <v>Trading Day</v>
      </c>
      <c r="O976" t="str">
        <f t="shared" si="46"/>
        <v>Negative</v>
      </c>
      <c r="P976" t="str">
        <f t="shared" si="47"/>
        <v>Positive</v>
      </c>
    </row>
    <row r="977" spans="1:16" x14ac:dyDescent="0.3">
      <c r="A977" s="1">
        <v>44330</v>
      </c>
      <c r="B977">
        <v>49.34</v>
      </c>
      <c r="C977">
        <v>28825000</v>
      </c>
      <c r="D977">
        <v>1.129</v>
      </c>
      <c r="E977">
        <v>63</v>
      </c>
      <c r="F977">
        <v>2.62</v>
      </c>
      <c r="G977">
        <v>0.1086</v>
      </c>
      <c r="H977">
        <v>0</v>
      </c>
      <c r="J977">
        <v>1</v>
      </c>
      <c r="K977">
        <f>YEAR(NetflixData[[#This Row],[date]])</f>
        <v>2021</v>
      </c>
      <c r="L977" t="str">
        <f>TEXT(NetflixData[[#This Row],[date]],"mmm")</f>
        <v>May</v>
      </c>
      <c r="M977" t="str">
        <f>TEXT(NetflixData[[#This Row],[date]],"mmm yyyy")</f>
        <v>May 2021</v>
      </c>
      <c r="N977" t="str">
        <f t="shared" si="45"/>
        <v>Non-Trading Day</v>
      </c>
      <c r="O977" t="str">
        <f t="shared" si="46"/>
        <v>Positive</v>
      </c>
      <c r="P977" t="str">
        <f t="shared" si="47"/>
        <v>Positive</v>
      </c>
    </row>
    <row r="978" spans="1:16" x14ac:dyDescent="0.3">
      <c r="A978" s="1">
        <v>44331</v>
      </c>
      <c r="B978">
        <v>49.34</v>
      </c>
      <c r="C978">
        <v>0</v>
      </c>
      <c r="D978">
        <v>0</v>
      </c>
      <c r="E978">
        <v>57</v>
      </c>
      <c r="F978">
        <v>2.89</v>
      </c>
      <c r="G978">
        <v>0.17530000000000001</v>
      </c>
      <c r="H978">
        <v>0</v>
      </c>
      <c r="J978">
        <v>0</v>
      </c>
      <c r="K978">
        <f>YEAR(NetflixData[[#This Row],[date]])</f>
        <v>2021</v>
      </c>
      <c r="L978" t="str">
        <f>TEXT(NetflixData[[#This Row],[date]],"mmm")</f>
        <v>May</v>
      </c>
      <c r="M978" t="str">
        <f>TEXT(NetflixData[[#This Row],[date]],"mmm yyyy")</f>
        <v>May 2021</v>
      </c>
      <c r="N978" t="str">
        <f t="shared" si="45"/>
        <v>Non-Trading Day</v>
      </c>
      <c r="O978" t="str">
        <f t="shared" si="46"/>
        <v>No Change</v>
      </c>
      <c r="P978" t="str">
        <f t="shared" si="47"/>
        <v>Positive</v>
      </c>
    </row>
    <row r="979" spans="1:16" x14ac:dyDescent="0.3">
      <c r="A979" s="1">
        <v>44332</v>
      </c>
      <c r="B979">
        <v>49.34</v>
      </c>
      <c r="C979">
        <v>0</v>
      </c>
      <c r="D979">
        <v>0</v>
      </c>
      <c r="E979">
        <v>64</v>
      </c>
      <c r="F979">
        <v>2.81</v>
      </c>
      <c r="G979">
        <v>0.25209999999999999</v>
      </c>
      <c r="H979">
        <v>0</v>
      </c>
      <c r="J979">
        <v>0</v>
      </c>
      <c r="K979">
        <f>YEAR(NetflixData[[#This Row],[date]])</f>
        <v>2021</v>
      </c>
      <c r="L979" t="str">
        <f>TEXT(NetflixData[[#This Row],[date]],"mmm")</f>
        <v>May</v>
      </c>
      <c r="M979" t="str">
        <f>TEXT(NetflixData[[#This Row],[date]],"mmm yyyy")</f>
        <v>May 2021</v>
      </c>
      <c r="N979" t="str">
        <f t="shared" si="45"/>
        <v>Trading Day</v>
      </c>
      <c r="O979" t="str">
        <f t="shared" si="46"/>
        <v>No Change</v>
      </c>
      <c r="P979" t="str">
        <f t="shared" si="47"/>
        <v>Positive</v>
      </c>
    </row>
    <row r="980" spans="1:16" x14ac:dyDescent="0.3">
      <c r="A980" s="1">
        <v>44333</v>
      </c>
      <c r="B980">
        <v>48.89</v>
      </c>
      <c r="C980">
        <v>27052000</v>
      </c>
      <c r="D980">
        <v>0.69</v>
      </c>
      <c r="E980">
        <v>48</v>
      </c>
      <c r="F980">
        <v>3.04</v>
      </c>
      <c r="G980">
        <v>0.1653</v>
      </c>
      <c r="H980">
        <v>0</v>
      </c>
      <c r="J980">
        <v>1</v>
      </c>
      <c r="K980">
        <f>YEAR(NetflixData[[#This Row],[date]])</f>
        <v>2021</v>
      </c>
      <c r="L980" t="str">
        <f>TEXT(NetflixData[[#This Row],[date]],"mmm")</f>
        <v>May</v>
      </c>
      <c r="M980" t="str">
        <f>TEXT(NetflixData[[#This Row],[date]],"mmm yyyy")</f>
        <v>May 2021</v>
      </c>
      <c r="N980" t="str">
        <f t="shared" si="45"/>
        <v>Trading Day</v>
      </c>
      <c r="O980" t="str">
        <f t="shared" si="46"/>
        <v>Positive</v>
      </c>
      <c r="P980" t="str">
        <f t="shared" si="47"/>
        <v>Positive</v>
      </c>
    </row>
    <row r="981" spans="1:16" x14ac:dyDescent="0.3">
      <c r="A981" s="1">
        <v>44334</v>
      </c>
      <c r="B981">
        <v>48.63</v>
      </c>
      <c r="C981">
        <v>23505000</v>
      </c>
      <c r="D981">
        <v>-0.434</v>
      </c>
      <c r="E981">
        <v>59</v>
      </c>
      <c r="F981">
        <v>2.58</v>
      </c>
      <c r="G981">
        <v>0.2147</v>
      </c>
      <c r="H981">
        <v>0</v>
      </c>
      <c r="J981">
        <v>1</v>
      </c>
      <c r="K981">
        <f>YEAR(NetflixData[[#This Row],[date]])</f>
        <v>2021</v>
      </c>
      <c r="L981" t="str">
        <f>TEXT(NetflixData[[#This Row],[date]],"mmm")</f>
        <v>May</v>
      </c>
      <c r="M981" t="str">
        <f>TEXT(NetflixData[[#This Row],[date]],"mmm yyyy")</f>
        <v>May 2021</v>
      </c>
      <c r="N981" t="str">
        <f t="shared" si="45"/>
        <v>Trading Day</v>
      </c>
      <c r="O981" t="str">
        <f t="shared" si="46"/>
        <v>Negative</v>
      </c>
      <c r="P981" t="str">
        <f t="shared" si="47"/>
        <v>Positive</v>
      </c>
    </row>
    <row r="982" spans="1:16" x14ac:dyDescent="0.3">
      <c r="A982" s="1">
        <v>44335</v>
      </c>
      <c r="B982">
        <v>48.77</v>
      </c>
      <c r="C982">
        <v>33499000</v>
      </c>
      <c r="D982">
        <v>1.26</v>
      </c>
      <c r="E982">
        <v>69</v>
      </c>
      <c r="F982">
        <v>2.62</v>
      </c>
      <c r="G982">
        <v>0.13730000000000001</v>
      </c>
      <c r="H982">
        <v>0</v>
      </c>
      <c r="J982">
        <v>1</v>
      </c>
      <c r="K982">
        <f>YEAR(NetflixData[[#This Row],[date]])</f>
        <v>2021</v>
      </c>
      <c r="L982" t="str">
        <f>TEXT(NetflixData[[#This Row],[date]],"mmm")</f>
        <v>May</v>
      </c>
      <c r="M982" t="str">
        <f>TEXT(NetflixData[[#This Row],[date]],"mmm yyyy")</f>
        <v>May 2021</v>
      </c>
      <c r="N982" t="str">
        <f t="shared" si="45"/>
        <v>Trading Day</v>
      </c>
      <c r="O982" t="str">
        <f t="shared" si="46"/>
        <v>Positive</v>
      </c>
      <c r="P982" t="str">
        <f t="shared" si="47"/>
        <v>Positive</v>
      </c>
    </row>
    <row r="983" spans="1:16" x14ac:dyDescent="0.3">
      <c r="A983" s="1">
        <v>44336</v>
      </c>
      <c r="B983">
        <v>50.17</v>
      </c>
      <c r="C983">
        <v>37212000</v>
      </c>
      <c r="D983">
        <v>2.476</v>
      </c>
      <c r="E983">
        <v>58</v>
      </c>
      <c r="F983">
        <v>2.48</v>
      </c>
      <c r="G983">
        <v>0.1963</v>
      </c>
      <c r="H983">
        <v>0</v>
      </c>
      <c r="J983">
        <v>1</v>
      </c>
      <c r="K983">
        <f>YEAR(NetflixData[[#This Row],[date]])</f>
        <v>2021</v>
      </c>
      <c r="L983" t="str">
        <f>TEXT(NetflixData[[#This Row],[date]],"mmm")</f>
        <v>May</v>
      </c>
      <c r="M983" t="str">
        <f>TEXT(NetflixData[[#This Row],[date]],"mmm yyyy")</f>
        <v>May 2021</v>
      </c>
      <c r="N983" t="str">
        <f t="shared" si="45"/>
        <v>Trading Day</v>
      </c>
      <c r="O983" t="str">
        <f t="shared" si="46"/>
        <v>Positive</v>
      </c>
      <c r="P983" t="str">
        <f t="shared" si="47"/>
        <v>Positive</v>
      </c>
    </row>
    <row r="984" spans="1:16" x14ac:dyDescent="0.3">
      <c r="A984" s="1">
        <v>44337</v>
      </c>
      <c r="B984">
        <v>49.79</v>
      </c>
      <c r="C984">
        <v>33229000</v>
      </c>
      <c r="D984">
        <v>-1.04</v>
      </c>
      <c r="E984">
        <v>55</v>
      </c>
      <c r="F984">
        <v>2.42</v>
      </c>
      <c r="G984">
        <v>-1.0699999999999999E-2</v>
      </c>
      <c r="H984">
        <v>0</v>
      </c>
      <c r="J984">
        <v>1</v>
      </c>
      <c r="K984">
        <f>YEAR(NetflixData[[#This Row],[date]])</f>
        <v>2021</v>
      </c>
      <c r="L984" t="str">
        <f>TEXT(NetflixData[[#This Row],[date]],"mmm")</f>
        <v>May</v>
      </c>
      <c r="M984" t="str">
        <f>TEXT(NetflixData[[#This Row],[date]],"mmm yyyy")</f>
        <v>May 2021</v>
      </c>
      <c r="N984" t="str">
        <f t="shared" si="45"/>
        <v>Non-Trading Day</v>
      </c>
      <c r="O984" t="str">
        <f t="shared" si="46"/>
        <v>Negative</v>
      </c>
      <c r="P984" t="str">
        <f t="shared" si="47"/>
        <v>Neutral</v>
      </c>
    </row>
    <row r="985" spans="1:16" x14ac:dyDescent="0.3">
      <c r="A985" s="1">
        <v>44338</v>
      </c>
      <c r="B985">
        <v>49.79</v>
      </c>
      <c r="C985">
        <v>0</v>
      </c>
      <c r="D985">
        <v>0</v>
      </c>
      <c r="E985">
        <v>57</v>
      </c>
      <c r="F985">
        <v>2.75</v>
      </c>
      <c r="G985">
        <v>0.1573</v>
      </c>
      <c r="H985">
        <v>0</v>
      </c>
      <c r="J985">
        <v>0</v>
      </c>
      <c r="K985">
        <f>YEAR(NetflixData[[#This Row],[date]])</f>
        <v>2021</v>
      </c>
      <c r="L985" t="str">
        <f>TEXT(NetflixData[[#This Row],[date]],"mmm")</f>
        <v>May</v>
      </c>
      <c r="M985" t="str">
        <f>TEXT(NetflixData[[#This Row],[date]],"mmm yyyy")</f>
        <v>May 2021</v>
      </c>
      <c r="N985" t="str">
        <f t="shared" si="45"/>
        <v>Non-Trading Day</v>
      </c>
      <c r="O985" t="str">
        <f t="shared" si="46"/>
        <v>No Change</v>
      </c>
      <c r="P985" t="str">
        <f t="shared" si="47"/>
        <v>Positive</v>
      </c>
    </row>
    <row r="986" spans="1:16" x14ac:dyDescent="0.3">
      <c r="A986" s="1">
        <v>44339</v>
      </c>
      <c r="B986">
        <v>49.79</v>
      </c>
      <c r="C986">
        <v>0</v>
      </c>
      <c r="D986">
        <v>0</v>
      </c>
      <c r="E986">
        <v>62</v>
      </c>
      <c r="F986">
        <v>2.73</v>
      </c>
      <c r="G986">
        <v>0.20100000000000001</v>
      </c>
      <c r="H986">
        <v>0</v>
      </c>
      <c r="J986">
        <v>0</v>
      </c>
      <c r="K986">
        <f>YEAR(NetflixData[[#This Row],[date]])</f>
        <v>2021</v>
      </c>
      <c r="L986" t="str">
        <f>TEXT(NetflixData[[#This Row],[date]],"mmm")</f>
        <v>May</v>
      </c>
      <c r="M986" t="str">
        <f>TEXT(NetflixData[[#This Row],[date]],"mmm yyyy")</f>
        <v>May 2021</v>
      </c>
      <c r="N986" t="str">
        <f t="shared" si="45"/>
        <v>Trading Day</v>
      </c>
      <c r="O986" t="str">
        <f t="shared" si="46"/>
        <v>No Change</v>
      </c>
      <c r="P986" t="str">
        <f t="shared" si="47"/>
        <v>Positive</v>
      </c>
    </row>
    <row r="987" spans="1:16" x14ac:dyDescent="0.3">
      <c r="A987" s="1">
        <v>44340</v>
      </c>
      <c r="B987">
        <v>50.29</v>
      </c>
      <c r="C987">
        <v>24126000</v>
      </c>
      <c r="D987">
        <v>0.36899999999999999</v>
      </c>
      <c r="E987">
        <v>46</v>
      </c>
      <c r="F987">
        <v>2.65</v>
      </c>
      <c r="G987">
        <v>9.6199999999999994E-2</v>
      </c>
      <c r="H987">
        <v>0</v>
      </c>
      <c r="J987">
        <v>1</v>
      </c>
      <c r="K987">
        <f>YEAR(NetflixData[[#This Row],[date]])</f>
        <v>2021</v>
      </c>
      <c r="L987" t="str">
        <f>TEXT(NetflixData[[#This Row],[date]],"mmm")</f>
        <v>May</v>
      </c>
      <c r="M987" t="str">
        <f>TEXT(NetflixData[[#This Row],[date]],"mmm yyyy")</f>
        <v>May 2021</v>
      </c>
      <c r="N987" t="str">
        <f t="shared" si="45"/>
        <v>Trading Day</v>
      </c>
      <c r="O987" t="str">
        <f t="shared" si="46"/>
        <v>Positive</v>
      </c>
      <c r="P987" t="str">
        <f t="shared" si="47"/>
        <v>Neutral</v>
      </c>
    </row>
    <row r="988" spans="1:16" x14ac:dyDescent="0.3">
      <c r="A988" s="1">
        <v>44341</v>
      </c>
      <c r="B988">
        <v>50.13</v>
      </c>
      <c r="C988">
        <v>26995000</v>
      </c>
      <c r="D988">
        <v>-0.92100000000000004</v>
      </c>
      <c r="E988">
        <v>53</v>
      </c>
      <c r="F988">
        <v>2.4300000000000002</v>
      </c>
      <c r="G988">
        <v>0.13250000000000001</v>
      </c>
      <c r="H988">
        <v>0</v>
      </c>
      <c r="J988">
        <v>1</v>
      </c>
      <c r="K988">
        <f>YEAR(NetflixData[[#This Row],[date]])</f>
        <v>2021</v>
      </c>
      <c r="L988" t="str">
        <f>TEXT(NetflixData[[#This Row],[date]],"mmm")</f>
        <v>May</v>
      </c>
      <c r="M988" t="str">
        <f>TEXT(NetflixData[[#This Row],[date]],"mmm yyyy")</f>
        <v>May 2021</v>
      </c>
      <c r="N988" t="str">
        <f t="shared" si="45"/>
        <v>Trading Day</v>
      </c>
      <c r="O988" t="str">
        <f t="shared" si="46"/>
        <v>Negative</v>
      </c>
      <c r="P988" t="str">
        <f t="shared" si="47"/>
        <v>Positive</v>
      </c>
    </row>
    <row r="989" spans="1:16" x14ac:dyDescent="0.3">
      <c r="A989" s="1">
        <v>44342</v>
      </c>
      <c r="B989">
        <v>50.24</v>
      </c>
      <c r="C989">
        <v>24653000</v>
      </c>
      <c r="D989">
        <v>4.0000000000000001E-3</v>
      </c>
      <c r="E989">
        <v>55</v>
      </c>
      <c r="F989">
        <v>2.64</v>
      </c>
      <c r="G989">
        <v>0.16500000000000001</v>
      </c>
      <c r="H989">
        <v>0</v>
      </c>
      <c r="J989">
        <v>1</v>
      </c>
      <c r="K989">
        <f>YEAR(NetflixData[[#This Row],[date]])</f>
        <v>2021</v>
      </c>
      <c r="L989" t="str">
        <f>TEXT(NetflixData[[#This Row],[date]],"mmm")</f>
        <v>May</v>
      </c>
      <c r="M989" t="str">
        <f>TEXT(NetflixData[[#This Row],[date]],"mmm yyyy")</f>
        <v>May 2021</v>
      </c>
      <c r="N989" t="str">
        <f t="shared" si="45"/>
        <v>Trading Day</v>
      </c>
      <c r="O989" t="str">
        <f t="shared" si="46"/>
        <v>Positive</v>
      </c>
      <c r="P989" t="str">
        <f t="shared" si="47"/>
        <v>Positive</v>
      </c>
    </row>
    <row r="990" spans="1:16" x14ac:dyDescent="0.3">
      <c r="A990" s="1">
        <v>44343</v>
      </c>
      <c r="B990">
        <v>50.39</v>
      </c>
      <c r="C990">
        <v>32538000</v>
      </c>
      <c r="D990">
        <v>0.41099999999999998</v>
      </c>
      <c r="E990">
        <v>43</v>
      </c>
      <c r="F990">
        <v>2.21</v>
      </c>
      <c r="G990">
        <v>2.76E-2</v>
      </c>
      <c r="H990">
        <v>0</v>
      </c>
      <c r="J990">
        <v>1</v>
      </c>
      <c r="K990">
        <f>YEAR(NetflixData[[#This Row],[date]])</f>
        <v>2021</v>
      </c>
      <c r="L990" t="str">
        <f>TEXT(NetflixData[[#This Row],[date]],"mmm")</f>
        <v>May</v>
      </c>
      <c r="M990" t="str">
        <f>TEXT(NetflixData[[#This Row],[date]],"mmm yyyy")</f>
        <v>May 2021</v>
      </c>
      <c r="N990" t="str">
        <f t="shared" si="45"/>
        <v>Trading Day</v>
      </c>
      <c r="O990" t="str">
        <f t="shared" si="46"/>
        <v>Positive</v>
      </c>
      <c r="P990" t="str">
        <f t="shared" si="47"/>
        <v>Neutral</v>
      </c>
    </row>
    <row r="991" spans="1:16" x14ac:dyDescent="0.3">
      <c r="A991" s="1">
        <v>44344</v>
      </c>
      <c r="B991">
        <v>50.28</v>
      </c>
      <c r="C991">
        <v>29103000</v>
      </c>
      <c r="D991">
        <v>-0.315</v>
      </c>
      <c r="E991">
        <v>42</v>
      </c>
      <c r="F991">
        <v>2.52</v>
      </c>
      <c r="G991">
        <v>5.4600000000000003E-2</v>
      </c>
      <c r="H991">
        <v>0</v>
      </c>
      <c r="J991">
        <v>1</v>
      </c>
      <c r="K991">
        <f>YEAR(NetflixData[[#This Row],[date]])</f>
        <v>2021</v>
      </c>
      <c r="L991" t="str">
        <f>TEXT(NetflixData[[#This Row],[date]],"mmm")</f>
        <v>May</v>
      </c>
      <c r="M991" t="str">
        <f>TEXT(NetflixData[[#This Row],[date]],"mmm yyyy")</f>
        <v>May 2021</v>
      </c>
      <c r="N991" t="str">
        <f t="shared" si="45"/>
        <v>Non-Trading Day</v>
      </c>
      <c r="O991" t="str">
        <f t="shared" si="46"/>
        <v>Negative</v>
      </c>
      <c r="P991" t="str">
        <f t="shared" si="47"/>
        <v>Neutral</v>
      </c>
    </row>
    <row r="992" spans="1:16" x14ac:dyDescent="0.3">
      <c r="A992" s="1">
        <v>44345</v>
      </c>
      <c r="B992">
        <v>50.28</v>
      </c>
      <c r="C992">
        <v>0</v>
      </c>
      <c r="D992">
        <v>0</v>
      </c>
      <c r="E992">
        <v>53</v>
      </c>
      <c r="F992">
        <v>2.58</v>
      </c>
      <c r="G992">
        <v>0.18840000000000001</v>
      </c>
      <c r="H992">
        <v>0</v>
      </c>
      <c r="J992">
        <v>0</v>
      </c>
      <c r="K992">
        <f>YEAR(NetflixData[[#This Row],[date]])</f>
        <v>2021</v>
      </c>
      <c r="L992" t="str">
        <f>TEXT(NetflixData[[#This Row],[date]],"mmm")</f>
        <v>May</v>
      </c>
      <c r="M992" t="str">
        <f>TEXT(NetflixData[[#This Row],[date]],"mmm yyyy")</f>
        <v>May 2021</v>
      </c>
      <c r="N992" t="str">
        <f t="shared" si="45"/>
        <v>Non-Trading Day</v>
      </c>
      <c r="O992" t="str">
        <f t="shared" si="46"/>
        <v>No Change</v>
      </c>
      <c r="P992" t="str">
        <f t="shared" si="47"/>
        <v>Positive</v>
      </c>
    </row>
    <row r="993" spans="1:16" x14ac:dyDescent="0.3">
      <c r="A993" s="1">
        <v>44346</v>
      </c>
      <c r="B993">
        <v>50.28</v>
      </c>
      <c r="C993">
        <v>0</v>
      </c>
      <c r="D993">
        <v>0</v>
      </c>
      <c r="E993">
        <v>58</v>
      </c>
      <c r="F993">
        <v>2.84</v>
      </c>
      <c r="G993">
        <v>0.23730000000000001</v>
      </c>
      <c r="H993">
        <v>0</v>
      </c>
      <c r="J993">
        <v>0</v>
      </c>
      <c r="K993">
        <f>YEAR(NetflixData[[#This Row],[date]])</f>
        <v>2021</v>
      </c>
      <c r="L993" t="str">
        <f>TEXT(NetflixData[[#This Row],[date]],"mmm")</f>
        <v>May</v>
      </c>
      <c r="M993" t="str">
        <f>TEXT(NetflixData[[#This Row],[date]],"mmm yyyy")</f>
        <v>May 2021</v>
      </c>
      <c r="N993" t="str">
        <f t="shared" si="45"/>
        <v>Non-Trading Day</v>
      </c>
      <c r="O993" t="str">
        <f t="shared" si="46"/>
        <v>No Change</v>
      </c>
      <c r="P993" t="str">
        <f t="shared" si="47"/>
        <v>Positive</v>
      </c>
    </row>
    <row r="994" spans="1:16" x14ac:dyDescent="0.3">
      <c r="A994" s="1">
        <v>44347</v>
      </c>
      <c r="B994">
        <v>50.28</v>
      </c>
      <c r="C994">
        <v>0</v>
      </c>
      <c r="D994">
        <v>0</v>
      </c>
      <c r="E994">
        <v>53</v>
      </c>
      <c r="F994">
        <v>2.89</v>
      </c>
      <c r="G994">
        <v>0.24959999999999999</v>
      </c>
      <c r="H994">
        <v>0</v>
      </c>
      <c r="J994">
        <v>0</v>
      </c>
      <c r="K994">
        <f>YEAR(NetflixData[[#This Row],[date]])</f>
        <v>2021</v>
      </c>
      <c r="L994" t="str">
        <f>TEXT(NetflixData[[#This Row],[date]],"mmm")</f>
        <v>May</v>
      </c>
      <c r="M994" t="str">
        <f>TEXT(NetflixData[[#This Row],[date]],"mmm yyyy")</f>
        <v>May 2021</v>
      </c>
      <c r="N994" t="str">
        <f t="shared" si="45"/>
        <v>Trading Day</v>
      </c>
      <c r="O994" t="str">
        <f t="shared" si="46"/>
        <v>No Change</v>
      </c>
      <c r="P994" t="str">
        <f t="shared" si="47"/>
        <v>Positive</v>
      </c>
    </row>
    <row r="995" spans="1:16" x14ac:dyDescent="0.3">
      <c r="A995" s="1">
        <v>44348</v>
      </c>
      <c r="B995">
        <v>49.91</v>
      </c>
      <c r="C995">
        <v>24826000</v>
      </c>
      <c r="D995">
        <v>-0.97799999999999998</v>
      </c>
      <c r="E995">
        <v>44</v>
      </c>
      <c r="F995">
        <v>2.5</v>
      </c>
      <c r="G995">
        <v>0.14099999999999999</v>
      </c>
      <c r="H995">
        <v>0</v>
      </c>
      <c r="J995">
        <v>1</v>
      </c>
      <c r="K995">
        <f>YEAR(NetflixData[[#This Row],[date]])</f>
        <v>2021</v>
      </c>
      <c r="L995" t="str">
        <f>TEXT(NetflixData[[#This Row],[date]],"mmm")</f>
        <v>Jun</v>
      </c>
      <c r="M995" t="str">
        <f>TEXT(NetflixData[[#This Row],[date]],"mmm yyyy")</f>
        <v>Jun 2021</v>
      </c>
      <c r="N995" t="str">
        <f t="shared" si="45"/>
        <v>Trading Day</v>
      </c>
      <c r="O995" t="str">
        <f t="shared" si="46"/>
        <v>Negative</v>
      </c>
      <c r="P995" t="str">
        <f t="shared" si="47"/>
        <v>Positive</v>
      </c>
    </row>
    <row r="996" spans="1:16" x14ac:dyDescent="0.3">
      <c r="A996" s="1">
        <v>44349</v>
      </c>
      <c r="B996">
        <v>49.92</v>
      </c>
      <c r="C996">
        <v>22690000</v>
      </c>
      <c r="D996">
        <v>-0.11600000000000001</v>
      </c>
      <c r="E996">
        <v>47</v>
      </c>
      <c r="F996">
        <v>2.5099999999999998</v>
      </c>
      <c r="G996">
        <v>7.6399999999999996E-2</v>
      </c>
      <c r="H996">
        <v>0</v>
      </c>
      <c r="J996">
        <v>1</v>
      </c>
      <c r="K996">
        <f>YEAR(NetflixData[[#This Row],[date]])</f>
        <v>2021</v>
      </c>
      <c r="L996" t="str">
        <f>TEXT(NetflixData[[#This Row],[date]],"mmm")</f>
        <v>Jun</v>
      </c>
      <c r="M996" t="str">
        <f>TEXT(NetflixData[[#This Row],[date]],"mmm yyyy")</f>
        <v>Jun 2021</v>
      </c>
      <c r="N996" t="str">
        <f t="shared" si="45"/>
        <v>Trading Day</v>
      </c>
      <c r="O996" t="str">
        <f t="shared" si="46"/>
        <v>Negative</v>
      </c>
      <c r="P996" t="str">
        <f t="shared" si="47"/>
        <v>Neutral</v>
      </c>
    </row>
    <row r="997" spans="1:16" x14ac:dyDescent="0.3">
      <c r="A997" s="1">
        <v>44350</v>
      </c>
      <c r="B997">
        <v>48.94</v>
      </c>
      <c r="C997">
        <v>38874000</v>
      </c>
      <c r="D997">
        <v>-1.163</v>
      </c>
      <c r="E997">
        <v>50</v>
      </c>
      <c r="F997">
        <v>2.42</v>
      </c>
      <c r="G997">
        <v>0.1053</v>
      </c>
      <c r="H997">
        <v>0</v>
      </c>
      <c r="J997">
        <v>1</v>
      </c>
      <c r="K997">
        <f>YEAR(NetflixData[[#This Row],[date]])</f>
        <v>2021</v>
      </c>
      <c r="L997" t="str">
        <f>TEXT(NetflixData[[#This Row],[date]],"mmm")</f>
        <v>Jun</v>
      </c>
      <c r="M997" t="str">
        <f>TEXT(NetflixData[[#This Row],[date]],"mmm yyyy")</f>
        <v>Jun 2021</v>
      </c>
      <c r="N997" t="str">
        <f t="shared" si="45"/>
        <v>Trading Day</v>
      </c>
      <c r="O997" t="str">
        <f t="shared" si="46"/>
        <v>Negative</v>
      </c>
      <c r="P997" t="str">
        <f t="shared" si="47"/>
        <v>Positive</v>
      </c>
    </row>
    <row r="998" spans="1:16" x14ac:dyDescent="0.3">
      <c r="A998" s="1">
        <v>44351</v>
      </c>
      <c r="B998">
        <v>49.47</v>
      </c>
      <c r="C998">
        <v>31605000</v>
      </c>
      <c r="D998">
        <v>0.55700000000000005</v>
      </c>
      <c r="E998">
        <v>55</v>
      </c>
      <c r="F998">
        <v>2.29</v>
      </c>
      <c r="G998">
        <v>0.111</v>
      </c>
      <c r="H998">
        <v>0</v>
      </c>
      <c r="J998">
        <v>1</v>
      </c>
      <c r="K998">
        <f>YEAR(NetflixData[[#This Row],[date]])</f>
        <v>2021</v>
      </c>
      <c r="L998" t="str">
        <f>TEXT(NetflixData[[#This Row],[date]],"mmm")</f>
        <v>Jun</v>
      </c>
      <c r="M998" t="str">
        <f>TEXT(NetflixData[[#This Row],[date]],"mmm yyyy")</f>
        <v>Jun 2021</v>
      </c>
      <c r="N998" t="str">
        <f t="shared" si="45"/>
        <v>Non-Trading Day</v>
      </c>
      <c r="O998" t="str">
        <f t="shared" si="46"/>
        <v>Positive</v>
      </c>
      <c r="P998" t="str">
        <f t="shared" si="47"/>
        <v>Positive</v>
      </c>
    </row>
    <row r="999" spans="1:16" x14ac:dyDescent="0.3">
      <c r="A999" s="1">
        <v>44352</v>
      </c>
      <c r="B999">
        <v>49.47</v>
      </c>
      <c r="C999">
        <v>0</v>
      </c>
      <c r="D999">
        <v>0</v>
      </c>
      <c r="E999">
        <v>54</v>
      </c>
      <c r="F999">
        <v>2.67</v>
      </c>
      <c r="G999">
        <v>0.22040000000000001</v>
      </c>
      <c r="H999">
        <v>0</v>
      </c>
      <c r="J999">
        <v>0</v>
      </c>
      <c r="K999">
        <f>YEAR(NetflixData[[#This Row],[date]])</f>
        <v>2021</v>
      </c>
      <c r="L999" t="str">
        <f>TEXT(NetflixData[[#This Row],[date]],"mmm")</f>
        <v>Jun</v>
      </c>
      <c r="M999" t="str">
        <f>TEXT(NetflixData[[#This Row],[date]],"mmm yyyy")</f>
        <v>Jun 2021</v>
      </c>
      <c r="N999" t="str">
        <f t="shared" si="45"/>
        <v>Non-Trading Day</v>
      </c>
      <c r="O999" t="str">
        <f t="shared" si="46"/>
        <v>No Change</v>
      </c>
      <c r="P999" t="str">
        <f t="shared" si="47"/>
        <v>Positive</v>
      </c>
    </row>
    <row r="1000" spans="1:16" x14ac:dyDescent="0.3">
      <c r="A1000" s="1">
        <v>44353</v>
      </c>
      <c r="B1000">
        <v>49.47</v>
      </c>
      <c r="C1000">
        <v>0</v>
      </c>
      <c r="D1000">
        <v>0</v>
      </c>
      <c r="E1000">
        <v>59</v>
      </c>
      <c r="F1000">
        <v>2.78</v>
      </c>
      <c r="G1000">
        <v>0.21029999999999999</v>
      </c>
      <c r="H1000">
        <v>0</v>
      </c>
      <c r="J1000">
        <v>0</v>
      </c>
      <c r="K1000">
        <f>YEAR(NetflixData[[#This Row],[date]])</f>
        <v>2021</v>
      </c>
      <c r="L1000" t="str">
        <f>TEXT(NetflixData[[#This Row],[date]],"mmm")</f>
        <v>Jun</v>
      </c>
      <c r="M1000" t="str">
        <f>TEXT(NetflixData[[#This Row],[date]],"mmm yyyy")</f>
        <v>Jun 2021</v>
      </c>
      <c r="N1000" t="str">
        <f t="shared" si="45"/>
        <v>Trading Day</v>
      </c>
      <c r="O1000" t="str">
        <f t="shared" si="46"/>
        <v>No Change</v>
      </c>
      <c r="P1000" t="str">
        <f t="shared" si="47"/>
        <v>Positive</v>
      </c>
    </row>
    <row r="1001" spans="1:16" x14ac:dyDescent="0.3">
      <c r="A1001" s="1">
        <v>44354</v>
      </c>
      <c r="B1001">
        <v>49.47</v>
      </c>
      <c r="C1001">
        <v>27919000</v>
      </c>
      <c r="D1001">
        <v>0.35299999999999998</v>
      </c>
      <c r="E1001">
        <v>56</v>
      </c>
      <c r="F1001">
        <v>2.73</v>
      </c>
      <c r="G1001">
        <v>0.1835</v>
      </c>
      <c r="H1001">
        <v>0</v>
      </c>
      <c r="J1001">
        <v>1</v>
      </c>
      <c r="K1001">
        <f>YEAR(NetflixData[[#This Row],[date]])</f>
        <v>2021</v>
      </c>
      <c r="L1001" t="str">
        <f>TEXT(NetflixData[[#This Row],[date]],"mmm")</f>
        <v>Jun</v>
      </c>
      <c r="M1001" t="str">
        <f>TEXT(NetflixData[[#This Row],[date]],"mmm yyyy")</f>
        <v>Jun 2021</v>
      </c>
      <c r="N1001" t="str">
        <f t="shared" si="45"/>
        <v>Trading Day</v>
      </c>
      <c r="O1001" t="str">
        <f t="shared" si="46"/>
        <v>Positive</v>
      </c>
      <c r="P1001" t="str">
        <f t="shared" si="47"/>
        <v>Positive</v>
      </c>
    </row>
    <row r="1002" spans="1:16" x14ac:dyDescent="0.3">
      <c r="A1002" s="1">
        <v>44355</v>
      </c>
      <c r="B1002">
        <v>49.24</v>
      </c>
      <c r="C1002">
        <v>23740000</v>
      </c>
      <c r="D1002">
        <v>-0.92800000000000005</v>
      </c>
      <c r="E1002">
        <v>36</v>
      </c>
      <c r="F1002">
        <v>3.14</v>
      </c>
      <c r="G1002">
        <v>0.18679999999999999</v>
      </c>
      <c r="H1002">
        <v>0</v>
      </c>
      <c r="J1002">
        <v>1</v>
      </c>
      <c r="K1002">
        <f>YEAR(NetflixData[[#This Row],[date]])</f>
        <v>2021</v>
      </c>
      <c r="L1002" t="str">
        <f>TEXT(NetflixData[[#This Row],[date]],"mmm")</f>
        <v>Jun</v>
      </c>
      <c r="M1002" t="str">
        <f>TEXT(NetflixData[[#This Row],[date]],"mmm yyyy")</f>
        <v>Jun 2021</v>
      </c>
      <c r="N1002" t="str">
        <f t="shared" si="45"/>
        <v>Trading Day</v>
      </c>
      <c r="O1002" t="str">
        <f t="shared" si="46"/>
        <v>Negative</v>
      </c>
      <c r="P1002" t="str">
        <f t="shared" si="47"/>
        <v>Positive</v>
      </c>
    </row>
    <row r="1003" spans="1:16" x14ac:dyDescent="0.3">
      <c r="A1003" s="1">
        <v>44356</v>
      </c>
      <c r="B1003">
        <v>48.58</v>
      </c>
      <c r="C1003">
        <v>30550000</v>
      </c>
      <c r="D1003">
        <v>-1.7569999999999999</v>
      </c>
      <c r="E1003">
        <v>36</v>
      </c>
      <c r="F1003">
        <v>3.08</v>
      </c>
      <c r="G1003">
        <v>0.2046</v>
      </c>
      <c r="H1003">
        <v>0</v>
      </c>
      <c r="J1003">
        <v>1</v>
      </c>
      <c r="K1003">
        <f>YEAR(NetflixData[[#This Row],[date]])</f>
        <v>2021</v>
      </c>
      <c r="L1003" t="str">
        <f>TEXT(NetflixData[[#This Row],[date]],"mmm")</f>
        <v>Jun</v>
      </c>
      <c r="M1003" t="str">
        <f>TEXT(NetflixData[[#This Row],[date]],"mmm yyyy")</f>
        <v>Jun 2021</v>
      </c>
      <c r="N1003" t="str">
        <f t="shared" si="45"/>
        <v>Trading Day</v>
      </c>
      <c r="O1003" t="str">
        <f t="shared" si="46"/>
        <v>Negative</v>
      </c>
      <c r="P1003" t="str">
        <f t="shared" si="47"/>
        <v>Positive</v>
      </c>
    </row>
    <row r="1004" spans="1:16" x14ac:dyDescent="0.3">
      <c r="A1004" s="1">
        <v>44357</v>
      </c>
      <c r="B1004">
        <v>48.73</v>
      </c>
      <c r="C1004">
        <v>43829000</v>
      </c>
      <c r="D1004">
        <v>2.1000000000000001E-2</v>
      </c>
      <c r="E1004">
        <v>47</v>
      </c>
      <c r="F1004">
        <v>2.98</v>
      </c>
      <c r="G1004">
        <v>0.19109999999999999</v>
      </c>
      <c r="H1004">
        <v>0</v>
      </c>
      <c r="J1004">
        <v>1</v>
      </c>
      <c r="K1004">
        <f>YEAR(NetflixData[[#This Row],[date]])</f>
        <v>2021</v>
      </c>
      <c r="L1004" t="str">
        <f>TEXT(NetflixData[[#This Row],[date]],"mmm")</f>
        <v>Jun</v>
      </c>
      <c r="M1004" t="str">
        <f>TEXT(NetflixData[[#This Row],[date]],"mmm yyyy")</f>
        <v>Jun 2021</v>
      </c>
      <c r="N1004" t="str">
        <f t="shared" si="45"/>
        <v>Trading Day</v>
      </c>
      <c r="O1004" t="str">
        <f t="shared" si="46"/>
        <v>Positive</v>
      </c>
      <c r="P1004" t="str">
        <f t="shared" si="47"/>
        <v>Positive</v>
      </c>
    </row>
    <row r="1005" spans="1:16" x14ac:dyDescent="0.3">
      <c r="A1005" s="1">
        <v>44358</v>
      </c>
      <c r="B1005">
        <v>48.88</v>
      </c>
      <c r="C1005">
        <v>31240000</v>
      </c>
      <c r="D1005">
        <v>-0.251</v>
      </c>
      <c r="E1005">
        <v>51</v>
      </c>
      <c r="F1005">
        <v>2.75</v>
      </c>
      <c r="G1005">
        <v>6.5299999999999997E-2</v>
      </c>
      <c r="H1005">
        <v>0</v>
      </c>
      <c r="J1005">
        <v>1</v>
      </c>
      <c r="K1005">
        <f>YEAR(NetflixData[[#This Row],[date]])</f>
        <v>2021</v>
      </c>
      <c r="L1005" t="str">
        <f>TEXT(NetflixData[[#This Row],[date]],"mmm")</f>
        <v>Jun</v>
      </c>
      <c r="M1005" t="str">
        <f>TEXT(NetflixData[[#This Row],[date]],"mmm yyyy")</f>
        <v>Jun 2021</v>
      </c>
      <c r="N1005" t="str">
        <f t="shared" si="45"/>
        <v>Non-Trading Day</v>
      </c>
      <c r="O1005" t="str">
        <f t="shared" si="46"/>
        <v>Negative</v>
      </c>
      <c r="P1005" t="str">
        <f t="shared" si="47"/>
        <v>Neutral</v>
      </c>
    </row>
    <row r="1006" spans="1:16" x14ac:dyDescent="0.3">
      <c r="A1006" s="1">
        <v>44359</v>
      </c>
      <c r="B1006">
        <v>48.88</v>
      </c>
      <c r="C1006">
        <v>0</v>
      </c>
      <c r="D1006">
        <v>0</v>
      </c>
      <c r="E1006">
        <v>43</v>
      </c>
      <c r="F1006">
        <v>2.93</v>
      </c>
      <c r="G1006">
        <v>0.29580000000000001</v>
      </c>
      <c r="H1006">
        <v>0</v>
      </c>
      <c r="J1006">
        <v>0</v>
      </c>
      <c r="K1006">
        <f>YEAR(NetflixData[[#This Row],[date]])</f>
        <v>2021</v>
      </c>
      <c r="L1006" t="str">
        <f>TEXT(NetflixData[[#This Row],[date]],"mmm")</f>
        <v>Jun</v>
      </c>
      <c r="M1006" t="str">
        <f>TEXT(NetflixData[[#This Row],[date]],"mmm yyyy")</f>
        <v>Jun 2021</v>
      </c>
      <c r="N1006" t="str">
        <f t="shared" si="45"/>
        <v>Non-Trading Day</v>
      </c>
      <c r="O1006" t="str">
        <f t="shared" si="46"/>
        <v>No Change</v>
      </c>
      <c r="P1006" t="str">
        <f t="shared" si="47"/>
        <v>Positive</v>
      </c>
    </row>
    <row r="1007" spans="1:16" x14ac:dyDescent="0.3">
      <c r="A1007" s="1">
        <v>44360</v>
      </c>
      <c r="B1007">
        <v>48.88</v>
      </c>
      <c r="C1007">
        <v>0</v>
      </c>
      <c r="D1007">
        <v>0</v>
      </c>
      <c r="E1007">
        <v>47</v>
      </c>
      <c r="F1007">
        <v>2.96</v>
      </c>
      <c r="G1007">
        <v>0.15540000000000001</v>
      </c>
      <c r="H1007">
        <v>0</v>
      </c>
      <c r="J1007">
        <v>0</v>
      </c>
      <c r="K1007">
        <f>YEAR(NetflixData[[#This Row],[date]])</f>
        <v>2021</v>
      </c>
      <c r="L1007" t="str">
        <f>TEXT(NetflixData[[#This Row],[date]],"mmm")</f>
        <v>Jun</v>
      </c>
      <c r="M1007" t="str">
        <f>TEXT(NetflixData[[#This Row],[date]],"mmm yyyy")</f>
        <v>Jun 2021</v>
      </c>
      <c r="N1007" t="str">
        <f t="shared" si="45"/>
        <v>Trading Day</v>
      </c>
      <c r="O1007" t="str">
        <f t="shared" si="46"/>
        <v>No Change</v>
      </c>
      <c r="P1007" t="str">
        <f t="shared" si="47"/>
        <v>Positive</v>
      </c>
    </row>
    <row r="1008" spans="1:16" x14ac:dyDescent="0.3">
      <c r="A1008" s="1">
        <v>44361</v>
      </c>
      <c r="B1008">
        <v>49.99</v>
      </c>
      <c r="C1008">
        <v>44002000</v>
      </c>
      <c r="D1008">
        <v>2.085</v>
      </c>
      <c r="E1008">
        <v>36</v>
      </c>
      <c r="F1008">
        <v>3.22</v>
      </c>
      <c r="G1008">
        <v>0.2752</v>
      </c>
      <c r="H1008">
        <v>0</v>
      </c>
      <c r="J1008">
        <v>1</v>
      </c>
      <c r="K1008">
        <f>YEAR(NetflixData[[#This Row],[date]])</f>
        <v>2021</v>
      </c>
      <c r="L1008" t="str">
        <f>TEXT(NetflixData[[#This Row],[date]],"mmm")</f>
        <v>Jun</v>
      </c>
      <c r="M1008" t="str">
        <f>TEXT(NetflixData[[#This Row],[date]],"mmm yyyy")</f>
        <v>Jun 2021</v>
      </c>
      <c r="N1008" t="str">
        <f t="shared" si="45"/>
        <v>Trading Day</v>
      </c>
      <c r="O1008" t="str">
        <f t="shared" si="46"/>
        <v>Positive</v>
      </c>
      <c r="P1008" t="str">
        <f t="shared" si="47"/>
        <v>Positive</v>
      </c>
    </row>
    <row r="1009" spans="1:16" x14ac:dyDescent="0.3">
      <c r="A1009" s="1">
        <v>44362</v>
      </c>
      <c r="B1009">
        <v>49.19</v>
      </c>
      <c r="C1009">
        <v>31041000</v>
      </c>
      <c r="D1009">
        <v>-1.861</v>
      </c>
      <c r="E1009">
        <v>46</v>
      </c>
      <c r="F1009">
        <v>2.46</v>
      </c>
      <c r="G1009">
        <v>0.17730000000000001</v>
      </c>
      <c r="H1009">
        <v>0</v>
      </c>
      <c r="J1009">
        <v>1</v>
      </c>
      <c r="K1009">
        <f>YEAR(NetflixData[[#This Row],[date]])</f>
        <v>2021</v>
      </c>
      <c r="L1009" t="str">
        <f>TEXT(NetflixData[[#This Row],[date]],"mmm")</f>
        <v>Jun</v>
      </c>
      <c r="M1009" t="str">
        <f>TEXT(NetflixData[[#This Row],[date]],"mmm yyyy")</f>
        <v>Jun 2021</v>
      </c>
      <c r="N1009" t="str">
        <f t="shared" si="45"/>
        <v>Trading Day</v>
      </c>
      <c r="O1009" t="str">
        <f t="shared" si="46"/>
        <v>Negative</v>
      </c>
      <c r="P1009" t="str">
        <f t="shared" si="47"/>
        <v>Positive</v>
      </c>
    </row>
    <row r="1010" spans="1:16" x14ac:dyDescent="0.3">
      <c r="A1010" s="1">
        <v>44363</v>
      </c>
      <c r="B1010">
        <v>49.24</v>
      </c>
      <c r="C1010">
        <v>35332000</v>
      </c>
      <c r="D1010">
        <v>-0.52300000000000002</v>
      </c>
      <c r="E1010">
        <v>49</v>
      </c>
      <c r="F1010">
        <v>2.4500000000000002</v>
      </c>
      <c r="G1010">
        <v>1.8E-3</v>
      </c>
      <c r="H1010">
        <v>0</v>
      </c>
      <c r="J1010">
        <v>1</v>
      </c>
      <c r="K1010">
        <f>YEAR(NetflixData[[#This Row],[date]])</f>
        <v>2021</v>
      </c>
      <c r="L1010" t="str">
        <f>TEXT(NetflixData[[#This Row],[date]],"mmm")</f>
        <v>Jun</v>
      </c>
      <c r="M1010" t="str">
        <f>TEXT(NetflixData[[#This Row],[date]],"mmm yyyy")</f>
        <v>Jun 2021</v>
      </c>
      <c r="N1010" t="str">
        <f t="shared" si="45"/>
        <v>Trading Day</v>
      </c>
      <c r="O1010" t="str">
        <f t="shared" si="46"/>
        <v>Negative</v>
      </c>
      <c r="P1010" t="str">
        <f t="shared" si="47"/>
        <v>Neutral</v>
      </c>
    </row>
    <row r="1011" spans="1:16" x14ac:dyDescent="0.3">
      <c r="A1011" s="1">
        <v>44364</v>
      </c>
      <c r="B1011">
        <v>49.83</v>
      </c>
      <c r="C1011">
        <v>31983000</v>
      </c>
      <c r="D1011">
        <v>1.65</v>
      </c>
      <c r="E1011">
        <v>54</v>
      </c>
      <c r="F1011">
        <v>2.7</v>
      </c>
      <c r="G1011">
        <v>0.2079</v>
      </c>
      <c r="H1011">
        <v>0</v>
      </c>
      <c r="J1011">
        <v>1</v>
      </c>
      <c r="K1011">
        <f>YEAR(NetflixData[[#This Row],[date]])</f>
        <v>2021</v>
      </c>
      <c r="L1011" t="str">
        <f>TEXT(NetflixData[[#This Row],[date]],"mmm")</f>
        <v>Jun</v>
      </c>
      <c r="M1011" t="str">
        <f>TEXT(NetflixData[[#This Row],[date]],"mmm yyyy")</f>
        <v>Jun 2021</v>
      </c>
      <c r="N1011" t="str">
        <f t="shared" si="45"/>
        <v>Trading Day</v>
      </c>
      <c r="O1011" t="str">
        <f t="shared" si="46"/>
        <v>Positive</v>
      </c>
      <c r="P1011" t="str">
        <f t="shared" si="47"/>
        <v>Positive</v>
      </c>
    </row>
    <row r="1012" spans="1:16" x14ac:dyDescent="0.3">
      <c r="A1012" s="1">
        <v>44365</v>
      </c>
      <c r="B1012">
        <v>50.08</v>
      </c>
      <c r="C1012">
        <v>51976000</v>
      </c>
      <c r="D1012">
        <v>0.88</v>
      </c>
      <c r="E1012">
        <v>49</v>
      </c>
      <c r="F1012">
        <v>2.5499999999999998</v>
      </c>
      <c r="G1012">
        <v>0.13789999999999999</v>
      </c>
      <c r="H1012">
        <v>0</v>
      </c>
      <c r="J1012">
        <v>1</v>
      </c>
      <c r="K1012">
        <f>YEAR(NetflixData[[#This Row],[date]])</f>
        <v>2021</v>
      </c>
      <c r="L1012" t="str">
        <f>TEXT(NetflixData[[#This Row],[date]],"mmm")</f>
        <v>Jun</v>
      </c>
      <c r="M1012" t="str">
        <f>TEXT(NetflixData[[#This Row],[date]],"mmm yyyy")</f>
        <v>Jun 2021</v>
      </c>
      <c r="N1012" t="str">
        <f t="shared" si="45"/>
        <v>Non-Trading Day</v>
      </c>
      <c r="O1012" t="str">
        <f t="shared" si="46"/>
        <v>Positive</v>
      </c>
      <c r="P1012" t="str">
        <f t="shared" si="47"/>
        <v>Positive</v>
      </c>
    </row>
    <row r="1013" spans="1:16" x14ac:dyDescent="0.3">
      <c r="A1013" s="1">
        <v>44366</v>
      </c>
      <c r="B1013">
        <v>50.08</v>
      </c>
      <c r="C1013">
        <v>0</v>
      </c>
      <c r="D1013">
        <v>0</v>
      </c>
      <c r="E1013">
        <v>55</v>
      </c>
      <c r="F1013">
        <v>2.4500000000000002</v>
      </c>
      <c r="G1013">
        <v>3.3399999999999999E-2</v>
      </c>
      <c r="H1013">
        <v>0</v>
      </c>
      <c r="J1013">
        <v>0</v>
      </c>
      <c r="K1013">
        <f>YEAR(NetflixData[[#This Row],[date]])</f>
        <v>2021</v>
      </c>
      <c r="L1013" t="str">
        <f>TEXT(NetflixData[[#This Row],[date]],"mmm")</f>
        <v>Jun</v>
      </c>
      <c r="M1013" t="str">
        <f>TEXT(NetflixData[[#This Row],[date]],"mmm yyyy")</f>
        <v>Jun 2021</v>
      </c>
      <c r="N1013" t="str">
        <f t="shared" si="45"/>
        <v>Non-Trading Day</v>
      </c>
      <c r="O1013" t="str">
        <f t="shared" si="46"/>
        <v>No Change</v>
      </c>
      <c r="P1013" t="str">
        <f t="shared" si="47"/>
        <v>Neutral</v>
      </c>
    </row>
    <row r="1014" spans="1:16" x14ac:dyDescent="0.3">
      <c r="A1014" s="1">
        <v>44367</v>
      </c>
      <c r="B1014">
        <v>50.08</v>
      </c>
      <c r="C1014">
        <v>0</v>
      </c>
      <c r="D1014">
        <v>0</v>
      </c>
      <c r="E1014">
        <v>50</v>
      </c>
      <c r="F1014">
        <v>2.2799999999999998</v>
      </c>
      <c r="G1014">
        <v>0.1007</v>
      </c>
      <c r="H1014">
        <v>0</v>
      </c>
      <c r="J1014">
        <v>0</v>
      </c>
      <c r="K1014">
        <f>YEAR(NetflixData[[#This Row],[date]])</f>
        <v>2021</v>
      </c>
      <c r="L1014" t="str">
        <f>TEXT(NetflixData[[#This Row],[date]],"mmm")</f>
        <v>Jun</v>
      </c>
      <c r="M1014" t="str">
        <f>TEXT(NetflixData[[#This Row],[date]],"mmm yyyy")</f>
        <v>Jun 2021</v>
      </c>
      <c r="N1014" t="str">
        <f t="shared" si="45"/>
        <v>Trading Day</v>
      </c>
      <c r="O1014" t="str">
        <f t="shared" si="46"/>
        <v>No Change</v>
      </c>
      <c r="P1014" t="str">
        <f t="shared" si="47"/>
        <v>Positive</v>
      </c>
    </row>
    <row r="1015" spans="1:16" x14ac:dyDescent="0.3">
      <c r="A1015" s="1">
        <v>44368</v>
      </c>
      <c r="B1015">
        <v>49.7</v>
      </c>
      <c r="C1015">
        <v>52773000</v>
      </c>
      <c r="D1015">
        <v>-0.92500000000000004</v>
      </c>
      <c r="E1015">
        <v>49</v>
      </c>
      <c r="F1015">
        <v>3.04</v>
      </c>
      <c r="G1015">
        <v>0.27450000000000002</v>
      </c>
      <c r="H1015">
        <v>0</v>
      </c>
      <c r="J1015">
        <v>1</v>
      </c>
      <c r="K1015">
        <f>YEAR(NetflixData[[#This Row],[date]])</f>
        <v>2021</v>
      </c>
      <c r="L1015" t="str">
        <f>TEXT(NetflixData[[#This Row],[date]],"mmm")</f>
        <v>Jun</v>
      </c>
      <c r="M1015" t="str">
        <f>TEXT(NetflixData[[#This Row],[date]],"mmm yyyy")</f>
        <v>Jun 2021</v>
      </c>
      <c r="N1015" t="str">
        <f t="shared" si="45"/>
        <v>Trading Day</v>
      </c>
      <c r="O1015" t="str">
        <f t="shared" si="46"/>
        <v>Negative</v>
      </c>
      <c r="P1015" t="str">
        <f t="shared" si="47"/>
        <v>Positive</v>
      </c>
    </row>
    <row r="1016" spans="1:16" x14ac:dyDescent="0.3">
      <c r="A1016" s="1">
        <v>44369</v>
      </c>
      <c r="B1016">
        <v>50.88</v>
      </c>
      <c r="C1016">
        <v>58093000</v>
      </c>
      <c r="D1016">
        <v>2.0619999999999998</v>
      </c>
      <c r="E1016">
        <v>67</v>
      </c>
      <c r="F1016">
        <v>2.58</v>
      </c>
      <c r="G1016">
        <v>0.2031</v>
      </c>
      <c r="H1016">
        <v>0</v>
      </c>
      <c r="J1016">
        <v>1</v>
      </c>
      <c r="K1016">
        <f>YEAR(NetflixData[[#This Row],[date]])</f>
        <v>2021</v>
      </c>
      <c r="L1016" t="str">
        <f>TEXT(NetflixData[[#This Row],[date]],"mmm")</f>
        <v>Jun</v>
      </c>
      <c r="M1016" t="str">
        <f>TEXT(NetflixData[[#This Row],[date]],"mmm yyyy")</f>
        <v>Jun 2021</v>
      </c>
      <c r="N1016" t="str">
        <f t="shared" si="45"/>
        <v>Trading Day</v>
      </c>
      <c r="O1016" t="str">
        <f t="shared" si="46"/>
        <v>Positive</v>
      </c>
      <c r="P1016" t="str">
        <f t="shared" si="47"/>
        <v>Positive</v>
      </c>
    </row>
    <row r="1017" spans="1:16" x14ac:dyDescent="0.3">
      <c r="A1017" s="1">
        <v>44370</v>
      </c>
      <c r="B1017">
        <v>51.27</v>
      </c>
      <c r="C1017">
        <v>39448000</v>
      </c>
      <c r="D1017">
        <v>0.83799999999999997</v>
      </c>
      <c r="E1017">
        <v>47</v>
      </c>
      <c r="F1017">
        <v>2.64</v>
      </c>
      <c r="G1017">
        <v>0.15759999999999999</v>
      </c>
      <c r="H1017">
        <v>0</v>
      </c>
      <c r="J1017">
        <v>1</v>
      </c>
      <c r="K1017">
        <f>YEAR(NetflixData[[#This Row],[date]])</f>
        <v>2021</v>
      </c>
      <c r="L1017" t="str">
        <f>TEXT(NetflixData[[#This Row],[date]],"mmm")</f>
        <v>Jun</v>
      </c>
      <c r="M1017" t="str">
        <f>TEXT(NetflixData[[#This Row],[date]],"mmm yyyy")</f>
        <v>Jun 2021</v>
      </c>
      <c r="N1017" t="str">
        <f t="shared" si="45"/>
        <v>Trading Day</v>
      </c>
      <c r="O1017" t="str">
        <f t="shared" si="46"/>
        <v>Positive</v>
      </c>
      <c r="P1017" t="str">
        <f t="shared" si="47"/>
        <v>Positive</v>
      </c>
    </row>
    <row r="1018" spans="1:16" x14ac:dyDescent="0.3">
      <c r="A1018" s="1">
        <v>44371</v>
      </c>
      <c r="B1018">
        <v>51.81</v>
      </c>
      <c r="C1018">
        <v>33612000</v>
      </c>
      <c r="D1018">
        <v>1.9E-2</v>
      </c>
      <c r="E1018">
        <v>41</v>
      </c>
      <c r="F1018">
        <v>2.68</v>
      </c>
      <c r="G1018">
        <v>0.1489</v>
      </c>
      <c r="H1018">
        <v>0</v>
      </c>
      <c r="J1018">
        <v>1</v>
      </c>
      <c r="K1018">
        <f>YEAR(NetflixData[[#This Row],[date]])</f>
        <v>2021</v>
      </c>
      <c r="L1018" t="str">
        <f>TEXT(NetflixData[[#This Row],[date]],"mmm")</f>
        <v>Jun</v>
      </c>
      <c r="M1018" t="str">
        <f>TEXT(NetflixData[[#This Row],[date]],"mmm yyyy")</f>
        <v>Jun 2021</v>
      </c>
      <c r="N1018" t="str">
        <f t="shared" si="45"/>
        <v>Trading Day</v>
      </c>
      <c r="O1018" t="str">
        <f t="shared" si="46"/>
        <v>Positive</v>
      </c>
      <c r="P1018" t="str">
        <f t="shared" si="47"/>
        <v>Positive</v>
      </c>
    </row>
    <row r="1019" spans="1:16" x14ac:dyDescent="0.3">
      <c r="A1019" s="1">
        <v>44372</v>
      </c>
      <c r="B1019">
        <v>52.71</v>
      </c>
      <c r="C1019">
        <v>52991000</v>
      </c>
      <c r="D1019">
        <v>-0.33500000000000002</v>
      </c>
      <c r="E1019">
        <v>50</v>
      </c>
      <c r="F1019">
        <v>1.96</v>
      </c>
      <c r="G1019">
        <v>9.7500000000000003E-2</v>
      </c>
      <c r="H1019">
        <v>0</v>
      </c>
      <c r="J1019">
        <v>1</v>
      </c>
      <c r="K1019">
        <f>YEAR(NetflixData[[#This Row],[date]])</f>
        <v>2021</v>
      </c>
      <c r="L1019" t="str">
        <f>TEXT(NetflixData[[#This Row],[date]],"mmm")</f>
        <v>Jun</v>
      </c>
      <c r="M1019" t="str">
        <f>TEXT(NetflixData[[#This Row],[date]],"mmm yyyy")</f>
        <v>Jun 2021</v>
      </c>
      <c r="N1019" t="str">
        <f t="shared" si="45"/>
        <v>Non-Trading Day</v>
      </c>
      <c r="O1019" t="str">
        <f t="shared" si="46"/>
        <v>Negative</v>
      </c>
      <c r="P1019" t="str">
        <f t="shared" si="47"/>
        <v>Neutral</v>
      </c>
    </row>
    <row r="1020" spans="1:16" x14ac:dyDescent="0.3">
      <c r="A1020" s="1">
        <v>44373</v>
      </c>
      <c r="B1020">
        <v>52.71</v>
      </c>
      <c r="C1020">
        <v>0</v>
      </c>
      <c r="D1020">
        <v>0</v>
      </c>
      <c r="E1020">
        <v>45</v>
      </c>
      <c r="F1020">
        <v>2.82</v>
      </c>
      <c r="G1020">
        <v>0.21560000000000001</v>
      </c>
      <c r="H1020">
        <v>0</v>
      </c>
      <c r="J1020">
        <v>0</v>
      </c>
      <c r="K1020">
        <f>YEAR(NetflixData[[#This Row],[date]])</f>
        <v>2021</v>
      </c>
      <c r="L1020" t="str">
        <f>TEXT(NetflixData[[#This Row],[date]],"mmm")</f>
        <v>Jun</v>
      </c>
      <c r="M1020" t="str">
        <f>TEXT(NetflixData[[#This Row],[date]],"mmm yyyy")</f>
        <v>Jun 2021</v>
      </c>
      <c r="N1020" t="str">
        <f t="shared" si="45"/>
        <v>Non-Trading Day</v>
      </c>
      <c r="O1020" t="str">
        <f t="shared" si="46"/>
        <v>No Change</v>
      </c>
      <c r="P1020" t="str">
        <f t="shared" si="47"/>
        <v>Positive</v>
      </c>
    </row>
    <row r="1021" spans="1:16" x14ac:dyDescent="0.3">
      <c r="A1021" s="1">
        <v>44374</v>
      </c>
      <c r="B1021">
        <v>52.71</v>
      </c>
      <c r="C1021">
        <v>0</v>
      </c>
      <c r="D1021">
        <v>0</v>
      </c>
      <c r="E1021">
        <v>35</v>
      </c>
      <c r="F1021">
        <v>2.74</v>
      </c>
      <c r="G1021">
        <v>0.1757</v>
      </c>
      <c r="H1021">
        <v>0</v>
      </c>
      <c r="J1021">
        <v>0</v>
      </c>
      <c r="K1021">
        <f>YEAR(NetflixData[[#This Row],[date]])</f>
        <v>2021</v>
      </c>
      <c r="L1021" t="str">
        <f>TEXT(NetflixData[[#This Row],[date]],"mmm")</f>
        <v>Jun</v>
      </c>
      <c r="M1021" t="str">
        <f>TEXT(NetflixData[[#This Row],[date]],"mmm yyyy")</f>
        <v>Jun 2021</v>
      </c>
      <c r="N1021" t="str">
        <f t="shared" si="45"/>
        <v>Trading Day</v>
      </c>
      <c r="O1021" t="str">
        <f t="shared" si="46"/>
        <v>No Change</v>
      </c>
      <c r="P1021" t="str">
        <f t="shared" si="47"/>
        <v>Positive</v>
      </c>
    </row>
    <row r="1022" spans="1:16" x14ac:dyDescent="0.3">
      <c r="A1022" s="1">
        <v>44375</v>
      </c>
      <c r="B1022">
        <v>53.3</v>
      </c>
      <c r="C1022">
        <v>28202000</v>
      </c>
      <c r="D1022">
        <v>0.93</v>
      </c>
      <c r="E1022">
        <v>42</v>
      </c>
      <c r="F1022">
        <v>2.52</v>
      </c>
      <c r="G1022">
        <v>0.21640000000000001</v>
      </c>
      <c r="H1022">
        <v>0</v>
      </c>
      <c r="J1022">
        <v>1</v>
      </c>
      <c r="K1022">
        <f>YEAR(NetflixData[[#This Row],[date]])</f>
        <v>2021</v>
      </c>
      <c r="L1022" t="str">
        <f>TEXT(NetflixData[[#This Row],[date]],"mmm")</f>
        <v>Jun</v>
      </c>
      <c r="M1022" t="str">
        <f>TEXT(NetflixData[[#This Row],[date]],"mmm yyyy")</f>
        <v>Jun 2021</v>
      </c>
      <c r="N1022" t="str">
        <f t="shared" si="45"/>
        <v>Trading Day</v>
      </c>
      <c r="O1022" t="str">
        <f t="shared" si="46"/>
        <v>Positive</v>
      </c>
      <c r="P1022" t="str">
        <f t="shared" si="47"/>
        <v>Positive</v>
      </c>
    </row>
    <row r="1023" spans="1:16" x14ac:dyDescent="0.3">
      <c r="A1023" s="1">
        <v>44376</v>
      </c>
      <c r="B1023">
        <v>53.35</v>
      </c>
      <c r="C1023">
        <v>23146000</v>
      </c>
      <c r="D1023">
        <v>-8.9999999999999993E-3</v>
      </c>
      <c r="E1023">
        <v>38</v>
      </c>
      <c r="F1023">
        <v>2.63</v>
      </c>
      <c r="G1023">
        <v>0.1497</v>
      </c>
      <c r="H1023">
        <v>0</v>
      </c>
      <c r="J1023">
        <v>1</v>
      </c>
      <c r="K1023">
        <f>YEAR(NetflixData[[#This Row],[date]])</f>
        <v>2021</v>
      </c>
      <c r="L1023" t="str">
        <f>TEXT(NetflixData[[#This Row],[date]],"mmm")</f>
        <v>Jun</v>
      </c>
      <c r="M1023" t="str">
        <f>TEXT(NetflixData[[#This Row],[date]],"mmm yyyy")</f>
        <v>Jun 2021</v>
      </c>
      <c r="N1023" t="str">
        <f t="shared" si="45"/>
        <v>Trading Day</v>
      </c>
      <c r="O1023" t="str">
        <f t="shared" si="46"/>
        <v>Negative</v>
      </c>
      <c r="P1023" t="str">
        <f t="shared" si="47"/>
        <v>Positive</v>
      </c>
    </row>
    <row r="1024" spans="1:16" x14ac:dyDescent="0.3">
      <c r="A1024" s="1">
        <v>44377</v>
      </c>
      <c r="B1024">
        <v>52.82</v>
      </c>
      <c r="C1024">
        <v>27734000</v>
      </c>
      <c r="D1024">
        <v>-1.095</v>
      </c>
      <c r="E1024">
        <v>38</v>
      </c>
      <c r="F1024">
        <v>2.61</v>
      </c>
      <c r="G1024">
        <v>0.1128</v>
      </c>
      <c r="H1024">
        <v>0</v>
      </c>
      <c r="J1024">
        <v>1</v>
      </c>
      <c r="K1024">
        <f>YEAR(NetflixData[[#This Row],[date]])</f>
        <v>2021</v>
      </c>
      <c r="L1024" t="str">
        <f>TEXT(NetflixData[[#This Row],[date]],"mmm")</f>
        <v>Jun</v>
      </c>
      <c r="M1024" t="str">
        <f>TEXT(NetflixData[[#This Row],[date]],"mmm yyyy")</f>
        <v>Jun 2021</v>
      </c>
      <c r="N1024" t="str">
        <f t="shared" si="45"/>
        <v>Trading Day</v>
      </c>
      <c r="O1024" t="str">
        <f t="shared" si="46"/>
        <v>Negative</v>
      </c>
      <c r="P1024" t="str">
        <f t="shared" si="47"/>
        <v>Positive</v>
      </c>
    </row>
    <row r="1025" spans="1:16" x14ac:dyDescent="0.3">
      <c r="A1025" s="1">
        <v>44378</v>
      </c>
      <c r="B1025">
        <v>53.35</v>
      </c>
      <c r="C1025">
        <v>28054000</v>
      </c>
      <c r="D1025">
        <v>1.4870000000000001</v>
      </c>
      <c r="E1025">
        <v>43</v>
      </c>
      <c r="F1025">
        <v>3.05</v>
      </c>
      <c r="G1025">
        <v>0.20100000000000001</v>
      </c>
      <c r="H1025">
        <v>0</v>
      </c>
      <c r="J1025">
        <v>1</v>
      </c>
      <c r="K1025">
        <f>YEAR(NetflixData[[#This Row],[date]])</f>
        <v>2021</v>
      </c>
      <c r="L1025" t="str">
        <f>TEXT(NetflixData[[#This Row],[date]],"mmm")</f>
        <v>Jul</v>
      </c>
      <c r="M1025" t="str">
        <f>TEXT(NetflixData[[#This Row],[date]],"mmm yyyy")</f>
        <v>Jul 2021</v>
      </c>
      <c r="N1025" t="str">
        <f t="shared" si="45"/>
        <v>Trading Day</v>
      </c>
      <c r="O1025" t="str">
        <f t="shared" si="46"/>
        <v>Positive</v>
      </c>
      <c r="P1025" t="str">
        <f t="shared" si="47"/>
        <v>Positive</v>
      </c>
    </row>
    <row r="1026" spans="1:16" x14ac:dyDescent="0.3">
      <c r="A1026" s="1">
        <v>44379</v>
      </c>
      <c r="B1026">
        <v>53.4</v>
      </c>
      <c r="C1026">
        <v>19755000</v>
      </c>
      <c r="D1026">
        <v>-0.28399999999999997</v>
      </c>
      <c r="E1026">
        <v>44</v>
      </c>
      <c r="F1026">
        <v>2.68</v>
      </c>
      <c r="G1026">
        <v>9.7299999999999998E-2</v>
      </c>
      <c r="H1026">
        <v>0</v>
      </c>
      <c r="J1026">
        <v>1</v>
      </c>
      <c r="K1026">
        <f>YEAR(NetflixData[[#This Row],[date]])</f>
        <v>2021</v>
      </c>
      <c r="L1026" t="str">
        <f>TEXT(NetflixData[[#This Row],[date]],"mmm")</f>
        <v>Jul</v>
      </c>
      <c r="M1026" t="str">
        <f>TEXT(NetflixData[[#This Row],[date]],"mmm yyyy")</f>
        <v>Jul 2021</v>
      </c>
      <c r="N1026" t="str">
        <f t="shared" ref="N1026:N1089" si="48">IF(J1027=1,"Trading Day","Non-Trading Day")</f>
        <v>Non-Trading Day</v>
      </c>
      <c r="O1026" t="str">
        <f t="shared" ref="O1026:O1089" si="49">IF(D1026&gt;0,"Positive",IF(D1026&lt;0,"Negative","No Change"))</f>
        <v>Negative</v>
      </c>
      <c r="P1026" t="str">
        <f t="shared" ref="P1026:P1089" si="50">IF(G1026&gt;0.1,"Positive",IF(G1026&lt;-0.1,"Negative","Neutral"))</f>
        <v>Neutral</v>
      </c>
    </row>
    <row r="1027" spans="1:16" x14ac:dyDescent="0.3">
      <c r="A1027" s="1">
        <v>44380</v>
      </c>
      <c r="B1027">
        <v>53.4</v>
      </c>
      <c r="C1027">
        <v>0</v>
      </c>
      <c r="D1027">
        <v>0</v>
      </c>
      <c r="E1027">
        <v>53</v>
      </c>
      <c r="F1027">
        <v>2.72</v>
      </c>
      <c r="G1027">
        <v>0.2228</v>
      </c>
      <c r="H1027">
        <v>0</v>
      </c>
      <c r="J1027">
        <v>0</v>
      </c>
      <c r="K1027">
        <f>YEAR(NetflixData[[#This Row],[date]])</f>
        <v>2021</v>
      </c>
      <c r="L1027" t="str">
        <f>TEXT(NetflixData[[#This Row],[date]],"mmm")</f>
        <v>Jul</v>
      </c>
      <c r="M1027" t="str">
        <f>TEXT(NetflixData[[#This Row],[date]],"mmm yyyy")</f>
        <v>Jul 2021</v>
      </c>
      <c r="N1027" t="str">
        <f t="shared" si="48"/>
        <v>Non-Trading Day</v>
      </c>
      <c r="O1027" t="str">
        <f t="shared" si="49"/>
        <v>No Change</v>
      </c>
      <c r="P1027" t="str">
        <f t="shared" si="50"/>
        <v>Positive</v>
      </c>
    </row>
    <row r="1028" spans="1:16" x14ac:dyDescent="0.3">
      <c r="A1028" s="1">
        <v>44381</v>
      </c>
      <c r="B1028">
        <v>53.4</v>
      </c>
      <c r="C1028">
        <v>0</v>
      </c>
      <c r="D1028">
        <v>0</v>
      </c>
      <c r="E1028">
        <v>43</v>
      </c>
      <c r="F1028">
        <v>2.09</v>
      </c>
      <c r="G1028">
        <v>8.7400000000000005E-2</v>
      </c>
      <c r="H1028">
        <v>0</v>
      </c>
      <c r="J1028">
        <v>0</v>
      </c>
      <c r="K1028">
        <f>YEAR(NetflixData[[#This Row],[date]])</f>
        <v>2021</v>
      </c>
      <c r="L1028" t="str">
        <f>TEXT(NetflixData[[#This Row],[date]],"mmm")</f>
        <v>Jul</v>
      </c>
      <c r="M1028" t="str">
        <f>TEXT(NetflixData[[#This Row],[date]],"mmm yyyy")</f>
        <v>Jul 2021</v>
      </c>
      <c r="N1028" t="str">
        <f t="shared" si="48"/>
        <v>Non-Trading Day</v>
      </c>
      <c r="O1028" t="str">
        <f t="shared" si="49"/>
        <v>No Change</v>
      </c>
      <c r="P1028" t="str">
        <f t="shared" si="50"/>
        <v>Neutral</v>
      </c>
    </row>
    <row r="1029" spans="1:16" x14ac:dyDescent="0.3">
      <c r="A1029" s="1">
        <v>44382</v>
      </c>
      <c r="B1029">
        <v>53.4</v>
      </c>
      <c r="C1029">
        <v>0</v>
      </c>
      <c r="D1029">
        <v>0</v>
      </c>
      <c r="E1029">
        <v>47</v>
      </c>
      <c r="F1029">
        <v>2.64</v>
      </c>
      <c r="G1029">
        <v>0.1167</v>
      </c>
      <c r="H1029">
        <v>0</v>
      </c>
      <c r="J1029">
        <v>0</v>
      </c>
      <c r="K1029">
        <f>YEAR(NetflixData[[#This Row],[date]])</f>
        <v>2021</v>
      </c>
      <c r="L1029" t="str">
        <f>TEXT(NetflixData[[#This Row],[date]],"mmm")</f>
        <v>Jul</v>
      </c>
      <c r="M1029" t="str">
        <f>TEXT(NetflixData[[#This Row],[date]],"mmm yyyy")</f>
        <v>Jul 2021</v>
      </c>
      <c r="N1029" t="str">
        <f t="shared" si="48"/>
        <v>Trading Day</v>
      </c>
      <c r="O1029" t="str">
        <f t="shared" si="49"/>
        <v>No Change</v>
      </c>
      <c r="P1029" t="str">
        <f t="shared" si="50"/>
        <v>Positive</v>
      </c>
    </row>
    <row r="1030" spans="1:16" x14ac:dyDescent="0.3">
      <c r="A1030" s="1">
        <v>44383</v>
      </c>
      <c r="B1030">
        <v>54.16</v>
      </c>
      <c r="C1030">
        <v>27751000</v>
      </c>
      <c r="D1030">
        <v>1.621</v>
      </c>
      <c r="E1030">
        <v>37</v>
      </c>
      <c r="F1030">
        <v>2.5099999999999998</v>
      </c>
      <c r="G1030">
        <v>2.8000000000000001E-2</v>
      </c>
      <c r="H1030">
        <v>0</v>
      </c>
      <c r="J1030">
        <v>1</v>
      </c>
      <c r="K1030">
        <f>YEAR(NetflixData[[#This Row],[date]])</f>
        <v>2021</v>
      </c>
      <c r="L1030" t="str">
        <f>TEXT(NetflixData[[#This Row],[date]],"mmm")</f>
        <v>Jul</v>
      </c>
      <c r="M1030" t="str">
        <f>TEXT(NetflixData[[#This Row],[date]],"mmm yyyy")</f>
        <v>Jul 2021</v>
      </c>
      <c r="N1030" t="str">
        <f t="shared" si="48"/>
        <v>Trading Day</v>
      </c>
      <c r="O1030" t="str">
        <f t="shared" si="49"/>
        <v>Positive</v>
      </c>
      <c r="P1030" t="str">
        <f t="shared" si="50"/>
        <v>Neutral</v>
      </c>
    </row>
    <row r="1031" spans="1:16" x14ac:dyDescent="0.3">
      <c r="A1031" s="1">
        <v>44384</v>
      </c>
      <c r="B1031">
        <v>53.6</v>
      </c>
      <c r="C1031">
        <v>27225000</v>
      </c>
      <c r="D1031">
        <v>-1.5209999999999999</v>
      </c>
      <c r="E1031">
        <v>56</v>
      </c>
      <c r="F1031">
        <v>2.66</v>
      </c>
      <c r="G1031">
        <v>0.2046</v>
      </c>
      <c r="H1031">
        <v>0</v>
      </c>
      <c r="J1031">
        <v>1</v>
      </c>
      <c r="K1031">
        <f>YEAR(NetflixData[[#This Row],[date]])</f>
        <v>2021</v>
      </c>
      <c r="L1031" t="str">
        <f>TEXT(NetflixData[[#This Row],[date]],"mmm")</f>
        <v>Jul</v>
      </c>
      <c r="M1031" t="str">
        <f>TEXT(NetflixData[[#This Row],[date]],"mmm yyyy")</f>
        <v>Jul 2021</v>
      </c>
      <c r="N1031" t="str">
        <f t="shared" si="48"/>
        <v>Trading Day</v>
      </c>
      <c r="O1031" t="str">
        <f t="shared" si="49"/>
        <v>Negative</v>
      </c>
      <c r="P1031" t="str">
        <f t="shared" si="50"/>
        <v>Positive</v>
      </c>
    </row>
    <row r="1032" spans="1:16" x14ac:dyDescent="0.3">
      <c r="A1032" s="1">
        <v>44385</v>
      </c>
      <c r="B1032">
        <v>53.08</v>
      </c>
      <c r="C1032">
        <v>32690000</v>
      </c>
      <c r="D1032">
        <v>-3.2000000000000001E-2</v>
      </c>
      <c r="E1032">
        <v>52</v>
      </c>
      <c r="F1032">
        <v>3.02</v>
      </c>
      <c r="G1032">
        <v>0.26179999999999998</v>
      </c>
      <c r="H1032">
        <v>0</v>
      </c>
      <c r="J1032">
        <v>1</v>
      </c>
      <c r="K1032">
        <f>YEAR(NetflixData[[#This Row],[date]])</f>
        <v>2021</v>
      </c>
      <c r="L1032" t="str">
        <f>TEXT(NetflixData[[#This Row],[date]],"mmm")</f>
        <v>Jul</v>
      </c>
      <c r="M1032" t="str">
        <f>TEXT(NetflixData[[#This Row],[date]],"mmm yyyy")</f>
        <v>Jul 2021</v>
      </c>
      <c r="N1032" t="str">
        <f t="shared" si="48"/>
        <v>Trading Day</v>
      </c>
      <c r="O1032" t="str">
        <f t="shared" si="49"/>
        <v>Negative</v>
      </c>
      <c r="P1032" t="str">
        <f t="shared" si="50"/>
        <v>Positive</v>
      </c>
    </row>
    <row r="1033" spans="1:16" x14ac:dyDescent="0.3">
      <c r="A1033" s="1">
        <v>44386</v>
      </c>
      <c r="B1033">
        <v>53.6</v>
      </c>
      <c r="C1033">
        <v>27772000</v>
      </c>
      <c r="D1033">
        <v>0.93799999999999994</v>
      </c>
      <c r="E1033">
        <v>42</v>
      </c>
      <c r="F1033">
        <v>2.57</v>
      </c>
      <c r="G1033">
        <v>0.15629999999999999</v>
      </c>
      <c r="H1033">
        <v>0</v>
      </c>
      <c r="J1033">
        <v>1</v>
      </c>
      <c r="K1033">
        <f>YEAR(NetflixData[[#This Row],[date]])</f>
        <v>2021</v>
      </c>
      <c r="L1033" t="str">
        <f>TEXT(NetflixData[[#This Row],[date]],"mmm")</f>
        <v>Jul</v>
      </c>
      <c r="M1033" t="str">
        <f>TEXT(NetflixData[[#This Row],[date]],"mmm yyyy")</f>
        <v>Jul 2021</v>
      </c>
      <c r="N1033" t="str">
        <f t="shared" si="48"/>
        <v>Non-Trading Day</v>
      </c>
      <c r="O1033" t="str">
        <f t="shared" si="49"/>
        <v>Positive</v>
      </c>
      <c r="P1033" t="str">
        <f t="shared" si="50"/>
        <v>Positive</v>
      </c>
    </row>
    <row r="1034" spans="1:16" x14ac:dyDescent="0.3">
      <c r="A1034" s="1">
        <v>44387</v>
      </c>
      <c r="B1034">
        <v>53.6</v>
      </c>
      <c r="C1034">
        <v>0</v>
      </c>
      <c r="D1034">
        <v>0</v>
      </c>
      <c r="E1034">
        <v>40</v>
      </c>
      <c r="F1034">
        <v>2.8</v>
      </c>
      <c r="G1034">
        <v>0.17019999999999999</v>
      </c>
      <c r="H1034">
        <v>0</v>
      </c>
      <c r="J1034">
        <v>0</v>
      </c>
      <c r="K1034">
        <f>YEAR(NetflixData[[#This Row],[date]])</f>
        <v>2021</v>
      </c>
      <c r="L1034" t="str">
        <f>TEXT(NetflixData[[#This Row],[date]],"mmm")</f>
        <v>Jul</v>
      </c>
      <c r="M1034" t="str">
        <f>TEXT(NetflixData[[#This Row],[date]],"mmm yyyy")</f>
        <v>Jul 2021</v>
      </c>
      <c r="N1034" t="str">
        <f t="shared" si="48"/>
        <v>Non-Trading Day</v>
      </c>
      <c r="O1034" t="str">
        <f t="shared" si="49"/>
        <v>No Change</v>
      </c>
      <c r="P1034" t="str">
        <f t="shared" si="50"/>
        <v>Positive</v>
      </c>
    </row>
    <row r="1035" spans="1:16" x14ac:dyDescent="0.3">
      <c r="A1035" s="1">
        <v>44388</v>
      </c>
      <c r="B1035">
        <v>53.6</v>
      </c>
      <c r="C1035">
        <v>0</v>
      </c>
      <c r="D1035">
        <v>0</v>
      </c>
      <c r="E1035">
        <v>42</v>
      </c>
      <c r="F1035">
        <v>3.02</v>
      </c>
      <c r="G1035">
        <v>0.09</v>
      </c>
      <c r="H1035">
        <v>0</v>
      </c>
      <c r="J1035">
        <v>0</v>
      </c>
      <c r="K1035">
        <f>YEAR(NetflixData[[#This Row],[date]])</f>
        <v>2021</v>
      </c>
      <c r="L1035" t="str">
        <f>TEXT(NetflixData[[#This Row],[date]],"mmm")</f>
        <v>Jul</v>
      </c>
      <c r="M1035" t="str">
        <f>TEXT(NetflixData[[#This Row],[date]],"mmm yyyy")</f>
        <v>Jul 2021</v>
      </c>
      <c r="N1035" t="str">
        <f t="shared" si="48"/>
        <v>Trading Day</v>
      </c>
      <c r="O1035" t="str">
        <f t="shared" si="49"/>
        <v>No Change</v>
      </c>
      <c r="P1035" t="str">
        <f t="shared" si="50"/>
        <v>Neutral</v>
      </c>
    </row>
    <row r="1036" spans="1:16" x14ac:dyDescent="0.3">
      <c r="A1036" s="1">
        <v>44389</v>
      </c>
      <c r="B1036">
        <v>53.73</v>
      </c>
      <c r="C1036">
        <v>17807000</v>
      </c>
      <c r="D1036">
        <v>-0.55300000000000005</v>
      </c>
      <c r="E1036">
        <v>33</v>
      </c>
      <c r="F1036">
        <v>2.82</v>
      </c>
      <c r="G1036">
        <v>0.20469999999999999</v>
      </c>
      <c r="H1036">
        <v>0</v>
      </c>
      <c r="J1036">
        <v>1</v>
      </c>
      <c r="K1036">
        <f>YEAR(NetflixData[[#This Row],[date]])</f>
        <v>2021</v>
      </c>
      <c r="L1036" t="str">
        <f>TEXT(NetflixData[[#This Row],[date]],"mmm")</f>
        <v>Jul</v>
      </c>
      <c r="M1036" t="str">
        <f>TEXT(NetflixData[[#This Row],[date]],"mmm yyyy")</f>
        <v>Jul 2021</v>
      </c>
      <c r="N1036" t="str">
        <f t="shared" si="48"/>
        <v>Trading Day</v>
      </c>
      <c r="O1036" t="str">
        <f t="shared" si="49"/>
        <v>Negative</v>
      </c>
      <c r="P1036" t="str">
        <f t="shared" si="50"/>
        <v>Positive</v>
      </c>
    </row>
    <row r="1037" spans="1:16" x14ac:dyDescent="0.3">
      <c r="A1037" s="1">
        <v>44390</v>
      </c>
      <c r="B1037">
        <v>54.07</v>
      </c>
      <c r="C1037">
        <v>27516000</v>
      </c>
      <c r="D1037">
        <v>0.91800000000000004</v>
      </c>
      <c r="E1037">
        <v>55</v>
      </c>
      <c r="F1037">
        <v>3.36</v>
      </c>
      <c r="G1037">
        <v>0.29210000000000003</v>
      </c>
      <c r="H1037">
        <v>0</v>
      </c>
      <c r="J1037">
        <v>1</v>
      </c>
      <c r="K1037">
        <f>YEAR(NetflixData[[#This Row],[date]])</f>
        <v>2021</v>
      </c>
      <c r="L1037" t="str">
        <f>TEXT(NetflixData[[#This Row],[date]],"mmm")</f>
        <v>Jul</v>
      </c>
      <c r="M1037" t="str">
        <f>TEXT(NetflixData[[#This Row],[date]],"mmm yyyy")</f>
        <v>Jul 2021</v>
      </c>
      <c r="N1037" t="str">
        <f t="shared" si="48"/>
        <v>Trading Day</v>
      </c>
      <c r="O1037" t="str">
        <f t="shared" si="49"/>
        <v>Positive</v>
      </c>
      <c r="P1037" t="str">
        <f t="shared" si="50"/>
        <v>Positive</v>
      </c>
    </row>
    <row r="1038" spans="1:16" x14ac:dyDescent="0.3">
      <c r="A1038" s="1">
        <v>44391</v>
      </c>
      <c r="B1038">
        <v>54.79</v>
      </c>
      <c r="C1038">
        <v>46595000</v>
      </c>
      <c r="D1038">
        <v>1.2829999999999999</v>
      </c>
      <c r="E1038">
        <v>36</v>
      </c>
      <c r="F1038">
        <v>2.4700000000000002</v>
      </c>
      <c r="G1038">
        <v>0.14099999999999999</v>
      </c>
      <c r="H1038">
        <v>0</v>
      </c>
      <c r="J1038">
        <v>1</v>
      </c>
      <c r="K1038">
        <f>YEAR(NetflixData[[#This Row],[date]])</f>
        <v>2021</v>
      </c>
      <c r="L1038" t="str">
        <f>TEXT(NetflixData[[#This Row],[date]],"mmm")</f>
        <v>Jul</v>
      </c>
      <c r="M1038" t="str">
        <f>TEXT(NetflixData[[#This Row],[date]],"mmm yyyy")</f>
        <v>Jul 2021</v>
      </c>
      <c r="N1038" t="str">
        <f t="shared" si="48"/>
        <v>Trading Day</v>
      </c>
      <c r="O1038" t="str">
        <f t="shared" si="49"/>
        <v>Positive</v>
      </c>
      <c r="P1038" t="str">
        <f t="shared" si="50"/>
        <v>Positive</v>
      </c>
    </row>
    <row r="1039" spans="1:16" x14ac:dyDescent="0.3">
      <c r="A1039" s="1">
        <v>44392</v>
      </c>
      <c r="B1039">
        <v>54.29</v>
      </c>
      <c r="C1039">
        <v>57139000</v>
      </c>
      <c r="D1039">
        <v>-1.9890000000000001</v>
      </c>
      <c r="E1039">
        <v>28</v>
      </c>
      <c r="F1039">
        <v>2.93</v>
      </c>
      <c r="G1039">
        <v>0.17319999999999999</v>
      </c>
      <c r="H1039">
        <v>0</v>
      </c>
      <c r="J1039">
        <v>1</v>
      </c>
      <c r="K1039">
        <f>YEAR(NetflixData[[#This Row],[date]])</f>
        <v>2021</v>
      </c>
      <c r="L1039" t="str">
        <f>TEXT(NetflixData[[#This Row],[date]],"mmm")</f>
        <v>Jul</v>
      </c>
      <c r="M1039" t="str">
        <f>TEXT(NetflixData[[#This Row],[date]],"mmm yyyy")</f>
        <v>Jul 2021</v>
      </c>
      <c r="N1039" t="str">
        <f t="shared" si="48"/>
        <v>Trading Day</v>
      </c>
      <c r="O1039" t="str">
        <f t="shared" si="49"/>
        <v>Negative</v>
      </c>
      <c r="P1039" t="str">
        <f t="shared" si="50"/>
        <v>Positive</v>
      </c>
    </row>
    <row r="1040" spans="1:16" x14ac:dyDescent="0.3">
      <c r="A1040" s="1">
        <v>44393</v>
      </c>
      <c r="B1040">
        <v>53.03</v>
      </c>
      <c r="C1040">
        <v>34421000</v>
      </c>
      <c r="D1040">
        <v>-2.1230000000000002</v>
      </c>
      <c r="E1040">
        <v>52</v>
      </c>
      <c r="F1040">
        <v>2.63</v>
      </c>
      <c r="G1040">
        <v>0.1356</v>
      </c>
      <c r="H1040">
        <v>0</v>
      </c>
      <c r="J1040">
        <v>1</v>
      </c>
      <c r="K1040">
        <f>YEAR(NetflixData[[#This Row],[date]])</f>
        <v>2021</v>
      </c>
      <c r="L1040" t="str">
        <f>TEXT(NetflixData[[#This Row],[date]],"mmm")</f>
        <v>Jul</v>
      </c>
      <c r="M1040" t="str">
        <f>TEXT(NetflixData[[#This Row],[date]],"mmm yyyy")</f>
        <v>Jul 2021</v>
      </c>
      <c r="N1040" t="str">
        <f t="shared" si="48"/>
        <v>Non-Trading Day</v>
      </c>
      <c r="O1040" t="str">
        <f t="shared" si="49"/>
        <v>Negative</v>
      </c>
      <c r="P1040" t="str">
        <f t="shared" si="50"/>
        <v>Positive</v>
      </c>
    </row>
    <row r="1041" spans="1:16" x14ac:dyDescent="0.3">
      <c r="A1041" s="1">
        <v>44394</v>
      </c>
      <c r="B1041">
        <v>53.03</v>
      </c>
      <c r="C1041">
        <v>0</v>
      </c>
      <c r="D1041">
        <v>0</v>
      </c>
      <c r="E1041">
        <v>43</v>
      </c>
      <c r="F1041">
        <v>2.7</v>
      </c>
      <c r="G1041">
        <v>0.223</v>
      </c>
      <c r="H1041">
        <v>0</v>
      </c>
      <c r="J1041">
        <v>0</v>
      </c>
      <c r="K1041">
        <f>YEAR(NetflixData[[#This Row],[date]])</f>
        <v>2021</v>
      </c>
      <c r="L1041" t="str">
        <f>TEXT(NetflixData[[#This Row],[date]],"mmm")</f>
        <v>Jul</v>
      </c>
      <c r="M1041" t="str">
        <f>TEXT(NetflixData[[#This Row],[date]],"mmm yyyy")</f>
        <v>Jul 2021</v>
      </c>
      <c r="N1041" t="str">
        <f t="shared" si="48"/>
        <v>Non-Trading Day</v>
      </c>
      <c r="O1041" t="str">
        <f t="shared" si="49"/>
        <v>No Change</v>
      </c>
      <c r="P1041" t="str">
        <f t="shared" si="50"/>
        <v>Positive</v>
      </c>
    </row>
    <row r="1042" spans="1:16" x14ac:dyDescent="0.3">
      <c r="A1042" s="1">
        <v>44395</v>
      </c>
      <c r="B1042">
        <v>53.03</v>
      </c>
      <c r="C1042">
        <v>0</v>
      </c>
      <c r="D1042">
        <v>0</v>
      </c>
      <c r="E1042">
        <v>32</v>
      </c>
      <c r="F1042">
        <v>2.2799999999999998</v>
      </c>
      <c r="G1042">
        <v>0.10920000000000001</v>
      </c>
      <c r="H1042">
        <v>0</v>
      </c>
      <c r="J1042">
        <v>0</v>
      </c>
      <c r="K1042">
        <f>YEAR(NetflixData[[#This Row],[date]])</f>
        <v>2021</v>
      </c>
      <c r="L1042" t="str">
        <f>TEXT(NetflixData[[#This Row],[date]],"mmm")</f>
        <v>Jul</v>
      </c>
      <c r="M1042" t="str">
        <f>TEXT(NetflixData[[#This Row],[date]],"mmm yyyy")</f>
        <v>Jul 2021</v>
      </c>
      <c r="N1042" t="str">
        <f t="shared" si="48"/>
        <v>Trading Day</v>
      </c>
      <c r="O1042" t="str">
        <f t="shared" si="49"/>
        <v>No Change</v>
      </c>
      <c r="P1042" t="str">
        <f t="shared" si="50"/>
        <v>Positive</v>
      </c>
    </row>
    <row r="1043" spans="1:16" x14ac:dyDescent="0.3">
      <c r="A1043" s="1">
        <v>44396</v>
      </c>
      <c r="B1043">
        <v>53.23</v>
      </c>
      <c r="C1043">
        <v>38858000</v>
      </c>
      <c r="D1043">
        <v>1.1839999999999999</v>
      </c>
      <c r="E1043">
        <v>47</v>
      </c>
      <c r="F1043">
        <v>2.94</v>
      </c>
      <c r="G1043">
        <v>0.2094</v>
      </c>
      <c r="H1043">
        <v>0</v>
      </c>
      <c r="J1043">
        <v>1</v>
      </c>
      <c r="K1043">
        <f>YEAR(NetflixData[[#This Row],[date]])</f>
        <v>2021</v>
      </c>
      <c r="L1043" t="str">
        <f>TEXT(NetflixData[[#This Row],[date]],"mmm")</f>
        <v>Jul</v>
      </c>
      <c r="M1043" t="str">
        <f>TEXT(NetflixData[[#This Row],[date]],"mmm yyyy")</f>
        <v>Jul 2021</v>
      </c>
      <c r="N1043" t="str">
        <f t="shared" si="48"/>
        <v>Trading Day</v>
      </c>
      <c r="O1043" t="str">
        <f t="shared" si="49"/>
        <v>Positive</v>
      </c>
      <c r="P1043" t="str">
        <f t="shared" si="50"/>
        <v>Positive</v>
      </c>
    </row>
    <row r="1044" spans="1:16" x14ac:dyDescent="0.3">
      <c r="A1044" s="1">
        <v>44397</v>
      </c>
      <c r="B1044">
        <v>53.1</v>
      </c>
      <c r="C1044">
        <v>69304000</v>
      </c>
      <c r="D1044">
        <v>0.94699999999999995</v>
      </c>
      <c r="E1044">
        <v>54</v>
      </c>
      <c r="F1044">
        <v>2.57</v>
      </c>
      <c r="G1044">
        <v>0.3</v>
      </c>
      <c r="H1044">
        <v>0</v>
      </c>
      <c r="J1044">
        <v>1</v>
      </c>
      <c r="K1044">
        <f>YEAR(NetflixData[[#This Row],[date]])</f>
        <v>2021</v>
      </c>
      <c r="L1044" t="str">
        <f>TEXT(NetflixData[[#This Row],[date]],"mmm")</f>
        <v>Jul</v>
      </c>
      <c r="M1044" t="str">
        <f>TEXT(NetflixData[[#This Row],[date]],"mmm yyyy")</f>
        <v>Jul 2021</v>
      </c>
      <c r="N1044" t="str">
        <f t="shared" si="48"/>
        <v>Trading Day</v>
      </c>
      <c r="O1044" t="str">
        <f t="shared" si="49"/>
        <v>Positive</v>
      </c>
      <c r="P1044" t="str">
        <f t="shared" si="50"/>
        <v>Positive</v>
      </c>
    </row>
    <row r="1045" spans="1:16" x14ac:dyDescent="0.3">
      <c r="A1045" s="1">
        <v>44398</v>
      </c>
      <c r="B1045">
        <v>51.36</v>
      </c>
      <c r="C1045">
        <v>119068000</v>
      </c>
      <c r="D1045">
        <v>-2.3759999999999999</v>
      </c>
      <c r="E1045">
        <v>36</v>
      </c>
      <c r="F1045">
        <v>2.58</v>
      </c>
      <c r="G1045">
        <v>0.16039999999999999</v>
      </c>
      <c r="H1045">
        <v>0</v>
      </c>
      <c r="J1045">
        <v>1</v>
      </c>
      <c r="K1045">
        <f>YEAR(NetflixData[[#This Row],[date]])</f>
        <v>2021</v>
      </c>
      <c r="L1045" t="str">
        <f>TEXT(NetflixData[[#This Row],[date]],"mmm")</f>
        <v>Jul</v>
      </c>
      <c r="M1045" t="str">
        <f>TEXT(NetflixData[[#This Row],[date]],"mmm yyyy")</f>
        <v>Jul 2021</v>
      </c>
      <c r="N1045" t="str">
        <f t="shared" si="48"/>
        <v>Trading Day</v>
      </c>
      <c r="O1045" t="str">
        <f t="shared" si="49"/>
        <v>Negative</v>
      </c>
      <c r="P1045" t="str">
        <f t="shared" si="50"/>
        <v>Positive</v>
      </c>
    </row>
    <row r="1046" spans="1:16" x14ac:dyDescent="0.3">
      <c r="A1046" s="1">
        <v>44399</v>
      </c>
      <c r="B1046">
        <v>51.18</v>
      </c>
      <c r="C1046">
        <v>43281000</v>
      </c>
      <c r="D1046">
        <v>0.30599999999999999</v>
      </c>
      <c r="E1046">
        <v>38</v>
      </c>
      <c r="F1046">
        <v>2.3199999999999998</v>
      </c>
      <c r="G1046">
        <v>-4.3299999999999998E-2</v>
      </c>
      <c r="H1046">
        <v>0</v>
      </c>
      <c r="J1046">
        <v>1</v>
      </c>
      <c r="K1046">
        <f>YEAR(NetflixData[[#This Row],[date]])</f>
        <v>2021</v>
      </c>
      <c r="L1046" t="str">
        <f>TEXT(NetflixData[[#This Row],[date]],"mmm")</f>
        <v>Jul</v>
      </c>
      <c r="M1046" t="str">
        <f>TEXT(NetflixData[[#This Row],[date]],"mmm yyyy")</f>
        <v>Jul 2021</v>
      </c>
      <c r="N1046" t="str">
        <f t="shared" si="48"/>
        <v>Trading Day</v>
      </c>
      <c r="O1046" t="str">
        <f t="shared" si="49"/>
        <v>Positive</v>
      </c>
      <c r="P1046" t="str">
        <f t="shared" si="50"/>
        <v>Neutral</v>
      </c>
    </row>
    <row r="1047" spans="1:16" x14ac:dyDescent="0.3">
      <c r="A1047" s="1">
        <v>44400</v>
      </c>
      <c r="B1047">
        <v>51.54</v>
      </c>
      <c r="C1047">
        <v>38205000</v>
      </c>
      <c r="D1047">
        <v>0.63500000000000001</v>
      </c>
      <c r="E1047">
        <v>45</v>
      </c>
      <c r="F1047">
        <v>3.07</v>
      </c>
      <c r="G1047">
        <v>0.12130000000000001</v>
      </c>
      <c r="H1047">
        <v>0</v>
      </c>
      <c r="J1047">
        <v>1</v>
      </c>
      <c r="K1047">
        <f>YEAR(NetflixData[[#This Row],[date]])</f>
        <v>2021</v>
      </c>
      <c r="L1047" t="str">
        <f>TEXT(NetflixData[[#This Row],[date]],"mmm")</f>
        <v>Jul</v>
      </c>
      <c r="M1047" t="str">
        <f>TEXT(NetflixData[[#This Row],[date]],"mmm yyyy")</f>
        <v>Jul 2021</v>
      </c>
      <c r="N1047" t="str">
        <f t="shared" si="48"/>
        <v>Non-Trading Day</v>
      </c>
      <c r="O1047" t="str">
        <f t="shared" si="49"/>
        <v>Positive</v>
      </c>
      <c r="P1047" t="str">
        <f t="shared" si="50"/>
        <v>Positive</v>
      </c>
    </row>
    <row r="1048" spans="1:16" x14ac:dyDescent="0.3">
      <c r="A1048" s="1">
        <v>44401</v>
      </c>
      <c r="B1048">
        <v>51.54</v>
      </c>
      <c r="C1048">
        <v>0</v>
      </c>
      <c r="D1048">
        <v>0</v>
      </c>
      <c r="E1048">
        <v>39</v>
      </c>
      <c r="F1048">
        <v>3.15</v>
      </c>
      <c r="G1048">
        <v>0.24959999999999999</v>
      </c>
      <c r="H1048">
        <v>0</v>
      </c>
      <c r="J1048">
        <v>0</v>
      </c>
      <c r="K1048">
        <f>YEAR(NetflixData[[#This Row],[date]])</f>
        <v>2021</v>
      </c>
      <c r="L1048" t="str">
        <f>TEXT(NetflixData[[#This Row],[date]],"mmm")</f>
        <v>Jul</v>
      </c>
      <c r="M1048" t="str">
        <f>TEXT(NetflixData[[#This Row],[date]],"mmm yyyy")</f>
        <v>Jul 2021</v>
      </c>
      <c r="N1048" t="str">
        <f t="shared" si="48"/>
        <v>Non-Trading Day</v>
      </c>
      <c r="O1048" t="str">
        <f t="shared" si="49"/>
        <v>No Change</v>
      </c>
      <c r="P1048" t="str">
        <f t="shared" si="50"/>
        <v>Positive</v>
      </c>
    </row>
    <row r="1049" spans="1:16" x14ac:dyDescent="0.3">
      <c r="A1049" s="1">
        <v>44402</v>
      </c>
      <c r="B1049">
        <v>51.54</v>
      </c>
      <c r="C1049">
        <v>0</v>
      </c>
      <c r="D1049">
        <v>0</v>
      </c>
      <c r="E1049">
        <v>51</v>
      </c>
      <c r="F1049">
        <v>2.8</v>
      </c>
      <c r="G1049">
        <v>0.2203</v>
      </c>
      <c r="H1049">
        <v>0</v>
      </c>
      <c r="J1049">
        <v>0</v>
      </c>
      <c r="K1049">
        <f>YEAR(NetflixData[[#This Row],[date]])</f>
        <v>2021</v>
      </c>
      <c r="L1049" t="str">
        <f>TEXT(NetflixData[[#This Row],[date]],"mmm")</f>
        <v>Jul</v>
      </c>
      <c r="M1049" t="str">
        <f>TEXT(NetflixData[[#This Row],[date]],"mmm yyyy")</f>
        <v>Jul 2021</v>
      </c>
      <c r="N1049" t="str">
        <f t="shared" si="48"/>
        <v>Trading Day</v>
      </c>
      <c r="O1049" t="str">
        <f t="shared" si="49"/>
        <v>No Change</v>
      </c>
      <c r="P1049" t="str">
        <f t="shared" si="50"/>
        <v>Positive</v>
      </c>
    </row>
    <row r="1050" spans="1:16" x14ac:dyDescent="0.3">
      <c r="A1050" s="1">
        <v>44403</v>
      </c>
      <c r="B1050">
        <v>51.65</v>
      </c>
      <c r="C1050">
        <v>22545000</v>
      </c>
      <c r="D1050">
        <v>0.41</v>
      </c>
      <c r="E1050">
        <v>39</v>
      </c>
      <c r="F1050">
        <v>2.85</v>
      </c>
      <c r="G1050">
        <v>0.115</v>
      </c>
      <c r="H1050">
        <v>0</v>
      </c>
      <c r="J1050">
        <v>1</v>
      </c>
      <c r="K1050">
        <f>YEAR(NetflixData[[#This Row],[date]])</f>
        <v>2021</v>
      </c>
      <c r="L1050" t="str">
        <f>TEXT(NetflixData[[#This Row],[date]],"mmm")</f>
        <v>Jul</v>
      </c>
      <c r="M1050" t="str">
        <f>TEXT(NetflixData[[#This Row],[date]],"mmm yyyy")</f>
        <v>Jul 2021</v>
      </c>
      <c r="N1050" t="str">
        <f t="shared" si="48"/>
        <v>Trading Day</v>
      </c>
      <c r="O1050" t="str">
        <f t="shared" si="49"/>
        <v>Positive</v>
      </c>
      <c r="P1050" t="str">
        <f t="shared" si="50"/>
        <v>Positive</v>
      </c>
    </row>
    <row r="1051" spans="1:16" x14ac:dyDescent="0.3">
      <c r="A1051" s="1">
        <v>44404</v>
      </c>
      <c r="B1051">
        <v>51.89</v>
      </c>
      <c r="C1051">
        <v>27590000</v>
      </c>
      <c r="D1051">
        <v>0.16</v>
      </c>
      <c r="E1051">
        <v>41</v>
      </c>
      <c r="F1051">
        <v>3.17</v>
      </c>
      <c r="G1051">
        <v>0.22969999999999999</v>
      </c>
      <c r="H1051">
        <v>0</v>
      </c>
      <c r="J1051">
        <v>1</v>
      </c>
      <c r="K1051">
        <f>YEAR(NetflixData[[#This Row],[date]])</f>
        <v>2021</v>
      </c>
      <c r="L1051" t="str">
        <f>TEXT(NetflixData[[#This Row],[date]],"mmm")</f>
        <v>Jul</v>
      </c>
      <c r="M1051" t="str">
        <f>TEXT(NetflixData[[#This Row],[date]],"mmm yyyy")</f>
        <v>Jul 2021</v>
      </c>
      <c r="N1051" t="str">
        <f t="shared" si="48"/>
        <v>Trading Day</v>
      </c>
      <c r="O1051" t="str">
        <f t="shared" si="49"/>
        <v>Positive</v>
      </c>
      <c r="P1051" t="str">
        <f t="shared" si="50"/>
        <v>Positive</v>
      </c>
    </row>
    <row r="1052" spans="1:16" x14ac:dyDescent="0.3">
      <c r="A1052" s="1">
        <v>44405</v>
      </c>
      <c r="B1052">
        <v>51.93</v>
      </c>
      <c r="C1052">
        <v>23905000</v>
      </c>
      <c r="D1052">
        <v>-0.48299999999999998</v>
      </c>
      <c r="E1052">
        <v>45</v>
      </c>
      <c r="F1052">
        <v>2.93</v>
      </c>
      <c r="G1052">
        <v>0.35420000000000001</v>
      </c>
      <c r="H1052">
        <v>0</v>
      </c>
      <c r="J1052">
        <v>1</v>
      </c>
      <c r="K1052">
        <f>YEAR(NetflixData[[#This Row],[date]])</f>
        <v>2021</v>
      </c>
      <c r="L1052" t="str">
        <f>TEXT(NetflixData[[#This Row],[date]],"mmm")</f>
        <v>Jul</v>
      </c>
      <c r="M1052" t="str">
        <f>TEXT(NetflixData[[#This Row],[date]],"mmm yyyy")</f>
        <v>Jul 2021</v>
      </c>
      <c r="N1052" t="str">
        <f t="shared" si="48"/>
        <v>Trading Day</v>
      </c>
      <c r="O1052" t="str">
        <f t="shared" si="49"/>
        <v>Negative</v>
      </c>
      <c r="P1052" t="str">
        <f t="shared" si="50"/>
        <v>Positive</v>
      </c>
    </row>
    <row r="1053" spans="1:16" x14ac:dyDescent="0.3">
      <c r="A1053" s="1">
        <v>44406</v>
      </c>
      <c r="B1053">
        <v>51.42</v>
      </c>
      <c r="C1053">
        <v>17360000</v>
      </c>
      <c r="D1053">
        <v>-1.0980000000000001</v>
      </c>
      <c r="E1053">
        <v>42</v>
      </c>
      <c r="F1053">
        <v>2.5499999999999998</v>
      </c>
      <c r="G1053">
        <v>0.10390000000000001</v>
      </c>
      <c r="H1053">
        <v>0</v>
      </c>
      <c r="J1053">
        <v>1</v>
      </c>
      <c r="K1053">
        <f>YEAR(NetflixData[[#This Row],[date]])</f>
        <v>2021</v>
      </c>
      <c r="L1053" t="str">
        <f>TEXT(NetflixData[[#This Row],[date]],"mmm")</f>
        <v>Jul</v>
      </c>
      <c r="M1053" t="str">
        <f>TEXT(NetflixData[[#This Row],[date]],"mmm yyyy")</f>
        <v>Jul 2021</v>
      </c>
      <c r="N1053" t="str">
        <f t="shared" si="48"/>
        <v>Trading Day</v>
      </c>
      <c r="O1053" t="str">
        <f t="shared" si="49"/>
        <v>Negative</v>
      </c>
      <c r="P1053" t="str">
        <f t="shared" si="50"/>
        <v>Positive</v>
      </c>
    </row>
    <row r="1054" spans="1:16" x14ac:dyDescent="0.3">
      <c r="A1054" s="1">
        <v>44407</v>
      </c>
      <c r="B1054">
        <v>51.76</v>
      </c>
      <c r="C1054">
        <v>25371000</v>
      </c>
      <c r="D1054">
        <v>0.95199999999999996</v>
      </c>
      <c r="E1054">
        <v>49</v>
      </c>
      <c r="F1054">
        <v>3.06</v>
      </c>
      <c r="G1054">
        <v>0.1414</v>
      </c>
      <c r="H1054">
        <v>0</v>
      </c>
      <c r="J1054">
        <v>1</v>
      </c>
      <c r="K1054">
        <f>YEAR(NetflixData[[#This Row],[date]])</f>
        <v>2021</v>
      </c>
      <c r="L1054" t="str">
        <f>TEXT(NetflixData[[#This Row],[date]],"mmm")</f>
        <v>Jul</v>
      </c>
      <c r="M1054" t="str">
        <f>TEXT(NetflixData[[#This Row],[date]],"mmm yyyy")</f>
        <v>Jul 2021</v>
      </c>
      <c r="N1054" t="str">
        <f t="shared" si="48"/>
        <v>Non-Trading Day</v>
      </c>
      <c r="O1054" t="str">
        <f t="shared" si="49"/>
        <v>Positive</v>
      </c>
      <c r="P1054" t="str">
        <f t="shared" si="50"/>
        <v>Positive</v>
      </c>
    </row>
    <row r="1055" spans="1:16" x14ac:dyDescent="0.3">
      <c r="A1055" s="1">
        <v>44408</v>
      </c>
      <c r="B1055">
        <v>51.76</v>
      </c>
      <c r="C1055">
        <v>0</v>
      </c>
      <c r="D1055">
        <v>0</v>
      </c>
      <c r="E1055">
        <v>49</v>
      </c>
      <c r="F1055">
        <v>2.61</v>
      </c>
      <c r="G1055">
        <v>0.16539999999999999</v>
      </c>
      <c r="H1055">
        <v>0</v>
      </c>
      <c r="J1055">
        <v>0</v>
      </c>
      <c r="K1055">
        <f>YEAR(NetflixData[[#This Row],[date]])</f>
        <v>2021</v>
      </c>
      <c r="L1055" t="str">
        <f>TEXT(NetflixData[[#This Row],[date]],"mmm")</f>
        <v>Jul</v>
      </c>
      <c r="M1055" t="str">
        <f>TEXT(NetflixData[[#This Row],[date]],"mmm yyyy")</f>
        <v>Jul 2021</v>
      </c>
      <c r="N1055" t="str">
        <f t="shared" si="48"/>
        <v>Non-Trading Day</v>
      </c>
      <c r="O1055" t="str">
        <f t="shared" si="49"/>
        <v>No Change</v>
      </c>
      <c r="P1055" t="str">
        <f t="shared" si="50"/>
        <v>Positive</v>
      </c>
    </row>
    <row r="1056" spans="1:16" x14ac:dyDescent="0.3">
      <c r="A1056" s="1">
        <v>44409</v>
      </c>
      <c r="B1056">
        <v>51.76</v>
      </c>
      <c r="C1056">
        <v>0</v>
      </c>
      <c r="D1056">
        <v>0</v>
      </c>
      <c r="E1056">
        <v>27</v>
      </c>
      <c r="F1056">
        <v>3</v>
      </c>
      <c r="G1056">
        <v>0.2475</v>
      </c>
      <c r="H1056">
        <v>0</v>
      </c>
      <c r="J1056">
        <v>0</v>
      </c>
      <c r="K1056">
        <f>YEAR(NetflixData[[#This Row],[date]])</f>
        <v>2021</v>
      </c>
      <c r="L1056" t="str">
        <f>TEXT(NetflixData[[#This Row],[date]],"mmm")</f>
        <v>Aug</v>
      </c>
      <c r="M1056" t="str">
        <f>TEXT(NetflixData[[#This Row],[date]],"mmm yyyy")</f>
        <v>Aug 2021</v>
      </c>
      <c r="N1056" t="str">
        <f t="shared" si="48"/>
        <v>Trading Day</v>
      </c>
      <c r="O1056" t="str">
        <f t="shared" si="49"/>
        <v>No Change</v>
      </c>
      <c r="P1056" t="str">
        <f t="shared" si="50"/>
        <v>Positive</v>
      </c>
    </row>
    <row r="1057" spans="1:16" x14ac:dyDescent="0.3">
      <c r="A1057" s="1">
        <v>44410</v>
      </c>
      <c r="B1057">
        <v>51.51</v>
      </c>
      <c r="C1057">
        <v>20966000</v>
      </c>
      <c r="D1057">
        <v>-0.74199999999999999</v>
      </c>
      <c r="E1057">
        <v>35</v>
      </c>
      <c r="F1057">
        <v>2.5099999999999998</v>
      </c>
      <c r="G1057">
        <v>0.1749</v>
      </c>
      <c r="H1057">
        <v>0</v>
      </c>
      <c r="J1057">
        <v>1</v>
      </c>
      <c r="K1057">
        <f>YEAR(NetflixData[[#This Row],[date]])</f>
        <v>2021</v>
      </c>
      <c r="L1057" t="str">
        <f>TEXT(NetflixData[[#This Row],[date]],"mmm")</f>
        <v>Aug</v>
      </c>
      <c r="M1057" t="str">
        <f>TEXT(NetflixData[[#This Row],[date]],"mmm yyyy")</f>
        <v>Aug 2021</v>
      </c>
      <c r="N1057" t="str">
        <f t="shared" si="48"/>
        <v>Trading Day</v>
      </c>
      <c r="O1057" t="str">
        <f t="shared" si="49"/>
        <v>Negative</v>
      </c>
      <c r="P1057" t="str">
        <f t="shared" si="50"/>
        <v>Positive</v>
      </c>
    </row>
    <row r="1058" spans="1:16" x14ac:dyDescent="0.3">
      <c r="A1058" s="1">
        <v>44411</v>
      </c>
      <c r="B1058">
        <v>51.08</v>
      </c>
      <c r="C1058">
        <v>25794000</v>
      </c>
      <c r="D1058">
        <v>-0.69399999999999995</v>
      </c>
      <c r="E1058">
        <v>43</v>
      </c>
      <c r="F1058">
        <v>3.47</v>
      </c>
      <c r="G1058">
        <v>0.28649999999999998</v>
      </c>
      <c r="H1058">
        <v>0</v>
      </c>
      <c r="J1058">
        <v>1</v>
      </c>
      <c r="K1058">
        <f>YEAR(NetflixData[[#This Row],[date]])</f>
        <v>2021</v>
      </c>
      <c r="L1058" t="str">
        <f>TEXT(NetflixData[[#This Row],[date]],"mmm")</f>
        <v>Aug</v>
      </c>
      <c r="M1058" t="str">
        <f>TEXT(NetflixData[[#This Row],[date]],"mmm yyyy")</f>
        <v>Aug 2021</v>
      </c>
      <c r="N1058" t="str">
        <f t="shared" si="48"/>
        <v>Trading Day</v>
      </c>
      <c r="O1058" t="str">
        <f t="shared" si="49"/>
        <v>Negative</v>
      </c>
      <c r="P1058" t="str">
        <f t="shared" si="50"/>
        <v>Positive</v>
      </c>
    </row>
    <row r="1059" spans="1:16" x14ac:dyDescent="0.3">
      <c r="A1059" s="1">
        <v>44412</v>
      </c>
      <c r="B1059">
        <v>51.74</v>
      </c>
      <c r="C1059">
        <v>20394000</v>
      </c>
      <c r="D1059">
        <v>0.84799999999999998</v>
      </c>
      <c r="E1059">
        <v>34</v>
      </c>
      <c r="F1059">
        <v>2.65</v>
      </c>
      <c r="G1059">
        <v>0.18779999999999999</v>
      </c>
      <c r="H1059">
        <v>0</v>
      </c>
      <c r="J1059">
        <v>1</v>
      </c>
      <c r="K1059">
        <f>YEAR(NetflixData[[#This Row],[date]])</f>
        <v>2021</v>
      </c>
      <c r="L1059" t="str">
        <f>TEXT(NetflixData[[#This Row],[date]],"mmm")</f>
        <v>Aug</v>
      </c>
      <c r="M1059" t="str">
        <f>TEXT(NetflixData[[#This Row],[date]],"mmm yyyy")</f>
        <v>Aug 2021</v>
      </c>
      <c r="N1059" t="str">
        <f t="shared" si="48"/>
        <v>Trading Day</v>
      </c>
      <c r="O1059" t="str">
        <f t="shared" si="49"/>
        <v>Positive</v>
      </c>
      <c r="P1059" t="str">
        <f t="shared" si="50"/>
        <v>Positive</v>
      </c>
    </row>
    <row r="1060" spans="1:16" x14ac:dyDescent="0.3">
      <c r="A1060" s="1">
        <v>44413</v>
      </c>
      <c r="B1060">
        <v>52.49</v>
      </c>
      <c r="C1060">
        <v>25567000</v>
      </c>
      <c r="D1060">
        <v>1.5009999999999999</v>
      </c>
      <c r="E1060">
        <v>59</v>
      </c>
      <c r="F1060">
        <v>2.64</v>
      </c>
      <c r="G1060">
        <v>0.16109999999999999</v>
      </c>
      <c r="H1060">
        <v>0</v>
      </c>
      <c r="J1060">
        <v>1</v>
      </c>
      <c r="K1060">
        <f>YEAR(NetflixData[[#This Row],[date]])</f>
        <v>2021</v>
      </c>
      <c r="L1060" t="str">
        <f>TEXT(NetflixData[[#This Row],[date]],"mmm")</f>
        <v>Aug</v>
      </c>
      <c r="M1060" t="str">
        <f>TEXT(NetflixData[[#This Row],[date]],"mmm yyyy")</f>
        <v>Aug 2021</v>
      </c>
      <c r="N1060" t="str">
        <f t="shared" si="48"/>
        <v>Trading Day</v>
      </c>
      <c r="O1060" t="str">
        <f t="shared" si="49"/>
        <v>Positive</v>
      </c>
      <c r="P1060" t="str">
        <f t="shared" si="50"/>
        <v>Positive</v>
      </c>
    </row>
    <row r="1061" spans="1:16" x14ac:dyDescent="0.3">
      <c r="A1061" s="1">
        <v>44414</v>
      </c>
      <c r="B1061">
        <v>52.06</v>
      </c>
      <c r="C1061">
        <v>19198000</v>
      </c>
      <c r="D1061">
        <v>-0.65800000000000003</v>
      </c>
      <c r="E1061">
        <v>41</v>
      </c>
      <c r="F1061">
        <v>2.56</v>
      </c>
      <c r="G1061">
        <v>0.19009999999999999</v>
      </c>
      <c r="H1061">
        <v>0</v>
      </c>
      <c r="J1061">
        <v>1</v>
      </c>
      <c r="K1061">
        <f>YEAR(NetflixData[[#This Row],[date]])</f>
        <v>2021</v>
      </c>
      <c r="L1061" t="str">
        <f>TEXT(NetflixData[[#This Row],[date]],"mmm")</f>
        <v>Aug</v>
      </c>
      <c r="M1061" t="str">
        <f>TEXT(NetflixData[[#This Row],[date]],"mmm yyyy")</f>
        <v>Aug 2021</v>
      </c>
      <c r="N1061" t="str">
        <f t="shared" si="48"/>
        <v>Non-Trading Day</v>
      </c>
      <c r="O1061" t="str">
        <f t="shared" si="49"/>
        <v>Negative</v>
      </c>
      <c r="P1061" t="str">
        <f t="shared" si="50"/>
        <v>Positive</v>
      </c>
    </row>
    <row r="1062" spans="1:16" x14ac:dyDescent="0.3">
      <c r="A1062" s="1">
        <v>44415</v>
      </c>
      <c r="B1062">
        <v>52.06</v>
      </c>
      <c r="C1062">
        <v>0</v>
      </c>
      <c r="D1062">
        <v>0</v>
      </c>
      <c r="E1062">
        <v>36</v>
      </c>
      <c r="F1062">
        <v>2.31</v>
      </c>
      <c r="G1062">
        <v>4.5600000000000002E-2</v>
      </c>
      <c r="H1062">
        <v>0</v>
      </c>
      <c r="J1062">
        <v>0</v>
      </c>
      <c r="K1062">
        <f>YEAR(NetflixData[[#This Row],[date]])</f>
        <v>2021</v>
      </c>
      <c r="L1062" t="str">
        <f>TEXT(NetflixData[[#This Row],[date]],"mmm")</f>
        <v>Aug</v>
      </c>
      <c r="M1062" t="str">
        <f>TEXT(NetflixData[[#This Row],[date]],"mmm yyyy")</f>
        <v>Aug 2021</v>
      </c>
      <c r="N1062" t="str">
        <f t="shared" si="48"/>
        <v>Non-Trading Day</v>
      </c>
      <c r="O1062" t="str">
        <f t="shared" si="49"/>
        <v>No Change</v>
      </c>
      <c r="P1062" t="str">
        <f t="shared" si="50"/>
        <v>Neutral</v>
      </c>
    </row>
    <row r="1063" spans="1:16" x14ac:dyDescent="0.3">
      <c r="A1063" s="1">
        <v>44416</v>
      </c>
      <c r="B1063">
        <v>52.06</v>
      </c>
      <c r="C1063">
        <v>0</v>
      </c>
      <c r="D1063">
        <v>0</v>
      </c>
      <c r="E1063">
        <v>57</v>
      </c>
      <c r="F1063">
        <v>2.82</v>
      </c>
      <c r="G1063">
        <v>0.20080000000000001</v>
      </c>
      <c r="H1063">
        <v>0</v>
      </c>
      <c r="J1063">
        <v>0</v>
      </c>
      <c r="K1063">
        <f>YEAR(NetflixData[[#This Row],[date]])</f>
        <v>2021</v>
      </c>
      <c r="L1063" t="str">
        <f>TEXT(NetflixData[[#This Row],[date]],"mmm")</f>
        <v>Aug</v>
      </c>
      <c r="M1063" t="str">
        <f>TEXT(NetflixData[[#This Row],[date]],"mmm yyyy")</f>
        <v>Aug 2021</v>
      </c>
      <c r="N1063" t="str">
        <f t="shared" si="48"/>
        <v>Trading Day</v>
      </c>
      <c r="O1063" t="str">
        <f t="shared" si="49"/>
        <v>No Change</v>
      </c>
      <c r="P1063" t="str">
        <f t="shared" si="50"/>
        <v>Positive</v>
      </c>
    </row>
    <row r="1064" spans="1:16" x14ac:dyDescent="0.3">
      <c r="A1064" s="1">
        <v>44417</v>
      </c>
      <c r="B1064">
        <v>52</v>
      </c>
      <c r="C1064">
        <v>13678000</v>
      </c>
      <c r="D1064">
        <v>-0.22600000000000001</v>
      </c>
      <c r="E1064">
        <v>43</v>
      </c>
      <c r="F1064">
        <v>2.67</v>
      </c>
      <c r="G1064">
        <v>0.1338</v>
      </c>
      <c r="H1064">
        <v>0</v>
      </c>
      <c r="J1064">
        <v>1</v>
      </c>
      <c r="K1064">
        <f>YEAR(NetflixData[[#This Row],[date]])</f>
        <v>2021</v>
      </c>
      <c r="L1064" t="str">
        <f>TEXT(NetflixData[[#This Row],[date]],"mmm")</f>
        <v>Aug</v>
      </c>
      <c r="M1064" t="str">
        <f>TEXT(NetflixData[[#This Row],[date]],"mmm yyyy")</f>
        <v>Aug 2021</v>
      </c>
      <c r="N1064" t="str">
        <f t="shared" si="48"/>
        <v>Trading Day</v>
      </c>
      <c r="O1064" t="str">
        <f t="shared" si="49"/>
        <v>Negative</v>
      </c>
      <c r="P1064" t="str">
        <f t="shared" si="50"/>
        <v>Positive</v>
      </c>
    </row>
    <row r="1065" spans="1:16" x14ac:dyDescent="0.3">
      <c r="A1065" s="1">
        <v>44418</v>
      </c>
      <c r="B1065">
        <v>51.58</v>
      </c>
      <c r="C1065">
        <v>19605000</v>
      </c>
      <c r="D1065">
        <v>-0.8</v>
      </c>
      <c r="E1065">
        <v>55</v>
      </c>
      <c r="F1065">
        <v>2.64</v>
      </c>
      <c r="G1065">
        <v>0.1852</v>
      </c>
      <c r="H1065">
        <v>0</v>
      </c>
      <c r="J1065">
        <v>1</v>
      </c>
      <c r="K1065">
        <f>YEAR(NetflixData[[#This Row],[date]])</f>
        <v>2021</v>
      </c>
      <c r="L1065" t="str">
        <f>TEXT(NetflixData[[#This Row],[date]],"mmm")</f>
        <v>Aug</v>
      </c>
      <c r="M1065" t="str">
        <f>TEXT(NetflixData[[#This Row],[date]],"mmm yyyy")</f>
        <v>Aug 2021</v>
      </c>
      <c r="N1065" t="str">
        <f t="shared" si="48"/>
        <v>Trading Day</v>
      </c>
      <c r="O1065" t="str">
        <f t="shared" si="49"/>
        <v>Negative</v>
      </c>
      <c r="P1065" t="str">
        <f t="shared" si="50"/>
        <v>Positive</v>
      </c>
    </row>
    <row r="1066" spans="1:16" x14ac:dyDescent="0.3">
      <c r="A1066" s="1">
        <v>44419</v>
      </c>
      <c r="B1066">
        <v>51.24</v>
      </c>
      <c r="C1066">
        <v>16739000</v>
      </c>
      <c r="D1066">
        <v>-0.89</v>
      </c>
      <c r="E1066">
        <v>30</v>
      </c>
      <c r="F1066">
        <v>2.2999999999999998</v>
      </c>
      <c r="G1066">
        <v>0.2165</v>
      </c>
      <c r="H1066">
        <v>0</v>
      </c>
      <c r="J1066">
        <v>1</v>
      </c>
      <c r="K1066">
        <f>YEAR(NetflixData[[#This Row],[date]])</f>
        <v>2021</v>
      </c>
      <c r="L1066" t="str">
        <f>TEXT(NetflixData[[#This Row],[date]],"mmm")</f>
        <v>Aug</v>
      </c>
      <c r="M1066" t="str">
        <f>TEXT(NetflixData[[#This Row],[date]],"mmm yyyy")</f>
        <v>Aug 2021</v>
      </c>
      <c r="N1066" t="str">
        <f t="shared" si="48"/>
        <v>Trading Day</v>
      </c>
      <c r="O1066" t="str">
        <f t="shared" si="49"/>
        <v>Negative</v>
      </c>
      <c r="P1066" t="str">
        <f t="shared" si="50"/>
        <v>Positive</v>
      </c>
    </row>
    <row r="1067" spans="1:16" x14ac:dyDescent="0.3">
      <c r="A1067" s="1">
        <v>44420</v>
      </c>
      <c r="B1067">
        <v>51.07</v>
      </c>
      <c r="C1067">
        <v>16857000</v>
      </c>
      <c r="D1067">
        <v>-0.223</v>
      </c>
      <c r="E1067">
        <v>44</v>
      </c>
      <c r="F1067">
        <v>2.59</v>
      </c>
      <c r="G1067">
        <v>0.26440000000000002</v>
      </c>
      <c r="H1067">
        <v>0</v>
      </c>
      <c r="J1067">
        <v>1</v>
      </c>
      <c r="K1067">
        <f>YEAR(NetflixData[[#This Row],[date]])</f>
        <v>2021</v>
      </c>
      <c r="L1067" t="str">
        <f>TEXT(NetflixData[[#This Row],[date]],"mmm")</f>
        <v>Aug</v>
      </c>
      <c r="M1067" t="str">
        <f>TEXT(NetflixData[[#This Row],[date]],"mmm yyyy")</f>
        <v>Aug 2021</v>
      </c>
      <c r="N1067" t="str">
        <f t="shared" si="48"/>
        <v>Trading Day</v>
      </c>
      <c r="O1067" t="str">
        <f t="shared" si="49"/>
        <v>Negative</v>
      </c>
      <c r="P1067" t="str">
        <f t="shared" si="50"/>
        <v>Positive</v>
      </c>
    </row>
    <row r="1068" spans="1:16" x14ac:dyDescent="0.3">
      <c r="A1068" s="1">
        <v>44421</v>
      </c>
      <c r="B1068">
        <v>51.59</v>
      </c>
      <c r="C1068">
        <v>21777000</v>
      </c>
      <c r="D1068">
        <v>0.64</v>
      </c>
      <c r="E1068">
        <v>43</v>
      </c>
      <c r="F1068">
        <v>2.63</v>
      </c>
      <c r="G1068">
        <v>0.15720000000000001</v>
      </c>
      <c r="H1068">
        <v>0</v>
      </c>
      <c r="J1068">
        <v>1</v>
      </c>
      <c r="K1068">
        <f>YEAR(NetflixData[[#This Row],[date]])</f>
        <v>2021</v>
      </c>
      <c r="L1068" t="str">
        <f>TEXT(NetflixData[[#This Row],[date]],"mmm")</f>
        <v>Aug</v>
      </c>
      <c r="M1068" t="str">
        <f>TEXT(NetflixData[[#This Row],[date]],"mmm yyyy")</f>
        <v>Aug 2021</v>
      </c>
      <c r="N1068" t="str">
        <f t="shared" si="48"/>
        <v>Non-Trading Day</v>
      </c>
      <c r="O1068" t="str">
        <f t="shared" si="49"/>
        <v>Positive</v>
      </c>
      <c r="P1068" t="str">
        <f t="shared" si="50"/>
        <v>Positive</v>
      </c>
    </row>
    <row r="1069" spans="1:16" x14ac:dyDescent="0.3">
      <c r="A1069" s="1">
        <v>44422</v>
      </c>
      <c r="B1069">
        <v>51.59</v>
      </c>
      <c r="C1069">
        <v>0</v>
      </c>
      <c r="D1069">
        <v>0</v>
      </c>
      <c r="E1069">
        <v>52</v>
      </c>
      <c r="F1069">
        <v>2.83</v>
      </c>
      <c r="G1069">
        <v>0.26100000000000001</v>
      </c>
      <c r="H1069">
        <v>0</v>
      </c>
      <c r="J1069">
        <v>0</v>
      </c>
      <c r="K1069">
        <f>YEAR(NetflixData[[#This Row],[date]])</f>
        <v>2021</v>
      </c>
      <c r="L1069" t="str">
        <f>TEXT(NetflixData[[#This Row],[date]],"mmm")</f>
        <v>Aug</v>
      </c>
      <c r="M1069" t="str">
        <f>TEXT(NetflixData[[#This Row],[date]],"mmm yyyy")</f>
        <v>Aug 2021</v>
      </c>
      <c r="N1069" t="str">
        <f t="shared" si="48"/>
        <v>Non-Trading Day</v>
      </c>
      <c r="O1069" t="str">
        <f t="shared" si="49"/>
        <v>No Change</v>
      </c>
      <c r="P1069" t="str">
        <f t="shared" si="50"/>
        <v>Positive</v>
      </c>
    </row>
    <row r="1070" spans="1:16" x14ac:dyDescent="0.3">
      <c r="A1070" s="1">
        <v>44423</v>
      </c>
      <c r="B1070">
        <v>51.59</v>
      </c>
      <c r="C1070">
        <v>0</v>
      </c>
      <c r="D1070">
        <v>0</v>
      </c>
      <c r="E1070">
        <v>49</v>
      </c>
      <c r="F1070">
        <v>2.82</v>
      </c>
      <c r="G1070">
        <v>0.18940000000000001</v>
      </c>
      <c r="H1070">
        <v>0</v>
      </c>
      <c r="J1070">
        <v>0</v>
      </c>
      <c r="K1070">
        <f>YEAR(NetflixData[[#This Row],[date]])</f>
        <v>2021</v>
      </c>
      <c r="L1070" t="str">
        <f>TEXT(NetflixData[[#This Row],[date]],"mmm")</f>
        <v>Aug</v>
      </c>
      <c r="M1070" t="str">
        <f>TEXT(NetflixData[[#This Row],[date]],"mmm yyyy")</f>
        <v>Aug 2021</v>
      </c>
      <c r="N1070" t="str">
        <f t="shared" si="48"/>
        <v>Trading Day</v>
      </c>
      <c r="O1070" t="str">
        <f t="shared" si="49"/>
        <v>No Change</v>
      </c>
      <c r="P1070" t="str">
        <f t="shared" si="50"/>
        <v>Positive</v>
      </c>
    </row>
    <row r="1071" spans="1:16" x14ac:dyDescent="0.3">
      <c r="A1071" s="1">
        <v>44424</v>
      </c>
      <c r="B1071">
        <v>51.79</v>
      </c>
      <c r="C1071">
        <v>20328000</v>
      </c>
      <c r="D1071">
        <v>0.52</v>
      </c>
      <c r="E1071">
        <v>36</v>
      </c>
      <c r="F1071">
        <v>2.86</v>
      </c>
      <c r="G1071">
        <v>0.27829999999999999</v>
      </c>
      <c r="H1071">
        <v>0</v>
      </c>
      <c r="J1071">
        <v>1</v>
      </c>
      <c r="K1071">
        <f>YEAR(NetflixData[[#This Row],[date]])</f>
        <v>2021</v>
      </c>
      <c r="L1071" t="str">
        <f>TEXT(NetflixData[[#This Row],[date]],"mmm")</f>
        <v>Aug</v>
      </c>
      <c r="M1071" t="str">
        <f>TEXT(NetflixData[[#This Row],[date]],"mmm yyyy")</f>
        <v>Aug 2021</v>
      </c>
      <c r="N1071" t="str">
        <f t="shared" si="48"/>
        <v>Trading Day</v>
      </c>
      <c r="O1071" t="str">
        <f t="shared" si="49"/>
        <v>Positive</v>
      </c>
      <c r="P1071" t="str">
        <f t="shared" si="50"/>
        <v>Positive</v>
      </c>
    </row>
    <row r="1072" spans="1:16" x14ac:dyDescent="0.3">
      <c r="A1072" s="1">
        <v>44425</v>
      </c>
      <c r="B1072">
        <v>51.89</v>
      </c>
      <c r="C1072">
        <v>23098000</v>
      </c>
      <c r="D1072">
        <v>0.66700000000000004</v>
      </c>
      <c r="E1072">
        <v>42</v>
      </c>
      <c r="F1072">
        <v>2.2400000000000002</v>
      </c>
      <c r="G1072">
        <v>0.182</v>
      </c>
      <c r="H1072">
        <v>0</v>
      </c>
      <c r="J1072">
        <v>1</v>
      </c>
      <c r="K1072">
        <f>YEAR(NetflixData[[#This Row],[date]])</f>
        <v>2021</v>
      </c>
      <c r="L1072" t="str">
        <f>TEXT(NetflixData[[#This Row],[date]],"mmm")</f>
        <v>Aug</v>
      </c>
      <c r="M1072" t="str">
        <f>TEXT(NetflixData[[#This Row],[date]],"mmm yyyy")</f>
        <v>Aug 2021</v>
      </c>
      <c r="N1072" t="str">
        <f t="shared" si="48"/>
        <v>Trading Day</v>
      </c>
      <c r="O1072" t="str">
        <f t="shared" si="49"/>
        <v>Positive</v>
      </c>
      <c r="P1072" t="str">
        <f t="shared" si="50"/>
        <v>Positive</v>
      </c>
    </row>
    <row r="1073" spans="1:16" x14ac:dyDescent="0.3">
      <c r="A1073" s="1">
        <v>44426</v>
      </c>
      <c r="B1073">
        <v>52.19</v>
      </c>
      <c r="C1073">
        <v>25820000</v>
      </c>
      <c r="D1073">
        <v>0.36</v>
      </c>
      <c r="E1073">
        <v>43</v>
      </c>
      <c r="F1073">
        <v>2.44</v>
      </c>
      <c r="G1073">
        <v>0.14019999999999999</v>
      </c>
      <c r="H1073">
        <v>0</v>
      </c>
      <c r="J1073">
        <v>1</v>
      </c>
      <c r="K1073">
        <f>YEAR(NetflixData[[#This Row],[date]])</f>
        <v>2021</v>
      </c>
      <c r="L1073" t="str">
        <f>TEXT(NetflixData[[#This Row],[date]],"mmm")</f>
        <v>Aug</v>
      </c>
      <c r="M1073" t="str">
        <f>TEXT(NetflixData[[#This Row],[date]],"mmm yyyy")</f>
        <v>Aug 2021</v>
      </c>
      <c r="N1073" t="str">
        <f t="shared" si="48"/>
        <v>Trading Day</v>
      </c>
      <c r="O1073" t="str">
        <f t="shared" si="49"/>
        <v>Positive</v>
      </c>
      <c r="P1073" t="str">
        <f t="shared" si="50"/>
        <v>Positive</v>
      </c>
    </row>
    <row r="1074" spans="1:16" x14ac:dyDescent="0.3">
      <c r="A1074" s="1">
        <v>44427</v>
      </c>
      <c r="B1074">
        <v>54.37</v>
      </c>
      <c r="C1074">
        <v>74973000</v>
      </c>
      <c r="D1074">
        <v>4.0119999999999996</v>
      </c>
      <c r="E1074">
        <v>45</v>
      </c>
      <c r="F1074">
        <v>1.93</v>
      </c>
      <c r="G1074">
        <v>-1.1999999999999999E-3</v>
      </c>
      <c r="H1074">
        <v>0</v>
      </c>
      <c r="J1074">
        <v>1</v>
      </c>
      <c r="K1074">
        <f>YEAR(NetflixData[[#This Row],[date]])</f>
        <v>2021</v>
      </c>
      <c r="L1074" t="str">
        <f>TEXT(NetflixData[[#This Row],[date]],"mmm")</f>
        <v>Aug</v>
      </c>
      <c r="M1074" t="str">
        <f>TEXT(NetflixData[[#This Row],[date]],"mmm yyyy")</f>
        <v>Aug 2021</v>
      </c>
      <c r="N1074" t="str">
        <f t="shared" si="48"/>
        <v>Trading Day</v>
      </c>
      <c r="O1074" t="str">
        <f t="shared" si="49"/>
        <v>Positive</v>
      </c>
      <c r="P1074" t="str">
        <f t="shared" si="50"/>
        <v>Neutral</v>
      </c>
    </row>
    <row r="1075" spans="1:16" x14ac:dyDescent="0.3">
      <c r="A1075" s="1">
        <v>44428</v>
      </c>
      <c r="B1075">
        <v>54.69</v>
      </c>
      <c r="C1075">
        <v>37764000</v>
      </c>
      <c r="D1075">
        <v>0.32800000000000001</v>
      </c>
      <c r="E1075">
        <v>36</v>
      </c>
      <c r="F1075">
        <v>2.42</v>
      </c>
      <c r="G1075">
        <v>0.13600000000000001</v>
      </c>
      <c r="H1075">
        <v>0</v>
      </c>
      <c r="J1075">
        <v>1</v>
      </c>
      <c r="K1075">
        <f>YEAR(NetflixData[[#This Row],[date]])</f>
        <v>2021</v>
      </c>
      <c r="L1075" t="str">
        <f>TEXT(NetflixData[[#This Row],[date]],"mmm")</f>
        <v>Aug</v>
      </c>
      <c r="M1075" t="str">
        <f>TEXT(NetflixData[[#This Row],[date]],"mmm yyyy")</f>
        <v>Aug 2021</v>
      </c>
      <c r="N1075" t="str">
        <f t="shared" si="48"/>
        <v>Non-Trading Day</v>
      </c>
      <c r="O1075" t="str">
        <f t="shared" si="49"/>
        <v>Positive</v>
      </c>
      <c r="P1075" t="str">
        <f t="shared" si="50"/>
        <v>Positive</v>
      </c>
    </row>
    <row r="1076" spans="1:16" x14ac:dyDescent="0.3">
      <c r="A1076" s="1">
        <v>44429</v>
      </c>
      <c r="B1076">
        <v>54.69</v>
      </c>
      <c r="C1076">
        <v>0</v>
      </c>
      <c r="D1076">
        <v>0</v>
      </c>
      <c r="E1076">
        <v>48</v>
      </c>
      <c r="F1076">
        <v>2.83</v>
      </c>
      <c r="G1076">
        <v>0.26950000000000002</v>
      </c>
      <c r="H1076">
        <v>0</v>
      </c>
      <c r="J1076">
        <v>0</v>
      </c>
      <c r="K1076">
        <f>YEAR(NetflixData[[#This Row],[date]])</f>
        <v>2021</v>
      </c>
      <c r="L1076" t="str">
        <f>TEXT(NetflixData[[#This Row],[date]],"mmm")</f>
        <v>Aug</v>
      </c>
      <c r="M1076" t="str">
        <f>TEXT(NetflixData[[#This Row],[date]],"mmm yyyy")</f>
        <v>Aug 2021</v>
      </c>
      <c r="N1076" t="str">
        <f t="shared" si="48"/>
        <v>Non-Trading Day</v>
      </c>
      <c r="O1076" t="str">
        <f t="shared" si="49"/>
        <v>No Change</v>
      </c>
      <c r="P1076" t="str">
        <f t="shared" si="50"/>
        <v>Positive</v>
      </c>
    </row>
    <row r="1077" spans="1:16" x14ac:dyDescent="0.3">
      <c r="A1077" s="1">
        <v>44430</v>
      </c>
      <c r="B1077">
        <v>54.69</v>
      </c>
      <c r="C1077">
        <v>0</v>
      </c>
      <c r="D1077">
        <v>0</v>
      </c>
      <c r="E1077">
        <v>42</v>
      </c>
      <c r="F1077">
        <v>3.19</v>
      </c>
      <c r="G1077">
        <v>0.33450000000000002</v>
      </c>
      <c r="H1077">
        <v>0</v>
      </c>
      <c r="J1077">
        <v>0</v>
      </c>
      <c r="K1077">
        <f>YEAR(NetflixData[[#This Row],[date]])</f>
        <v>2021</v>
      </c>
      <c r="L1077" t="str">
        <f>TEXT(NetflixData[[#This Row],[date]],"mmm")</f>
        <v>Aug</v>
      </c>
      <c r="M1077" t="str">
        <f>TEXT(NetflixData[[#This Row],[date]],"mmm yyyy")</f>
        <v>Aug 2021</v>
      </c>
      <c r="N1077" t="str">
        <f t="shared" si="48"/>
        <v>Trading Day</v>
      </c>
      <c r="O1077" t="str">
        <f t="shared" si="49"/>
        <v>No Change</v>
      </c>
      <c r="P1077" t="str">
        <f t="shared" si="50"/>
        <v>Positive</v>
      </c>
    </row>
    <row r="1078" spans="1:16" x14ac:dyDescent="0.3">
      <c r="A1078" s="1">
        <v>44431</v>
      </c>
      <c r="B1078">
        <v>55.33</v>
      </c>
      <c r="C1078">
        <v>26020000</v>
      </c>
      <c r="D1078">
        <v>1.3460000000000001</v>
      </c>
      <c r="E1078">
        <v>38</v>
      </c>
      <c r="F1078">
        <v>2.63</v>
      </c>
      <c r="G1078">
        <v>0.14749999999999999</v>
      </c>
      <c r="H1078">
        <v>0</v>
      </c>
      <c r="J1078">
        <v>1</v>
      </c>
      <c r="K1078">
        <f>YEAR(NetflixData[[#This Row],[date]])</f>
        <v>2021</v>
      </c>
      <c r="L1078" t="str">
        <f>TEXT(NetflixData[[#This Row],[date]],"mmm")</f>
        <v>Aug</v>
      </c>
      <c r="M1078" t="str">
        <f>TEXT(NetflixData[[#This Row],[date]],"mmm yyyy")</f>
        <v>Aug 2021</v>
      </c>
      <c r="N1078" t="str">
        <f t="shared" si="48"/>
        <v>Trading Day</v>
      </c>
      <c r="O1078" t="str">
        <f t="shared" si="49"/>
        <v>Positive</v>
      </c>
      <c r="P1078" t="str">
        <f t="shared" si="50"/>
        <v>Positive</v>
      </c>
    </row>
    <row r="1079" spans="1:16" x14ac:dyDescent="0.3">
      <c r="A1079" s="1">
        <v>44432</v>
      </c>
      <c r="B1079">
        <v>55.34</v>
      </c>
      <c r="C1079">
        <v>21095000</v>
      </c>
      <c r="D1079">
        <v>0.35</v>
      </c>
      <c r="E1079">
        <v>45</v>
      </c>
      <c r="F1079">
        <v>2.4900000000000002</v>
      </c>
      <c r="G1079">
        <v>0.13170000000000001</v>
      </c>
      <c r="H1079">
        <v>0</v>
      </c>
      <c r="J1079">
        <v>1</v>
      </c>
      <c r="K1079">
        <f>YEAR(NetflixData[[#This Row],[date]])</f>
        <v>2021</v>
      </c>
      <c r="L1079" t="str">
        <f>TEXT(NetflixData[[#This Row],[date]],"mmm")</f>
        <v>Aug</v>
      </c>
      <c r="M1079" t="str">
        <f>TEXT(NetflixData[[#This Row],[date]],"mmm yyyy")</f>
        <v>Aug 2021</v>
      </c>
      <c r="N1079" t="str">
        <f t="shared" si="48"/>
        <v>Trading Day</v>
      </c>
      <c r="O1079" t="str">
        <f t="shared" si="49"/>
        <v>Positive</v>
      </c>
      <c r="P1079" t="str">
        <f t="shared" si="50"/>
        <v>Positive</v>
      </c>
    </row>
    <row r="1080" spans="1:16" x14ac:dyDescent="0.3">
      <c r="A1080" s="1">
        <v>44433</v>
      </c>
      <c r="B1080">
        <v>54.76</v>
      </c>
      <c r="C1080">
        <v>20656000</v>
      </c>
      <c r="D1080">
        <v>-0.46899999999999997</v>
      </c>
      <c r="E1080">
        <v>45</v>
      </c>
      <c r="F1080">
        <v>2.64</v>
      </c>
      <c r="G1080">
        <v>0.2122</v>
      </c>
      <c r="H1080">
        <v>0</v>
      </c>
      <c r="J1080">
        <v>1</v>
      </c>
      <c r="K1080">
        <f>YEAR(NetflixData[[#This Row],[date]])</f>
        <v>2021</v>
      </c>
      <c r="L1080" t="str">
        <f>TEXT(NetflixData[[#This Row],[date]],"mmm")</f>
        <v>Aug</v>
      </c>
      <c r="M1080" t="str">
        <f>TEXT(NetflixData[[#This Row],[date]],"mmm yyyy")</f>
        <v>Aug 2021</v>
      </c>
      <c r="N1080" t="str">
        <f t="shared" si="48"/>
        <v>Trading Day</v>
      </c>
      <c r="O1080" t="str">
        <f t="shared" si="49"/>
        <v>Negative</v>
      </c>
      <c r="P1080" t="str">
        <f t="shared" si="50"/>
        <v>Positive</v>
      </c>
    </row>
    <row r="1081" spans="1:16" x14ac:dyDescent="0.3">
      <c r="A1081" s="1">
        <v>44434</v>
      </c>
      <c r="B1081">
        <v>55.01</v>
      </c>
      <c r="C1081">
        <v>15955000</v>
      </c>
      <c r="D1081">
        <v>0.72499999999999998</v>
      </c>
      <c r="E1081">
        <v>36</v>
      </c>
      <c r="F1081">
        <v>2.75</v>
      </c>
      <c r="G1081">
        <v>0.24229999999999999</v>
      </c>
      <c r="H1081">
        <v>0</v>
      </c>
      <c r="J1081">
        <v>1</v>
      </c>
      <c r="K1081">
        <f>YEAR(NetflixData[[#This Row],[date]])</f>
        <v>2021</v>
      </c>
      <c r="L1081" t="str">
        <f>TEXT(NetflixData[[#This Row],[date]],"mmm")</f>
        <v>Aug</v>
      </c>
      <c r="M1081" t="str">
        <f>TEXT(NetflixData[[#This Row],[date]],"mmm yyyy")</f>
        <v>Aug 2021</v>
      </c>
      <c r="N1081" t="str">
        <f t="shared" si="48"/>
        <v>Trading Day</v>
      </c>
      <c r="O1081" t="str">
        <f t="shared" si="49"/>
        <v>Positive</v>
      </c>
      <c r="P1081" t="str">
        <f t="shared" si="50"/>
        <v>Positive</v>
      </c>
    </row>
    <row r="1082" spans="1:16" x14ac:dyDescent="0.3">
      <c r="A1082" s="1">
        <v>44435</v>
      </c>
      <c r="B1082">
        <v>55.89</v>
      </c>
      <c r="C1082">
        <v>32526000</v>
      </c>
      <c r="D1082">
        <v>1.327</v>
      </c>
      <c r="E1082">
        <v>50</v>
      </c>
      <c r="F1082">
        <v>2.74</v>
      </c>
      <c r="G1082">
        <v>0.16950000000000001</v>
      </c>
      <c r="H1082">
        <v>0</v>
      </c>
      <c r="J1082">
        <v>1</v>
      </c>
      <c r="K1082">
        <f>YEAR(NetflixData[[#This Row],[date]])</f>
        <v>2021</v>
      </c>
      <c r="L1082" t="str">
        <f>TEXT(NetflixData[[#This Row],[date]],"mmm")</f>
        <v>Aug</v>
      </c>
      <c r="M1082" t="str">
        <f>TEXT(NetflixData[[#This Row],[date]],"mmm yyyy")</f>
        <v>Aug 2021</v>
      </c>
      <c r="N1082" t="str">
        <f t="shared" si="48"/>
        <v>Non-Trading Day</v>
      </c>
      <c r="O1082" t="str">
        <f t="shared" si="49"/>
        <v>Positive</v>
      </c>
      <c r="P1082" t="str">
        <f t="shared" si="50"/>
        <v>Positive</v>
      </c>
    </row>
    <row r="1083" spans="1:16" x14ac:dyDescent="0.3">
      <c r="A1083" s="1">
        <v>44436</v>
      </c>
      <c r="B1083">
        <v>55.89</v>
      </c>
      <c r="C1083">
        <v>0</v>
      </c>
      <c r="D1083">
        <v>0</v>
      </c>
      <c r="E1083">
        <v>65</v>
      </c>
      <c r="F1083">
        <v>2.3199999999999998</v>
      </c>
      <c r="G1083">
        <v>1.6299999999999999E-2</v>
      </c>
      <c r="H1083">
        <v>0</v>
      </c>
      <c r="J1083">
        <v>0</v>
      </c>
      <c r="K1083">
        <f>YEAR(NetflixData[[#This Row],[date]])</f>
        <v>2021</v>
      </c>
      <c r="L1083" t="str">
        <f>TEXT(NetflixData[[#This Row],[date]],"mmm")</f>
        <v>Aug</v>
      </c>
      <c r="M1083" t="str">
        <f>TEXT(NetflixData[[#This Row],[date]],"mmm yyyy")</f>
        <v>Aug 2021</v>
      </c>
      <c r="N1083" t="str">
        <f t="shared" si="48"/>
        <v>Non-Trading Day</v>
      </c>
      <c r="O1083" t="str">
        <f t="shared" si="49"/>
        <v>No Change</v>
      </c>
      <c r="P1083" t="str">
        <f t="shared" si="50"/>
        <v>Neutral</v>
      </c>
    </row>
    <row r="1084" spans="1:16" x14ac:dyDescent="0.3">
      <c r="A1084" s="1">
        <v>44437</v>
      </c>
      <c r="B1084">
        <v>55.89</v>
      </c>
      <c r="C1084">
        <v>0</v>
      </c>
      <c r="D1084">
        <v>0</v>
      </c>
      <c r="E1084">
        <v>62</v>
      </c>
      <c r="F1084">
        <v>2.35</v>
      </c>
      <c r="G1084">
        <v>0.13400000000000001</v>
      </c>
      <c r="H1084">
        <v>0</v>
      </c>
      <c r="J1084">
        <v>0</v>
      </c>
      <c r="K1084">
        <f>YEAR(NetflixData[[#This Row],[date]])</f>
        <v>2021</v>
      </c>
      <c r="L1084" t="str">
        <f>TEXT(NetflixData[[#This Row],[date]],"mmm")</f>
        <v>Aug</v>
      </c>
      <c r="M1084" t="str">
        <f>TEXT(NetflixData[[#This Row],[date]],"mmm yyyy")</f>
        <v>Aug 2021</v>
      </c>
      <c r="N1084" t="str">
        <f t="shared" si="48"/>
        <v>Trading Day</v>
      </c>
      <c r="O1084" t="str">
        <f t="shared" si="49"/>
        <v>No Change</v>
      </c>
      <c r="P1084" t="str">
        <f t="shared" si="50"/>
        <v>Positive</v>
      </c>
    </row>
    <row r="1085" spans="1:16" x14ac:dyDescent="0.3">
      <c r="A1085" s="1">
        <v>44438</v>
      </c>
      <c r="B1085">
        <v>56.62</v>
      </c>
      <c r="C1085">
        <v>24348000</v>
      </c>
      <c r="D1085">
        <v>1.603</v>
      </c>
      <c r="E1085">
        <v>52</v>
      </c>
      <c r="F1085">
        <v>2.75</v>
      </c>
      <c r="G1085">
        <v>0.21970000000000001</v>
      </c>
      <c r="H1085">
        <v>0</v>
      </c>
      <c r="J1085">
        <v>1</v>
      </c>
      <c r="K1085">
        <f>YEAR(NetflixData[[#This Row],[date]])</f>
        <v>2021</v>
      </c>
      <c r="L1085" t="str">
        <f>TEXT(NetflixData[[#This Row],[date]],"mmm")</f>
        <v>Aug</v>
      </c>
      <c r="M1085" t="str">
        <f>TEXT(NetflixData[[#This Row],[date]],"mmm yyyy")</f>
        <v>Aug 2021</v>
      </c>
      <c r="N1085" t="str">
        <f t="shared" si="48"/>
        <v>Trading Day</v>
      </c>
      <c r="O1085" t="str">
        <f t="shared" si="49"/>
        <v>Positive</v>
      </c>
      <c r="P1085" t="str">
        <f t="shared" si="50"/>
        <v>Positive</v>
      </c>
    </row>
    <row r="1086" spans="1:16" x14ac:dyDescent="0.3">
      <c r="A1086" s="1">
        <v>44439</v>
      </c>
      <c r="B1086">
        <v>56.92</v>
      </c>
      <c r="C1086">
        <v>24319000</v>
      </c>
      <c r="D1086">
        <v>0.54200000000000004</v>
      </c>
      <c r="E1086">
        <v>40</v>
      </c>
      <c r="F1086">
        <v>2.85</v>
      </c>
      <c r="G1086">
        <v>0.22409999999999999</v>
      </c>
      <c r="H1086">
        <v>0</v>
      </c>
      <c r="J1086">
        <v>1</v>
      </c>
      <c r="K1086">
        <f>YEAR(NetflixData[[#This Row],[date]])</f>
        <v>2021</v>
      </c>
      <c r="L1086" t="str">
        <f>TEXT(NetflixData[[#This Row],[date]],"mmm")</f>
        <v>Aug</v>
      </c>
      <c r="M1086" t="str">
        <f>TEXT(NetflixData[[#This Row],[date]],"mmm yyyy")</f>
        <v>Aug 2021</v>
      </c>
      <c r="N1086" t="str">
        <f t="shared" si="48"/>
        <v>Trading Day</v>
      </c>
      <c r="O1086" t="str">
        <f t="shared" si="49"/>
        <v>Positive</v>
      </c>
      <c r="P1086" t="str">
        <f t="shared" si="50"/>
        <v>Positive</v>
      </c>
    </row>
    <row r="1087" spans="1:16" x14ac:dyDescent="0.3">
      <c r="A1087" s="1">
        <v>44440</v>
      </c>
      <c r="B1087">
        <v>58.21</v>
      </c>
      <c r="C1087">
        <v>56262000</v>
      </c>
      <c r="D1087">
        <v>2.2970000000000002</v>
      </c>
      <c r="E1087">
        <v>51</v>
      </c>
      <c r="F1087">
        <v>2.61</v>
      </c>
      <c r="G1087">
        <v>0.18290000000000001</v>
      </c>
      <c r="H1087">
        <v>0</v>
      </c>
      <c r="J1087">
        <v>1</v>
      </c>
      <c r="K1087">
        <f>YEAR(NetflixData[[#This Row],[date]])</f>
        <v>2021</v>
      </c>
      <c r="L1087" t="str">
        <f>TEXT(NetflixData[[#This Row],[date]],"mmm")</f>
        <v>Sep</v>
      </c>
      <c r="M1087" t="str">
        <f>TEXT(NetflixData[[#This Row],[date]],"mmm yyyy")</f>
        <v>Sep 2021</v>
      </c>
      <c r="N1087" t="str">
        <f t="shared" si="48"/>
        <v>Trading Day</v>
      </c>
      <c r="O1087" t="str">
        <f t="shared" si="49"/>
        <v>Positive</v>
      </c>
      <c r="P1087" t="str">
        <f t="shared" si="50"/>
        <v>Positive</v>
      </c>
    </row>
    <row r="1088" spans="1:16" x14ac:dyDescent="0.3">
      <c r="A1088" s="1">
        <v>44441</v>
      </c>
      <c r="B1088">
        <v>58.85</v>
      </c>
      <c r="C1088">
        <v>61799000</v>
      </c>
      <c r="D1088">
        <v>0.83399999999999996</v>
      </c>
      <c r="E1088">
        <v>48</v>
      </c>
      <c r="F1088">
        <v>2.12</v>
      </c>
      <c r="G1088">
        <v>8.2199999999999995E-2</v>
      </c>
      <c r="H1088">
        <v>0</v>
      </c>
      <c r="J1088">
        <v>1</v>
      </c>
      <c r="K1088">
        <f>YEAR(NetflixData[[#This Row],[date]])</f>
        <v>2021</v>
      </c>
      <c r="L1088" t="str">
        <f>TEXT(NetflixData[[#This Row],[date]],"mmm")</f>
        <v>Sep</v>
      </c>
      <c r="M1088" t="str">
        <f>TEXT(NetflixData[[#This Row],[date]],"mmm yyyy")</f>
        <v>Sep 2021</v>
      </c>
      <c r="N1088" t="str">
        <f t="shared" si="48"/>
        <v>Trading Day</v>
      </c>
      <c r="O1088" t="str">
        <f t="shared" si="49"/>
        <v>Positive</v>
      </c>
      <c r="P1088" t="str">
        <f t="shared" si="50"/>
        <v>Neutral</v>
      </c>
    </row>
    <row r="1089" spans="1:16" x14ac:dyDescent="0.3">
      <c r="A1089" s="1">
        <v>44442</v>
      </c>
      <c r="B1089">
        <v>59.05</v>
      </c>
      <c r="C1089">
        <v>26812000</v>
      </c>
      <c r="D1089">
        <v>0.80700000000000005</v>
      </c>
      <c r="E1089">
        <v>64</v>
      </c>
      <c r="F1089">
        <v>2.2000000000000002</v>
      </c>
      <c r="G1089">
        <v>6.4799999999999996E-2</v>
      </c>
      <c r="H1089">
        <v>0</v>
      </c>
      <c r="J1089">
        <v>1</v>
      </c>
      <c r="K1089">
        <f>YEAR(NetflixData[[#This Row],[date]])</f>
        <v>2021</v>
      </c>
      <c r="L1089" t="str">
        <f>TEXT(NetflixData[[#This Row],[date]],"mmm")</f>
        <v>Sep</v>
      </c>
      <c r="M1089" t="str">
        <f>TEXT(NetflixData[[#This Row],[date]],"mmm yyyy")</f>
        <v>Sep 2021</v>
      </c>
      <c r="N1089" t="str">
        <f t="shared" si="48"/>
        <v>Non-Trading Day</v>
      </c>
      <c r="O1089" t="str">
        <f t="shared" si="49"/>
        <v>Positive</v>
      </c>
      <c r="P1089" t="str">
        <f t="shared" si="50"/>
        <v>Neutral</v>
      </c>
    </row>
    <row r="1090" spans="1:16" x14ac:dyDescent="0.3">
      <c r="A1090" s="1">
        <v>44443</v>
      </c>
      <c r="B1090">
        <v>59.05</v>
      </c>
      <c r="C1090">
        <v>0</v>
      </c>
      <c r="D1090">
        <v>0</v>
      </c>
      <c r="E1090">
        <v>68</v>
      </c>
      <c r="F1090">
        <v>2.2599999999999998</v>
      </c>
      <c r="G1090">
        <v>8.2299999999999998E-2</v>
      </c>
      <c r="H1090">
        <v>0</v>
      </c>
      <c r="J1090">
        <v>0</v>
      </c>
      <c r="K1090">
        <f>YEAR(NetflixData[[#This Row],[date]])</f>
        <v>2021</v>
      </c>
      <c r="L1090" t="str">
        <f>TEXT(NetflixData[[#This Row],[date]],"mmm")</f>
        <v>Sep</v>
      </c>
      <c r="M1090" t="str">
        <f>TEXT(NetflixData[[#This Row],[date]],"mmm yyyy")</f>
        <v>Sep 2021</v>
      </c>
      <c r="N1090" t="str">
        <f t="shared" ref="N1090:N1153" si="51">IF(J1091=1,"Trading Day","Non-Trading Day")</f>
        <v>Non-Trading Day</v>
      </c>
      <c r="O1090" t="str">
        <f t="shared" ref="O1090:O1153" si="52">IF(D1090&gt;0,"Positive",IF(D1090&lt;0,"Negative","No Change"))</f>
        <v>No Change</v>
      </c>
      <c r="P1090" t="str">
        <f t="shared" ref="P1090:P1153" si="53">IF(G1090&gt;0.1,"Positive",IF(G1090&lt;-0.1,"Negative","Neutral"))</f>
        <v>Neutral</v>
      </c>
    </row>
    <row r="1091" spans="1:16" x14ac:dyDescent="0.3">
      <c r="A1091" s="1">
        <v>44444</v>
      </c>
      <c r="B1091">
        <v>59.05</v>
      </c>
      <c r="C1091">
        <v>0</v>
      </c>
      <c r="D1091">
        <v>0</v>
      </c>
      <c r="E1091">
        <v>64</v>
      </c>
      <c r="F1091">
        <v>2.44</v>
      </c>
      <c r="G1091">
        <v>0.12720000000000001</v>
      </c>
      <c r="H1091">
        <v>0</v>
      </c>
      <c r="J1091">
        <v>0</v>
      </c>
      <c r="K1091">
        <f>YEAR(NetflixData[[#This Row],[date]])</f>
        <v>2021</v>
      </c>
      <c r="L1091" t="str">
        <f>TEXT(NetflixData[[#This Row],[date]],"mmm")</f>
        <v>Sep</v>
      </c>
      <c r="M1091" t="str">
        <f>TEXT(NetflixData[[#This Row],[date]],"mmm yyyy")</f>
        <v>Sep 2021</v>
      </c>
      <c r="N1091" t="str">
        <f t="shared" si="51"/>
        <v>Non-Trading Day</v>
      </c>
      <c r="O1091" t="str">
        <f t="shared" si="52"/>
        <v>No Change</v>
      </c>
      <c r="P1091" t="str">
        <f t="shared" si="53"/>
        <v>Positive</v>
      </c>
    </row>
    <row r="1092" spans="1:16" x14ac:dyDescent="0.3">
      <c r="A1092" s="1">
        <v>44445</v>
      </c>
      <c r="B1092">
        <v>59.05</v>
      </c>
      <c r="C1092">
        <v>0</v>
      </c>
      <c r="D1092">
        <v>0</v>
      </c>
      <c r="E1092">
        <v>44</v>
      </c>
      <c r="F1092">
        <v>2.61</v>
      </c>
      <c r="G1092">
        <v>0.15379999999999999</v>
      </c>
      <c r="H1092">
        <v>0</v>
      </c>
      <c r="J1092">
        <v>0</v>
      </c>
      <c r="K1092">
        <f>YEAR(NetflixData[[#This Row],[date]])</f>
        <v>2021</v>
      </c>
      <c r="L1092" t="str">
        <f>TEXT(NetflixData[[#This Row],[date]],"mmm")</f>
        <v>Sep</v>
      </c>
      <c r="M1092" t="str">
        <f>TEXT(NetflixData[[#This Row],[date]],"mmm yyyy")</f>
        <v>Sep 2021</v>
      </c>
      <c r="N1092" t="str">
        <f t="shared" si="51"/>
        <v>Trading Day</v>
      </c>
      <c r="O1092" t="str">
        <f t="shared" si="52"/>
        <v>No Change</v>
      </c>
      <c r="P1092" t="str">
        <f t="shared" si="53"/>
        <v>Positive</v>
      </c>
    </row>
    <row r="1093" spans="1:16" x14ac:dyDescent="0.3">
      <c r="A1093" s="1">
        <v>44446</v>
      </c>
      <c r="B1093">
        <v>60.67</v>
      </c>
      <c r="C1093">
        <v>58214000</v>
      </c>
      <c r="D1093">
        <v>2.0209999999999999</v>
      </c>
      <c r="E1093">
        <v>41</v>
      </c>
      <c r="F1093">
        <v>2.02</v>
      </c>
      <c r="G1093">
        <v>-1.26E-2</v>
      </c>
      <c r="H1093">
        <v>0</v>
      </c>
      <c r="J1093">
        <v>1</v>
      </c>
      <c r="K1093">
        <f>YEAR(NetflixData[[#This Row],[date]])</f>
        <v>2021</v>
      </c>
      <c r="L1093" t="str">
        <f>TEXT(NetflixData[[#This Row],[date]],"mmm")</f>
        <v>Sep</v>
      </c>
      <c r="M1093" t="str">
        <f>TEXT(NetflixData[[#This Row],[date]],"mmm yyyy")</f>
        <v>Sep 2021</v>
      </c>
      <c r="N1093" t="str">
        <f t="shared" si="51"/>
        <v>Trading Day</v>
      </c>
      <c r="O1093" t="str">
        <f t="shared" si="52"/>
        <v>Positive</v>
      </c>
      <c r="P1093" t="str">
        <f t="shared" si="53"/>
        <v>Neutral</v>
      </c>
    </row>
    <row r="1094" spans="1:16" x14ac:dyDescent="0.3">
      <c r="A1094" s="1">
        <v>44447</v>
      </c>
      <c r="B1094">
        <v>60.6</v>
      </c>
      <c r="C1094">
        <v>54245000</v>
      </c>
      <c r="D1094">
        <v>0.36599999999999999</v>
      </c>
      <c r="E1094">
        <v>37</v>
      </c>
      <c r="F1094">
        <v>2.65</v>
      </c>
      <c r="G1094">
        <v>0.18149999999999999</v>
      </c>
      <c r="H1094">
        <v>0</v>
      </c>
      <c r="J1094">
        <v>1</v>
      </c>
      <c r="K1094">
        <f>YEAR(NetflixData[[#This Row],[date]])</f>
        <v>2021</v>
      </c>
      <c r="L1094" t="str">
        <f>TEXT(NetflixData[[#This Row],[date]],"mmm")</f>
        <v>Sep</v>
      </c>
      <c r="M1094" t="str">
        <f>TEXT(NetflixData[[#This Row],[date]],"mmm yyyy")</f>
        <v>Sep 2021</v>
      </c>
      <c r="N1094" t="str">
        <f t="shared" si="51"/>
        <v>Trading Day</v>
      </c>
      <c r="O1094" t="str">
        <f t="shared" si="52"/>
        <v>Positive</v>
      </c>
      <c r="P1094" t="str">
        <f t="shared" si="53"/>
        <v>Positive</v>
      </c>
    </row>
    <row r="1095" spans="1:16" x14ac:dyDescent="0.3">
      <c r="A1095" s="1">
        <v>44448</v>
      </c>
      <c r="B1095">
        <v>59.75</v>
      </c>
      <c r="C1095">
        <v>29542000</v>
      </c>
      <c r="D1095">
        <v>-1.472</v>
      </c>
      <c r="E1095">
        <v>33</v>
      </c>
      <c r="F1095">
        <v>2.42</v>
      </c>
      <c r="G1095">
        <v>1.3899999999999999E-2</v>
      </c>
      <c r="H1095">
        <v>0</v>
      </c>
      <c r="J1095">
        <v>1</v>
      </c>
      <c r="K1095">
        <f>YEAR(NetflixData[[#This Row],[date]])</f>
        <v>2021</v>
      </c>
      <c r="L1095" t="str">
        <f>TEXT(NetflixData[[#This Row],[date]],"mmm")</f>
        <v>Sep</v>
      </c>
      <c r="M1095" t="str">
        <f>TEXT(NetflixData[[#This Row],[date]],"mmm yyyy")</f>
        <v>Sep 2021</v>
      </c>
      <c r="N1095" t="str">
        <f t="shared" si="51"/>
        <v>Trading Day</v>
      </c>
      <c r="O1095" t="str">
        <f t="shared" si="52"/>
        <v>Negative</v>
      </c>
      <c r="P1095" t="str">
        <f t="shared" si="53"/>
        <v>Neutral</v>
      </c>
    </row>
    <row r="1096" spans="1:16" x14ac:dyDescent="0.3">
      <c r="A1096" s="1">
        <v>44449</v>
      </c>
      <c r="B1096">
        <v>59.87</v>
      </c>
      <c r="C1096">
        <v>39508000</v>
      </c>
      <c r="D1096">
        <v>9.4E-2</v>
      </c>
      <c r="E1096">
        <v>31</v>
      </c>
      <c r="F1096">
        <v>2.39</v>
      </c>
      <c r="G1096">
        <v>0.13089999999999999</v>
      </c>
      <c r="H1096">
        <v>0</v>
      </c>
      <c r="J1096">
        <v>1</v>
      </c>
      <c r="K1096">
        <f>YEAR(NetflixData[[#This Row],[date]])</f>
        <v>2021</v>
      </c>
      <c r="L1096" t="str">
        <f>TEXT(NetflixData[[#This Row],[date]],"mmm")</f>
        <v>Sep</v>
      </c>
      <c r="M1096" t="str">
        <f>TEXT(NetflixData[[#This Row],[date]],"mmm yyyy")</f>
        <v>Sep 2021</v>
      </c>
      <c r="N1096" t="str">
        <f t="shared" si="51"/>
        <v>Non-Trading Day</v>
      </c>
      <c r="O1096" t="str">
        <f t="shared" si="52"/>
        <v>Positive</v>
      </c>
      <c r="P1096" t="str">
        <f t="shared" si="53"/>
        <v>Positive</v>
      </c>
    </row>
    <row r="1097" spans="1:16" x14ac:dyDescent="0.3">
      <c r="A1097" s="1">
        <v>44450</v>
      </c>
      <c r="B1097">
        <v>59.87</v>
      </c>
      <c r="C1097">
        <v>0</v>
      </c>
      <c r="D1097">
        <v>0</v>
      </c>
      <c r="E1097">
        <v>46</v>
      </c>
      <c r="F1097">
        <v>2.7</v>
      </c>
      <c r="G1097">
        <v>0.15409999999999999</v>
      </c>
      <c r="H1097">
        <v>0</v>
      </c>
      <c r="J1097">
        <v>0</v>
      </c>
      <c r="K1097">
        <f>YEAR(NetflixData[[#This Row],[date]])</f>
        <v>2021</v>
      </c>
      <c r="L1097" t="str">
        <f>TEXT(NetflixData[[#This Row],[date]],"mmm")</f>
        <v>Sep</v>
      </c>
      <c r="M1097" t="str">
        <f>TEXT(NetflixData[[#This Row],[date]],"mmm yyyy")</f>
        <v>Sep 2021</v>
      </c>
      <c r="N1097" t="str">
        <f t="shared" si="51"/>
        <v>Non-Trading Day</v>
      </c>
      <c r="O1097" t="str">
        <f t="shared" si="52"/>
        <v>No Change</v>
      </c>
      <c r="P1097" t="str">
        <f t="shared" si="53"/>
        <v>Positive</v>
      </c>
    </row>
    <row r="1098" spans="1:16" x14ac:dyDescent="0.3">
      <c r="A1098" s="1">
        <v>44451</v>
      </c>
      <c r="B1098">
        <v>59.87</v>
      </c>
      <c r="C1098">
        <v>0</v>
      </c>
      <c r="D1098">
        <v>0</v>
      </c>
      <c r="E1098">
        <v>51</v>
      </c>
      <c r="F1098">
        <v>3.06</v>
      </c>
      <c r="G1098">
        <v>0.17449999999999999</v>
      </c>
      <c r="H1098">
        <v>0</v>
      </c>
      <c r="J1098">
        <v>0</v>
      </c>
      <c r="K1098">
        <f>YEAR(NetflixData[[#This Row],[date]])</f>
        <v>2021</v>
      </c>
      <c r="L1098" t="str">
        <f>TEXT(NetflixData[[#This Row],[date]],"mmm")</f>
        <v>Sep</v>
      </c>
      <c r="M1098" t="str">
        <f>TEXT(NetflixData[[#This Row],[date]],"mmm yyyy")</f>
        <v>Sep 2021</v>
      </c>
      <c r="N1098" t="str">
        <f t="shared" si="51"/>
        <v>Trading Day</v>
      </c>
      <c r="O1098" t="str">
        <f t="shared" si="52"/>
        <v>No Change</v>
      </c>
      <c r="P1098" t="str">
        <f t="shared" si="53"/>
        <v>Positive</v>
      </c>
    </row>
    <row r="1099" spans="1:16" x14ac:dyDescent="0.3">
      <c r="A1099" s="1">
        <v>44452</v>
      </c>
      <c r="B1099">
        <v>58.93</v>
      </c>
      <c r="C1099">
        <v>30629000</v>
      </c>
      <c r="D1099">
        <v>-1.55</v>
      </c>
      <c r="E1099">
        <v>46</v>
      </c>
      <c r="F1099">
        <v>2.89</v>
      </c>
      <c r="G1099">
        <v>0.13200000000000001</v>
      </c>
      <c r="H1099">
        <v>0</v>
      </c>
      <c r="J1099">
        <v>1</v>
      </c>
      <c r="K1099">
        <f>YEAR(NetflixData[[#This Row],[date]])</f>
        <v>2021</v>
      </c>
      <c r="L1099" t="str">
        <f>TEXT(NetflixData[[#This Row],[date]],"mmm")</f>
        <v>Sep</v>
      </c>
      <c r="M1099" t="str">
        <f>TEXT(NetflixData[[#This Row],[date]],"mmm yyyy")</f>
        <v>Sep 2021</v>
      </c>
      <c r="N1099" t="str">
        <f t="shared" si="51"/>
        <v>Trading Day</v>
      </c>
      <c r="O1099" t="str">
        <f t="shared" si="52"/>
        <v>Negative</v>
      </c>
      <c r="P1099" t="str">
        <f t="shared" si="53"/>
        <v>Positive</v>
      </c>
    </row>
    <row r="1100" spans="1:16" x14ac:dyDescent="0.3">
      <c r="A1100" s="1">
        <v>44453</v>
      </c>
      <c r="B1100">
        <v>57.78</v>
      </c>
      <c r="C1100">
        <v>34570000</v>
      </c>
      <c r="D1100">
        <v>-1.2190000000000001</v>
      </c>
      <c r="E1100">
        <v>35</v>
      </c>
      <c r="F1100">
        <v>2.37</v>
      </c>
      <c r="G1100">
        <v>0.2737</v>
      </c>
      <c r="H1100">
        <v>0</v>
      </c>
      <c r="J1100">
        <v>1</v>
      </c>
      <c r="K1100">
        <f>YEAR(NetflixData[[#This Row],[date]])</f>
        <v>2021</v>
      </c>
      <c r="L1100" t="str">
        <f>TEXT(NetflixData[[#This Row],[date]],"mmm")</f>
        <v>Sep</v>
      </c>
      <c r="M1100" t="str">
        <f>TEXT(NetflixData[[#This Row],[date]],"mmm yyyy")</f>
        <v>Sep 2021</v>
      </c>
      <c r="N1100" t="str">
        <f t="shared" si="51"/>
        <v>Trading Day</v>
      </c>
      <c r="O1100" t="str">
        <f t="shared" si="52"/>
        <v>Negative</v>
      </c>
      <c r="P1100" t="str">
        <f t="shared" si="53"/>
        <v>Positive</v>
      </c>
    </row>
    <row r="1101" spans="1:16" x14ac:dyDescent="0.3">
      <c r="A1101" s="1">
        <v>44454</v>
      </c>
      <c r="B1101">
        <v>58.29</v>
      </c>
      <c r="C1101">
        <v>27556000</v>
      </c>
      <c r="D1101">
        <v>0.81299999999999994</v>
      </c>
      <c r="E1101">
        <v>45</v>
      </c>
      <c r="F1101">
        <v>2.82</v>
      </c>
      <c r="G1101">
        <v>0.24759999999999999</v>
      </c>
      <c r="H1101">
        <v>0</v>
      </c>
      <c r="J1101">
        <v>1</v>
      </c>
      <c r="K1101">
        <f>YEAR(NetflixData[[#This Row],[date]])</f>
        <v>2021</v>
      </c>
      <c r="L1101" t="str">
        <f>TEXT(NetflixData[[#This Row],[date]],"mmm")</f>
        <v>Sep</v>
      </c>
      <c r="M1101" t="str">
        <f>TEXT(NetflixData[[#This Row],[date]],"mmm yyyy")</f>
        <v>Sep 2021</v>
      </c>
      <c r="N1101" t="str">
        <f t="shared" si="51"/>
        <v>Trading Day</v>
      </c>
      <c r="O1101" t="str">
        <f t="shared" si="52"/>
        <v>Positive</v>
      </c>
      <c r="P1101" t="str">
        <f t="shared" si="53"/>
        <v>Positive</v>
      </c>
    </row>
    <row r="1102" spans="1:16" x14ac:dyDescent="0.3">
      <c r="A1102" s="1">
        <v>44455</v>
      </c>
      <c r="B1102">
        <v>58.65</v>
      </c>
      <c r="C1102">
        <v>18320000</v>
      </c>
      <c r="D1102">
        <v>0.377</v>
      </c>
      <c r="E1102">
        <v>38</v>
      </c>
      <c r="F1102">
        <v>2.1800000000000002</v>
      </c>
      <c r="G1102">
        <v>7.0900000000000005E-2</v>
      </c>
      <c r="H1102">
        <v>0</v>
      </c>
      <c r="J1102">
        <v>1</v>
      </c>
      <c r="K1102">
        <f>YEAR(NetflixData[[#This Row],[date]])</f>
        <v>2021</v>
      </c>
      <c r="L1102" t="str">
        <f>TEXT(NetflixData[[#This Row],[date]],"mmm")</f>
        <v>Sep</v>
      </c>
      <c r="M1102" t="str">
        <f>TEXT(NetflixData[[#This Row],[date]],"mmm yyyy")</f>
        <v>Sep 2021</v>
      </c>
      <c r="N1102" t="str">
        <f t="shared" si="51"/>
        <v>Trading Day</v>
      </c>
      <c r="O1102" t="str">
        <f t="shared" si="52"/>
        <v>Positive</v>
      </c>
      <c r="P1102" t="str">
        <f t="shared" si="53"/>
        <v>Neutral</v>
      </c>
    </row>
    <row r="1103" spans="1:16" x14ac:dyDescent="0.3">
      <c r="A1103" s="1">
        <v>44456</v>
      </c>
      <c r="B1103">
        <v>58.94</v>
      </c>
      <c r="C1103">
        <v>41451000</v>
      </c>
      <c r="D1103">
        <v>0.255</v>
      </c>
      <c r="E1103">
        <v>36</v>
      </c>
      <c r="F1103">
        <v>2.06</v>
      </c>
      <c r="G1103">
        <v>2.2100000000000002E-2</v>
      </c>
      <c r="H1103">
        <v>0</v>
      </c>
      <c r="J1103">
        <v>1</v>
      </c>
      <c r="K1103">
        <f>YEAR(NetflixData[[#This Row],[date]])</f>
        <v>2021</v>
      </c>
      <c r="L1103" t="str">
        <f>TEXT(NetflixData[[#This Row],[date]],"mmm")</f>
        <v>Sep</v>
      </c>
      <c r="M1103" t="str">
        <f>TEXT(NetflixData[[#This Row],[date]],"mmm yyyy")</f>
        <v>Sep 2021</v>
      </c>
      <c r="N1103" t="str">
        <f t="shared" si="51"/>
        <v>Non-Trading Day</v>
      </c>
      <c r="O1103" t="str">
        <f t="shared" si="52"/>
        <v>Positive</v>
      </c>
      <c r="P1103" t="str">
        <f t="shared" si="53"/>
        <v>Neutral</v>
      </c>
    </row>
    <row r="1104" spans="1:16" x14ac:dyDescent="0.3">
      <c r="A1104" s="1">
        <v>44457</v>
      </c>
      <c r="B1104">
        <v>58.94</v>
      </c>
      <c r="C1104">
        <v>0</v>
      </c>
      <c r="D1104">
        <v>0</v>
      </c>
      <c r="E1104">
        <v>37</v>
      </c>
      <c r="F1104">
        <v>2.38</v>
      </c>
      <c r="G1104">
        <v>0.12889999999999999</v>
      </c>
      <c r="H1104">
        <v>0</v>
      </c>
      <c r="J1104">
        <v>0</v>
      </c>
      <c r="K1104">
        <f>YEAR(NetflixData[[#This Row],[date]])</f>
        <v>2021</v>
      </c>
      <c r="L1104" t="str">
        <f>TEXT(NetflixData[[#This Row],[date]],"mmm")</f>
        <v>Sep</v>
      </c>
      <c r="M1104" t="str">
        <f>TEXT(NetflixData[[#This Row],[date]],"mmm yyyy")</f>
        <v>Sep 2021</v>
      </c>
      <c r="N1104" t="str">
        <f t="shared" si="51"/>
        <v>Non-Trading Day</v>
      </c>
      <c r="O1104" t="str">
        <f t="shared" si="52"/>
        <v>No Change</v>
      </c>
      <c r="P1104" t="str">
        <f t="shared" si="53"/>
        <v>Positive</v>
      </c>
    </row>
    <row r="1105" spans="1:16" x14ac:dyDescent="0.3">
      <c r="A1105" s="1">
        <v>44458</v>
      </c>
      <c r="B1105">
        <v>58.94</v>
      </c>
      <c r="C1105">
        <v>0</v>
      </c>
      <c r="D1105">
        <v>0</v>
      </c>
      <c r="E1105">
        <v>44</v>
      </c>
      <c r="F1105">
        <v>2.27</v>
      </c>
      <c r="G1105">
        <v>5.3E-3</v>
      </c>
      <c r="H1105">
        <v>0</v>
      </c>
      <c r="J1105">
        <v>0</v>
      </c>
      <c r="K1105">
        <f>YEAR(NetflixData[[#This Row],[date]])</f>
        <v>2021</v>
      </c>
      <c r="L1105" t="str">
        <f>TEXT(NetflixData[[#This Row],[date]],"mmm")</f>
        <v>Sep</v>
      </c>
      <c r="M1105" t="str">
        <f>TEXT(NetflixData[[#This Row],[date]],"mmm yyyy")</f>
        <v>Sep 2021</v>
      </c>
      <c r="N1105" t="str">
        <f t="shared" si="51"/>
        <v>Trading Day</v>
      </c>
      <c r="O1105" t="str">
        <f t="shared" si="52"/>
        <v>No Change</v>
      </c>
      <c r="P1105" t="str">
        <f t="shared" si="53"/>
        <v>Neutral</v>
      </c>
    </row>
    <row r="1106" spans="1:16" x14ac:dyDescent="0.3">
      <c r="A1106" s="1">
        <v>44459</v>
      </c>
      <c r="B1106">
        <v>57.54</v>
      </c>
      <c r="C1106">
        <v>37322000</v>
      </c>
      <c r="D1106">
        <v>-1.9359999999999999</v>
      </c>
      <c r="E1106">
        <v>35</v>
      </c>
      <c r="F1106">
        <v>2.86</v>
      </c>
      <c r="G1106">
        <v>0.32169999999999999</v>
      </c>
      <c r="H1106">
        <v>0</v>
      </c>
      <c r="J1106">
        <v>1</v>
      </c>
      <c r="K1106">
        <f>YEAR(NetflixData[[#This Row],[date]])</f>
        <v>2021</v>
      </c>
      <c r="L1106" t="str">
        <f>TEXT(NetflixData[[#This Row],[date]],"mmm")</f>
        <v>Sep</v>
      </c>
      <c r="M1106" t="str">
        <f>TEXT(NetflixData[[#This Row],[date]],"mmm yyyy")</f>
        <v>Sep 2021</v>
      </c>
      <c r="N1106" t="str">
        <f t="shared" si="51"/>
        <v>Trading Day</v>
      </c>
      <c r="O1106" t="str">
        <f t="shared" si="52"/>
        <v>Negative</v>
      </c>
      <c r="P1106" t="str">
        <f t="shared" si="53"/>
        <v>Positive</v>
      </c>
    </row>
    <row r="1107" spans="1:16" x14ac:dyDescent="0.3">
      <c r="A1107" s="1">
        <v>44460</v>
      </c>
      <c r="B1107">
        <v>57.31</v>
      </c>
      <c r="C1107">
        <v>22509000</v>
      </c>
      <c r="D1107">
        <v>-0.89400000000000002</v>
      </c>
      <c r="E1107">
        <v>30</v>
      </c>
      <c r="F1107">
        <v>2.4</v>
      </c>
      <c r="G1107">
        <v>0.2258</v>
      </c>
      <c r="H1107">
        <v>0</v>
      </c>
      <c r="J1107">
        <v>1</v>
      </c>
      <c r="K1107">
        <f>YEAR(NetflixData[[#This Row],[date]])</f>
        <v>2021</v>
      </c>
      <c r="L1107" t="str">
        <f>TEXT(NetflixData[[#This Row],[date]],"mmm")</f>
        <v>Sep</v>
      </c>
      <c r="M1107" t="str">
        <f>TEXT(NetflixData[[#This Row],[date]],"mmm yyyy")</f>
        <v>Sep 2021</v>
      </c>
      <c r="N1107" t="str">
        <f t="shared" si="51"/>
        <v>Trading Day</v>
      </c>
      <c r="O1107" t="str">
        <f t="shared" si="52"/>
        <v>Negative</v>
      </c>
      <c r="P1107" t="str">
        <f t="shared" si="53"/>
        <v>Positive</v>
      </c>
    </row>
    <row r="1108" spans="1:16" x14ac:dyDescent="0.3">
      <c r="A1108" s="1">
        <v>44461</v>
      </c>
      <c r="B1108">
        <v>59.06</v>
      </c>
      <c r="C1108">
        <v>40218000</v>
      </c>
      <c r="D1108">
        <v>1.891</v>
      </c>
      <c r="E1108">
        <v>43</v>
      </c>
      <c r="F1108">
        <v>2.56</v>
      </c>
      <c r="G1108">
        <v>0.1825</v>
      </c>
      <c r="H1108">
        <v>0</v>
      </c>
      <c r="J1108">
        <v>1</v>
      </c>
      <c r="K1108">
        <f>YEAR(NetflixData[[#This Row],[date]])</f>
        <v>2021</v>
      </c>
      <c r="L1108" t="str">
        <f>TEXT(NetflixData[[#This Row],[date]],"mmm")</f>
        <v>Sep</v>
      </c>
      <c r="M1108" t="str">
        <f>TEXT(NetflixData[[#This Row],[date]],"mmm yyyy")</f>
        <v>Sep 2021</v>
      </c>
      <c r="N1108" t="str">
        <f t="shared" si="51"/>
        <v>Trading Day</v>
      </c>
      <c r="O1108" t="str">
        <f t="shared" si="52"/>
        <v>Positive</v>
      </c>
      <c r="P1108" t="str">
        <f t="shared" si="53"/>
        <v>Positive</v>
      </c>
    </row>
    <row r="1109" spans="1:16" x14ac:dyDescent="0.3">
      <c r="A1109" s="1">
        <v>44462</v>
      </c>
      <c r="B1109">
        <v>59.33</v>
      </c>
      <c r="C1109">
        <v>25262000</v>
      </c>
      <c r="D1109">
        <v>0.41799999999999998</v>
      </c>
      <c r="E1109">
        <v>25</v>
      </c>
      <c r="F1109">
        <v>2.8</v>
      </c>
      <c r="G1109">
        <v>0.25540000000000002</v>
      </c>
      <c r="H1109">
        <v>0</v>
      </c>
      <c r="J1109">
        <v>1</v>
      </c>
      <c r="K1109">
        <f>YEAR(NetflixData[[#This Row],[date]])</f>
        <v>2021</v>
      </c>
      <c r="L1109" t="str">
        <f>TEXT(NetflixData[[#This Row],[date]],"mmm")</f>
        <v>Sep</v>
      </c>
      <c r="M1109" t="str">
        <f>TEXT(NetflixData[[#This Row],[date]],"mmm yyyy")</f>
        <v>Sep 2021</v>
      </c>
      <c r="N1109" t="str">
        <f t="shared" si="51"/>
        <v>Trading Day</v>
      </c>
      <c r="O1109" t="str">
        <f t="shared" si="52"/>
        <v>Positive</v>
      </c>
      <c r="P1109" t="str">
        <f t="shared" si="53"/>
        <v>Positive</v>
      </c>
    </row>
    <row r="1110" spans="1:16" x14ac:dyDescent="0.3">
      <c r="A1110" s="1">
        <v>44463</v>
      </c>
      <c r="B1110">
        <v>59.24</v>
      </c>
      <c r="C1110">
        <v>21262000</v>
      </c>
      <c r="D1110">
        <v>-1.9E-2</v>
      </c>
      <c r="E1110">
        <v>28</v>
      </c>
      <c r="F1110">
        <v>2.04</v>
      </c>
      <c r="G1110">
        <v>-2.64E-2</v>
      </c>
      <c r="H1110">
        <v>0</v>
      </c>
      <c r="J1110">
        <v>1</v>
      </c>
      <c r="K1110">
        <f>YEAR(NetflixData[[#This Row],[date]])</f>
        <v>2021</v>
      </c>
      <c r="L1110" t="str">
        <f>TEXT(NetflixData[[#This Row],[date]],"mmm")</f>
        <v>Sep</v>
      </c>
      <c r="M1110" t="str">
        <f>TEXT(NetflixData[[#This Row],[date]],"mmm yyyy")</f>
        <v>Sep 2021</v>
      </c>
      <c r="N1110" t="str">
        <f t="shared" si="51"/>
        <v>Non-Trading Day</v>
      </c>
      <c r="O1110" t="str">
        <f t="shared" si="52"/>
        <v>Negative</v>
      </c>
      <c r="P1110" t="str">
        <f t="shared" si="53"/>
        <v>Neutral</v>
      </c>
    </row>
    <row r="1111" spans="1:16" x14ac:dyDescent="0.3">
      <c r="A1111" s="1">
        <v>44464</v>
      </c>
      <c r="B1111">
        <v>59.24</v>
      </c>
      <c r="C1111">
        <v>0</v>
      </c>
      <c r="D1111">
        <v>0</v>
      </c>
      <c r="E1111">
        <v>49</v>
      </c>
      <c r="F1111">
        <v>2.39</v>
      </c>
      <c r="G1111">
        <v>0.1106</v>
      </c>
      <c r="H1111">
        <v>0</v>
      </c>
      <c r="J1111">
        <v>0</v>
      </c>
      <c r="K1111">
        <f>YEAR(NetflixData[[#This Row],[date]])</f>
        <v>2021</v>
      </c>
      <c r="L1111" t="str">
        <f>TEXT(NetflixData[[#This Row],[date]],"mmm")</f>
        <v>Sep</v>
      </c>
      <c r="M1111" t="str">
        <f>TEXT(NetflixData[[#This Row],[date]],"mmm yyyy")</f>
        <v>Sep 2021</v>
      </c>
      <c r="N1111" t="str">
        <f t="shared" si="51"/>
        <v>Non-Trading Day</v>
      </c>
      <c r="O1111" t="str">
        <f t="shared" si="52"/>
        <v>No Change</v>
      </c>
      <c r="P1111" t="str">
        <f t="shared" si="53"/>
        <v>Positive</v>
      </c>
    </row>
    <row r="1112" spans="1:16" x14ac:dyDescent="0.3">
      <c r="A1112" s="1">
        <v>44465</v>
      </c>
      <c r="B1112">
        <v>59.24</v>
      </c>
      <c r="C1112">
        <v>0</v>
      </c>
      <c r="D1112">
        <v>0</v>
      </c>
      <c r="E1112">
        <v>40</v>
      </c>
      <c r="F1112">
        <v>2.7</v>
      </c>
      <c r="G1112">
        <v>6.2E-2</v>
      </c>
      <c r="H1112">
        <v>0</v>
      </c>
      <c r="J1112">
        <v>0</v>
      </c>
      <c r="K1112">
        <f>YEAR(NetflixData[[#This Row],[date]])</f>
        <v>2021</v>
      </c>
      <c r="L1112" t="str">
        <f>TEXT(NetflixData[[#This Row],[date]],"mmm")</f>
        <v>Sep</v>
      </c>
      <c r="M1112" t="str">
        <f>TEXT(NetflixData[[#This Row],[date]],"mmm yyyy")</f>
        <v>Sep 2021</v>
      </c>
      <c r="N1112" t="str">
        <f t="shared" si="51"/>
        <v>Trading Day</v>
      </c>
      <c r="O1112" t="str">
        <f t="shared" si="52"/>
        <v>No Change</v>
      </c>
      <c r="P1112" t="str">
        <f t="shared" si="53"/>
        <v>Neutral</v>
      </c>
    </row>
    <row r="1113" spans="1:16" x14ac:dyDescent="0.3">
      <c r="A1113" s="1">
        <v>44466</v>
      </c>
      <c r="B1113">
        <v>59.26</v>
      </c>
      <c r="C1113">
        <v>25047000</v>
      </c>
      <c r="D1113">
        <v>0.79800000000000004</v>
      </c>
      <c r="E1113">
        <v>45</v>
      </c>
      <c r="F1113">
        <v>2.42</v>
      </c>
      <c r="G1113">
        <v>0.18679999999999999</v>
      </c>
      <c r="H1113">
        <v>0</v>
      </c>
      <c r="J1113">
        <v>1</v>
      </c>
      <c r="K1113">
        <f>YEAR(NetflixData[[#This Row],[date]])</f>
        <v>2021</v>
      </c>
      <c r="L1113" t="str">
        <f>TEXT(NetflixData[[#This Row],[date]],"mmm")</f>
        <v>Sep</v>
      </c>
      <c r="M1113" t="str">
        <f>TEXT(NetflixData[[#This Row],[date]],"mmm yyyy")</f>
        <v>Sep 2021</v>
      </c>
      <c r="N1113" t="str">
        <f t="shared" si="51"/>
        <v>Trading Day</v>
      </c>
      <c r="O1113" t="str">
        <f t="shared" si="52"/>
        <v>Positive</v>
      </c>
      <c r="P1113" t="str">
        <f t="shared" si="53"/>
        <v>Positive</v>
      </c>
    </row>
    <row r="1114" spans="1:16" x14ac:dyDescent="0.3">
      <c r="A1114" s="1">
        <v>44467</v>
      </c>
      <c r="B1114">
        <v>58.38</v>
      </c>
      <c r="C1114">
        <v>44311000</v>
      </c>
      <c r="D1114">
        <v>-0.874</v>
      </c>
      <c r="E1114">
        <v>33</v>
      </c>
      <c r="F1114">
        <v>2.2999999999999998</v>
      </c>
      <c r="G1114">
        <v>2.6599999999999999E-2</v>
      </c>
      <c r="H1114">
        <v>0</v>
      </c>
      <c r="J1114">
        <v>1</v>
      </c>
      <c r="K1114">
        <f>YEAR(NetflixData[[#This Row],[date]])</f>
        <v>2021</v>
      </c>
      <c r="L1114" t="str">
        <f>TEXT(NetflixData[[#This Row],[date]],"mmm")</f>
        <v>Sep</v>
      </c>
      <c r="M1114" t="str">
        <f>TEXT(NetflixData[[#This Row],[date]],"mmm yyyy")</f>
        <v>Sep 2021</v>
      </c>
      <c r="N1114" t="str">
        <f t="shared" si="51"/>
        <v>Trading Day</v>
      </c>
      <c r="O1114" t="str">
        <f t="shared" si="52"/>
        <v>Negative</v>
      </c>
      <c r="P1114" t="str">
        <f t="shared" si="53"/>
        <v>Neutral</v>
      </c>
    </row>
    <row r="1115" spans="1:16" x14ac:dyDescent="0.3">
      <c r="A1115" s="1">
        <v>44468</v>
      </c>
      <c r="B1115">
        <v>59.91</v>
      </c>
      <c r="C1115">
        <v>62210000</v>
      </c>
      <c r="D1115">
        <v>1.706</v>
      </c>
      <c r="E1115">
        <v>45</v>
      </c>
      <c r="F1115">
        <v>2.16</v>
      </c>
      <c r="G1115">
        <v>-2.0999999999999999E-3</v>
      </c>
      <c r="H1115">
        <v>0</v>
      </c>
      <c r="J1115">
        <v>1</v>
      </c>
      <c r="K1115">
        <f>YEAR(NetflixData[[#This Row],[date]])</f>
        <v>2021</v>
      </c>
      <c r="L1115" t="str">
        <f>TEXT(NetflixData[[#This Row],[date]],"mmm")</f>
        <v>Sep</v>
      </c>
      <c r="M1115" t="str">
        <f>TEXT(NetflixData[[#This Row],[date]],"mmm yyyy")</f>
        <v>Sep 2021</v>
      </c>
      <c r="N1115" t="str">
        <f t="shared" si="51"/>
        <v>Trading Day</v>
      </c>
      <c r="O1115" t="str">
        <f t="shared" si="52"/>
        <v>Positive</v>
      </c>
      <c r="P1115" t="str">
        <f t="shared" si="53"/>
        <v>Neutral</v>
      </c>
    </row>
    <row r="1116" spans="1:16" x14ac:dyDescent="0.3">
      <c r="A1116" s="1">
        <v>44469</v>
      </c>
      <c r="B1116">
        <v>61.03</v>
      </c>
      <c r="C1116">
        <v>66126000</v>
      </c>
      <c r="D1116">
        <v>0.377</v>
      </c>
      <c r="E1116">
        <v>47</v>
      </c>
      <c r="F1116">
        <v>2.4500000000000002</v>
      </c>
      <c r="G1116">
        <v>0.20419999999999999</v>
      </c>
      <c r="H1116">
        <v>0</v>
      </c>
      <c r="J1116">
        <v>1</v>
      </c>
      <c r="K1116">
        <f>YEAR(NetflixData[[#This Row],[date]])</f>
        <v>2021</v>
      </c>
      <c r="L1116" t="str">
        <f>TEXT(NetflixData[[#This Row],[date]],"mmm")</f>
        <v>Sep</v>
      </c>
      <c r="M1116" t="str">
        <f>TEXT(NetflixData[[#This Row],[date]],"mmm yyyy")</f>
        <v>Sep 2021</v>
      </c>
      <c r="N1116" t="str">
        <f t="shared" si="51"/>
        <v>Trading Day</v>
      </c>
      <c r="O1116" t="str">
        <f t="shared" si="52"/>
        <v>Positive</v>
      </c>
      <c r="P1116" t="str">
        <f t="shared" si="53"/>
        <v>Positive</v>
      </c>
    </row>
    <row r="1117" spans="1:16" x14ac:dyDescent="0.3">
      <c r="A1117" s="1">
        <v>44470</v>
      </c>
      <c r="B1117">
        <v>61.31</v>
      </c>
      <c r="C1117">
        <v>40908000</v>
      </c>
      <c r="D1117">
        <v>1.4750000000000001</v>
      </c>
      <c r="E1117">
        <v>44</v>
      </c>
      <c r="F1117">
        <v>3.16</v>
      </c>
      <c r="G1117">
        <v>0.26910000000000001</v>
      </c>
      <c r="H1117">
        <v>0</v>
      </c>
      <c r="J1117">
        <v>1</v>
      </c>
      <c r="K1117">
        <f>YEAR(NetflixData[[#This Row],[date]])</f>
        <v>2021</v>
      </c>
      <c r="L1117" t="str">
        <f>TEXT(NetflixData[[#This Row],[date]],"mmm")</f>
        <v>Oct</v>
      </c>
      <c r="M1117" t="str">
        <f>TEXT(NetflixData[[#This Row],[date]],"mmm yyyy")</f>
        <v>Oct 2021</v>
      </c>
      <c r="N1117" t="str">
        <f t="shared" si="51"/>
        <v>Non-Trading Day</v>
      </c>
      <c r="O1117" t="str">
        <f t="shared" si="52"/>
        <v>Positive</v>
      </c>
      <c r="P1117" t="str">
        <f t="shared" si="53"/>
        <v>Positive</v>
      </c>
    </row>
    <row r="1118" spans="1:16" x14ac:dyDescent="0.3">
      <c r="A1118" s="1">
        <v>44471</v>
      </c>
      <c r="B1118">
        <v>61.31</v>
      </c>
      <c r="C1118">
        <v>0</v>
      </c>
      <c r="D1118">
        <v>0</v>
      </c>
      <c r="E1118">
        <v>52</v>
      </c>
      <c r="F1118">
        <v>2.81</v>
      </c>
      <c r="G1118">
        <v>0.2127</v>
      </c>
      <c r="H1118">
        <v>0</v>
      </c>
      <c r="J1118">
        <v>0</v>
      </c>
      <c r="K1118">
        <f>YEAR(NetflixData[[#This Row],[date]])</f>
        <v>2021</v>
      </c>
      <c r="L1118" t="str">
        <f>TEXT(NetflixData[[#This Row],[date]],"mmm")</f>
        <v>Oct</v>
      </c>
      <c r="M1118" t="str">
        <f>TEXT(NetflixData[[#This Row],[date]],"mmm yyyy")</f>
        <v>Oct 2021</v>
      </c>
      <c r="N1118" t="str">
        <f t="shared" si="51"/>
        <v>Non-Trading Day</v>
      </c>
      <c r="O1118" t="str">
        <f t="shared" si="52"/>
        <v>No Change</v>
      </c>
      <c r="P1118" t="str">
        <f t="shared" si="53"/>
        <v>Positive</v>
      </c>
    </row>
    <row r="1119" spans="1:16" x14ac:dyDescent="0.3">
      <c r="A1119" s="1">
        <v>44472</v>
      </c>
      <c r="B1119">
        <v>61.31</v>
      </c>
      <c r="C1119">
        <v>0</v>
      </c>
      <c r="D1119">
        <v>0</v>
      </c>
      <c r="E1119">
        <v>28</v>
      </c>
      <c r="F1119">
        <v>2.57</v>
      </c>
      <c r="G1119">
        <v>0.25840000000000002</v>
      </c>
      <c r="H1119">
        <v>0</v>
      </c>
      <c r="J1119">
        <v>0</v>
      </c>
      <c r="K1119">
        <f>YEAR(NetflixData[[#This Row],[date]])</f>
        <v>2021</v>
      </c>
      <c r="L1119" t="str">
        <f>TEXT(NetflixData[[#This Row],[date]],"mmm")</f>
        <v>Oct</v>
      </c>
      <c r="M1119" t="str">
        <f>TEXT(NetflixData[[#This Row],[date]],"mmm yyyy")</f>
        <v>Oct 2021</v>
      </c>
      <c r="N1119" t="str">
        <f t="shared" si="51"/>
        <v>Trading Day</v>
      </c>
      <c r="O1119" t="str">
        <f t="shared" si="52"/>
        <v>No Change</v>
      </c>
      <c r="P1119" t="str">
        <f t="shared" si="53"/>
        <v>Positive</v>
      </c>
    </row>
    <row r="1120" spans="1:16" x14ac:dyDescent="0.3">
      <c r="A1120" s="1">
        <v>44473</v>
      </c>
      <c r="B1120">
        <v>60.33</v>
      </c>
      <c r="C1120">
        <v>49959000</v>
      </c>
      <c r="D1120">
        <v>-1.637</v>
      </c>
      <c r="E1120">
        <v>51</v>
      </c>
      <c r="F1120">
        <v>2.76</v>
      </c>
      <c r="G1120">
        <v>0.2286</v>
      </c>
      <c r="H1120">
        <v>0</v>
      </c>
      <c r="J1120">
        <v>1</v>
      </c>
      <c r="K1120">
        <f>YEAR(NetflixData[[#This Row],[date]])</f>
        <v>2021</v>
      </c>
      <c r="L1120" t="str">
        <f>TEXT(NetflixData[[#This Row],[date]],"mmm")</f>
        <v>Oct</v>
      </c>
      <c r="M1120" t="str">
        <f>TEXT(NetflixData[[#This Row],[date]],"mmm yyyy")</f>
        <v>Oct 2021</v>
      </c>
      <c r="N1120" t="str">
        <f t="shared" si="51"/>
        <v>Trading Day</v>
      </c>
      <c r="O1120" t="str">
        <f t="shared" si="52"/>
        <v>Negative</v>
      </c>
      <c r="P1120" t="str">
        <f t="shared" si="53"/>
        <v>Positive</v>
      </c>
    </row>
    <row r="1121" spans="1:16" x14ac:dyDescent="0.3">
      <c r="A1121" s="1">
        <v>44474</v>
      </c>
      <c r="B1121">
        <v>63.48</v>
      </c>
      <c r="C1121">
        <v>95343000</v>
      </c>
      <c r="D1121">
        <v>4.5919999999999996</v>
      </c>
      <c r="E1121">
        <v>51</v>
      </c>
      <c r="F1121">
        <v>2.61</v>
      </c>
      <c r="G1121">
        <v>0.15260000000000001</v>
      </c>
      <c r="H1121">
        <v>0</v>
      </c>
      <c r="J1121">
        <v>1</v>
      </c>
      <c r="K1121">
        <f>YEAR(NetflixData[[#This Row],[date]])</f>
        <v>2021</v>
      </c>
      <c r="L1121" t="str">
        <f>TEXT(NetflixData[[#This Row],[date]],"mmm")</f>
        <v>Oct</v>
      </c>
      <c r="M1121" t="str">
        <f>TEXT(NetflixData[[#This Row],[date]],"mmm yyyy")</f>
        <v>Oct 2021</v>
      </c>
      <c r="N1121" t="str">
        <f t="shared" si="51"/>
        <v>Trading Day</v>
      </c>
      <c r="O1121" t="str">
        <f t="shared" si="52"/>
        <v>Positive</v>
      </c>
      <c r="P1121" t="str">
        <f t="shared" si="53"/>
        <v>Positive</v>
      </c>
    </row>
    <row r="1122" spans="1:16" x14ac:dyDescent="0.3">
      <c r="A1122" s="1">
        <v>44475</v>
      </c>
      <c r="B1122">
        <v>63.91</v>
      </c>
      <c r="C1122">
        <v>45804000</v>
      </c>
      <c r="D1122">
        <v>1.738</v>
      </c>
      <c r="E1122">
        <v>49</v>
      </c>
      <c r="F1122">
        <v>3.14</v>
      </c>
      <c r="G1122">
        <v>0.27629999999999999</v>
      </c>
      <c r="H1122">
        <v>0</v>
      </c>
      <c r="J1122">
        <v>1</v>
      </c>
      <c r="K1122">
        <f>YEAR(NetflixData[[#This Row],[date]])</f>
        <v>2021</v>
      </c>
      <c r="L1122" t="str">
        <f>TEXT(NetflixData[[#This Row],[date]],"mmm")</f>
        <v>Oct</v>
      </c>
      <c r="M1122" t="str">
        <f>TEXT(NetflixData[[#This Row],[date]],"mmm yyyy")</f>
        <v>Oct 2021</v>
      </c>
      <c r="N1122" t="str">
        <f t="shared" si="51"/>
        <v>Trading Day</v>
      </c>
      <c r="O1122" t="str">
        <f t="shared" si="52"/>
        <v>Positive</v>
      </c>
      <c r="P1122" t="str">
        <f t="shared" si="53"/>
        <v>Positive</v>
      </c>
    </row>
    <row r="1123" spans="1:16" x14ac:dyDescent="0.3">
      <c r="A1123" s="1">
        <v>44476</v>
      </c>
      <c r="B1123">
        <v>63.19</v>
      </c>
      <c r="C1123">
        <v>35569000</v>
      </c>
      <c r="D1123">
        <v>-1.6160000000000001</v>
      </c>
      <c r="E1123">
        <v>27</v>
      </c>
      <c r="F1123">
        <v>3</v>
      </c>
      <c r="G1123">
        <v>0.25590000000000002</v>
      </c>
      <c r="H1123">
        <v>0</v>
      </c>
      <c r="J1123">
        <v>1</v>
      </c>
      <c r="K1123">
        <f>YEAR(NetflixData[[#This Row],[date]])</f>
        <v>2021</v>
      </c>
      <c r="L1123" t="str">
        <f>TEXT(NetflixData[[#This Row],[date]],"mmm")</f>
        <v>Oct</v>
      </c>
      <c r="M1123" t="str">
        <f>TEXT(NetflixData[[#This Row],[date]],"mmm yyyy")</f>
        <v>Oct 2021</v>
      </c>
      <c r="N1123" t="str">
        <f t="shared" si="51"/>
        <v>Trading Day</v>
      </c>
      <c r="O1123" t="str">
        <f t="shared" si="52"/>
        <v>Negative</v>
      </c>
      <c r="P1123" t="str">
        <f t="shared" si="53"/>
        <v>Positive</v>
      </c>
    </row>
    <row r="1124" spans="1:16" x14ac:dyDescent="0.3">
      <c r="A1124" s="1">
        <v>44477</v>
      </c>
      <c r="B1124">
        <v>63.27</v>
      </c>
      <c r="C1124">
        <v>32721000</v>
      </c>
      <c r="D1124">
        <v>-0.23799999999999999</v>
      </c>
      <c r="E1124">
        <v>32</v>
      </c>
      <c r="F1124">
        <v>3.41</v>
      </c>
      <c r="G1124">
        <v>0.32469999999999999</v>
      </c>
      <c r="H1124">
        <v>0</v>
      </c>
      <c r="J1124">
        <v>1</v>
      </c>
      <c r="K1124">
        <f>YEAR(NetflixData[[#This Row],[date]])</f>
        <v>2021</v>
      </c>
      <c r="L1124" t="str">
        <f>TEXT(NetflixData[[#This Row],[date]],"mmm")</f>
        <v>Oct</v>
      </c>
      <c r="M1124" t="str">
        <f>TEXT(NetflixData[[#This Row],[date]],"mmm yyyy")</f>
        <v>Oct 2021</v>
      </c>
      <c r="N1124" t="str">
        <f t="shared" si="51"/>
        <v>Non-Trading Day</v>
      </c>
      <c r="O1124" t="str">
        <f t="shared" si="52"/>
        <v>Negative</v>
      </c>
      <c r="P1124" t="str">
        <f t="shared" si="53"/>
        <v>Positive</v>
      </c>
    </row>
    <row r="1125" spans="1:16" x14ac:dyDescent="0.3">
      <c r="A1125" s="1">
        <v>44478</v>
      </c>
      <c r="B1125">
        <v>63.27</v>
      </c>
      <c r="C1125">
        <v>0</v>
      </c>
      <c r="D1125">
        <v>0</v>
      </c>
      <c r="E1125">
        <v>31</v>
      </c>
      <c r="F1125">
        <v>2.68</v>
      </c>
      <c r="G1125">
        <v>0.34289999999999998</v>
      </c>
      <c r="H1125">
        <v>0</v>
      </c>
      <c r="J1125">
        <v>0</v>
      </c>
      <c r="K1125">
        <f>YEAR(NetflixData[[#This Row],[date]])</f>
        <v>2021</v>
      </c>
      <c r="L1125" t="str">
        <f>TEXT(NetflixData[[#This Row],[date]],"mmm")</f>
        <v>Oct</v>
      </c>
      <c r="M1125" t="str">
        <f>TEXT(NetflixData[[#This Row],[date]],"mmm yyyy")</f>
        <v>Oct 2021</v>
      </c>
      <c r="N1125" t="str">
        <f t="shared" si="51"/>
        <v>Non-Trading Day</v>
      </c>
      <c r="O1125" t="str">
        <f t="shared" si="52"/>
        <v>No Change</v>
      </c>
      <c r="P1125" t="str">
        <f t="shared" si="53"/>
        <v>Positive</v>
      </c>
    </row>
    <row r="1126" spans="1:16" x14ac:dyDescent="0.3">
      <c r="A1126" s="1">
        <v>44479</v>
      </c>
      <c r="B1126">
        <v>63.27</v>
      </c>
      <c r="C1126">
        <v>0</v>
      </c>
      <c r="D1126">
        <v>0</v>
      </c>
      <c r="E1126">
        <v>35</v>
      </c>
      <c r="F1126">
        <v>2.91</v>
      </c>
      <c r="G1126">
        <v>0.1757</v>
      </c>
      <c r="H1126">
        <v>0</v>
      </c>
      <c r="J1126">
        <v>0</v>
      </c>
      <c r="K1126">
        <f>YEAR(NetflixData[[#This Row],[date]])</f>
        <v>2021</v>
      </c>
      <c r="L1126" t="str">
        <f>TEXT(NetflixData[[#This Row],[date]],"mmm")</f>
        <v>Oct</v>
      </c>
      <c r="M1126" t="str">
        <f>TEXT(NetflixData[[#This Row],[date]],"mmm yyyy")</f>
        <v>Oct 2021</v>
      </c>
      <c r="N1126" t="str">
        <f t="shared" si="51"/>
        <v>Trading Day</v>
      </c>
      <c r="O1126" t="str">
        <f t="shared" si="52"/>
        <v>No Change</v>
      </c>
      <c r="P1126" t="str">
        <f t="shared" si="53"/>
        <v>Positive</v>
      </c>
    </row>
    <row r="1127" spans="1:16" x14ac:dyDescent="0.3">
      <c r="A1127" s="1">
        <v>44480</v>
      </c>
      <c r="B1127">
        <v>62.7</v>
      </c>
      <c r="C1127">
        <v>28625000</v>
      </c>
      <c r="D1127">
        <v>-0.97299999999999998</v>
      </c>
      <c r="E1127">
        <v>33</v>
      </c>
      <c r="F1127">
        <v>3.03</v>
      </c>
      <c r="G1127">
        <v>0.25740000000000002</v>
      </c>
      <c r="H1127">
        <v>0</v>
      </c>
      <c r="J1127">
        <v>1</v>
      </c>
      <c r="K1127">
        <f>YEAR(NetflixData[[#This Row],[date]])</f>
        <v>2021</v>
      </c>
      <c r="L1127" t="str">
        <f>TEXT(NetflixData[[#This Row],[date]],"mmm")</f>
        <v>Oct</v>
      </c>
      <c r="M1127" t="str">
        <f>TEXT(NetflixData[[#This Row],[date]],"mmm yyyy")</f>
        <v>Oct 2021</v>
      </c>
      <c r="N1127" t="str">
        <f t="shared" si="51"/>
        <v>Trading Day</v>
      </c>
      <c r="O1127" t="str">
        <f t="shared" si="52"/>
        <v>Negative</v>
      </c>
      <c r="P1127" t="str">
        <f t="shared" si="53"/>
        <v>Positive</v>
      </c>
    </row>
    <row r="1128" spans="1:16" x14ac:dyDescent="0.3">
      <c r="A1128" s="1">
        <v>44481</v>
      </c>
      <c r="B1128">
        <v>62.49</v>
      </c>
      <c r="C1128">
        <v>32273000</v>
      </c>
      <c r="D1128">
        <v>-1.276</v>
      </c>
      <c r="E1128">
        <v>37</v>
      </c>
      <c r="F1128">
        <v>3.11</v>
      </c>
      <c r="G1128">
        <v>0.3034</v>
      </c>
      <c r="H1128">
        <v>0</v>
      </c>
      <c r="J1128">
        <v>1</v>
      </c>
      <c r="K1128">
        <f>YEAR(NetflixData[[#This Row],[date]])</f>
        <v>2021</v>
      </c>
      <c r="L1128" t="str">
        <f>TEXT(NetflixData[[#This Row],[date]],"mmm")</f>
        <v>Oct</v>
      </c>
      <c r="M1128" t="str">
        <f>TEXT(NetflixData[[#This Row],[date]],"mmm yyyy")</f>
        <v>Oct 2021</v>
      </c>
      <c r="N1128" t="str">
        <f t="shared" si="51"/>
        <v>Trading Day</v>
      </c>
      <c r="O1128" t="str">
        <f t="shared" si="52"/>
        <v>Negative</v>
      </c>
      <c r="P1128" t="str">
        <f t="shared" si="53"/>
        <v>Positive</v>
      </c>
    </row>
    <row r="1129" spans="1:16" x14ac:dyDescent="0.3">
      <c r="A1129" s="1">
        <v>44482</v>
      </c>
      <c r="B1129">
        <v>62.98</v>
      </c>
      <c r="C1129">
        <v>24203000</v>
      </c>
      <c r="D1129">
        <v>-0.38300000000000001</v>
      </c>
      <c r="E1129">
        <v>52</v>
      </c>
      <c r="F1129">
        <v>2.5</v>
      </c>
      <c r="G1129">
        <v>8.2799999999999999E-2</v>
      </c>
      <c r="H1129">
        <v>0</v>
      </c>
      <c r="J1129">
        <v>1</v>
      </c>
      <c r="K1129">
        <f>YEAR(NetflixData[[#This Row],[date]])</f>
        <v>2021</v>
      </c>
      <c r="L1129" t="str">
        <f>TEXT(NetflixData[[#This Row],[date]],"mmm")</f>
        <v>Oct</v>
      </c>
      <c r="M1129" t="str">
        <f>TEXT(NetflixData[[#This Row],[date]],"mmm yyyy")</f>
        <v>Oct 2021</v>
      </c>
      <c r="N1129" t="str">
        <f t="shared" si="51"/>
        <v>Trading Day</v>
      </c>
      <c r="O1129" t="str">
        <f t="shared" si="52"/>
        <v>Negative</v>
      </c>
      <c r="P1129" t="str">
        <f t="shared" si="53"/>
        <v>Neutral</v>
      </c>
    </row>
    <row r="1130" spans="1:16" x14ac:dyDescent="0.3">
      <c r="A1130" s="1">
        <v>44483</v>
      </c>
      <c r="B1130">
        <v>63.38</v>
      </c>
      <c r="C1130">
        <v>26717000</v>
      </c>
      <c r="D1130">
        <v>0.248</v>
      </c>
      <c r="E1130">
        <v>45</v>
      </c>
      <c r="F1130">
        <v>2.4</v>
      </c>
      <c r="G1130">
        <v>-5.11E-2</v>
      </c>
      <c r="H1130">
        <v>0</v>
      </c>
      <c r="J1130">
        <v>1</v>
      </c>
      <c r="K1130">
        <f>YEAR(NetflixData[[#This Row],[date]])</f>
        <v>2021</v>
      </c>
      <c r="L1130" t="str">
        <f>TEXT(NetflixData[[#This Row],[date]],"mmm")</f>
        <v>Oct</v>
      </c>
      <c r="M1130" t="str">
        <f>TEXT(NetflixData[[#This Row],[date]],"mmm yyyy")</f>
        <v>Oct 2021</v>
      </c>
      <c r="N1130" t="str">
        <f t="shared" si="51"/>
        <v>Trading Day</v>
      </c>
      <c r="O1130" t="str">
        <f t="shared" si="52"/>
        <v>Positive</v>
      </c>
      <c r="P1130" t="str">
        <f t="shared" si="53"/>
        <v>Neutral</v>
      </c>
    </row>
    <row r="1131" spans="1:16" x14ac:dyDescent="0.3">
      <c r="A1131" s="1">
        <v>44484</v>
      </c>
      <c r="B1131">
        <v>62.83</v>
      </c>
      <c r="C1131">
        <v>41169000</v>
      </c>
      <c r="D1131">
        <v>-1.522</v>
      </c>
      <c r="E1131">
        <v>26</v>
      </c>
      <c r="F1131">
        <v>2.65</v>
      </c>
      <c r="G1131">
        <v>0.19700000000000001</v>
      </c>
      <c r="H1131">
        <v>0</v>
      </c>
      <c r="J1131">
        <v>1</v>
      </c>
      <c r="K1131">
        <f>YEAR(NetflixData[[#This Row],[date]])</f>
        <v>2021</v>
      </c>
      <c r="L1131" t="str">
        <f>TEXT(NetflixData[[#This Row],[date]],"mmm")</f>
        <v>Oct</v>
      </c>
      <c r="M1131" t="str">
        <f>TEXT(NetflixData[[#This Row],[date]],"mmm yyyy")</f>
        <v>Oct 2021</v>
      </c>
      <c r="N1131" t="str">
        <f t="shared" si="51"/>
        <v>Non-Trading Day</v>
      </c>
      <c r="O1131" t="str">
        <f t="shared" si="52"/>
        <v>Negative</v>
      </c>
      <c r="P1131" t="str">
        <f t="shared" si="53"/>
        <v>Positive</v>
      </c>
    </row>
    <row r="1132" spans="1:16" x14ac:dyDescent="0.3">
      <c r="A1132" s="1">
        <v>44485</v>
      </c>
      <c r="B1132">
        <v>62.83</v>
      </c>
      <c r="C1132">
        <v>0</v>
      </c>
      <c r="D1132">
        <v>0</v>
      </c>
      <c r="E1132">
        <v>47</v>
      </c>
      <c r="F1132">
        <v>2.81</v>
      </c>
      <c r="G1132">
        <v>0.20069999999999999</v>
      </c>
      <c r="H1132">
        <v>0</v>
      </c>
      <c r="J1132">
        <v>0</v>
      </c>
      <c r="K1132">
        <f>YEAR(NetflixData[[#This Row],[date]])</f>
        <v>2021</v>
      </c>
      <c r="L1132" t="str">
        <f>TEXT(NetflixData[[#This Row],[date]],"mmm")</f>
        <v>Oct</v>
      </c>
      <c r="M1132" t="str">
        <f>TEXT(NetflixData[[#This Row],[date]],"mmm yyyy")</f>
        <v>Oct 2021</v>
      </c>
      <c r="N1132" t="str">
        <f t="shared" si="51"/>
        <v>Non-Trading Day</v>
      </c>
      <c r="O1132" t="str">
        <f t="shared" si="52"/>
        <v>No Change</v>
      </c>
      <c r="P1132" t="str">
        <f t="shared" si="53"/>
        <v>Positive</v>
      </c>
    </row>
    <row r="1133" spans="1:16" x14ac:dyDescent="0.3">
      <c r="A1133" s="1">
        <v>44486</v>
      </c>
      <c r="B1133">
        <v>62.83</v>
      </c>
      <c r="C1133">
        <v>0</v>
      </c>
      <c r="D1133">
        <v>0</v>
      </c>
      <c r="E1133">
        <v>38</v>
      </c>
      <c r="F1133">
        <v>2.5299999999999998</v>
      </c>
      <c r="G1133">
        <v>0.19170000000000001</v>
      </c>
      <c r="H1133">
        <v>0</v>
      </c>
      <c r="J1133">
        <v>0</v>
      </c>
      <c r="K1133">
        <f>YEAR(NetflixData[[#This Row],[date]])</f>
        <v>2021</v>
      </c>
      <c r="L1133" t="str">
        <f>TEXT(NetflixData[[#This Row],[date]],"mmm")</f>
        <v>Oct</v>
      </c>
      <c r="M1133" t="str">
        <f>TEXT(NetflixData[[#This Row],[date]],"mmm yyyy")</f>
        <v>Oct 2021</v>
      </c>
      <c r="N1133" t="str">
        <f t="shared" si="51"/>
        <v>Trading Day</v>
      </c>
      <c r="O1133" t="str">
        <f t="shared" si="52"/>
        <v>No Change</v>
      </c>
      <c r="P1133" t="str">
        <f t="shared" si="53"/>
        <v>Positive</v>
      </c>
    </row>
    <row r="1134" spans="1:16" x14ac:dyDescent="0.3">
      <c r="A1134" s="1">
        <v>44487</v>
      </c>
      <c r="B1134">
        <v>63.8</v>
      </c>
      <c r="C1134">
        <v>46691000</v>
      </c>
      <c r="D1134">
        <v>0.92900000000000005</v>
      </c>
      <c r="E1134">
        <v>34</v>
      </c>
      <c r="F1134">
        <v>2.79</v>
      </c>
      <c r="G1134">
        <v>0.214</v>
      </c>
      <c r="H1134">
        <v>0</v>
      </c>
      <c r="J1134">
        <v>1</v>
      </c>
      <c r="K1134">
        <f>YEAR(NetflixData[[#This Row],[date]])</f>
        <v>2021</v>
      </c>
      <c r="L1134" t="str">
        <f>TEXT(NetflixData[[#This Row],[date]],"mmm")</f>
        <v>Oct</v>
      </c>
      <c r="M1134" t="str">
        <f>TEXT(NetflixData[[#This Row],[date]],"mmm yyyy")</f>
        <v>Oct 2021</v>
      </c>
      <c r="N1134" t="str">
        <f t="shared" si="51"/>
        <v>Trading Day</v>
      </c>
      <c r="O1134" t="str">
        <f t="shared" si="52"/>
        <v>Positive</v>
      </c>
      <c r="P1134" t="str">
        <f t="shared" si="53"/>
        <v>Positive</v>
      </c>
    </row>
    <row r="1135" spans="1:16" x14ac:dyDescent="0.3">
      <c r="A1135" s="1">
        <v>44488</v>
      </c>
      <c r="B1135">
        <v>63.9</v>
      </c>
      <c r="C1135">
        <v>76331000</v>
      </c>
      <c r="D1135">
        <v>0.31900000000000001</v>
      </c>
      <c r="E1135">
        <v>43</v>
      </c>
      <c r="F1135">
        <v>2.6</v>
      </c>
      <c r="G1135">
        <v>0.1318</v>
      </c>
      <c r="H1135">
        <v>0</v>
      </c>
      <c r="J1135">
        <v>1</v>
      </c>
      <c r="K1135">
        <f>YEAR(NetflixData[[#This Row],[date]])</f>
        <v>2021</v>
      </c>
      <c r="L1135" t="str">
        <f>TEXT(NetflixData[[#This Row],[date]],"mmm")</f>
        <v>Oct</v>
      </c>
      <c r="M1135" t="str">
        <f>TEXT(NetflixData[[#This Row],[date]],"mmm yyyy")</f>
        <v>Oct 2021</v>
      </c>
      <c r="N1135" t="str">
        <f t="shared" si="51"/>
        <v>Trading Day</v>
      </c>
      <c r="O1135" t="str">
        <f t="shared" si="52"/>
        <v>Positive</v>
      </c>
      <c r="P1135" t="str">
        <f t="shared" si="53"/>
        <v>Positive</v>
      </c>
    </row>
    <row r="1136" spans="1:16" x14ac:dyDescent="0.3">
      <c r="A1136" s="1">
        <v>44489</v>
      </c>
      <c r="B1136">
        <v>62.51</v>
      </c>
      <c r="C1136">
        <v>106220000</v>
      </c>
      <c r="D1136">
        <v>-6.9000000000000006E-2</v>
      </c>
      <c r="E1136">
        <v>51</v>
      </c>
      <c r="F1136">
        <v>2.65</v>
      </c>
      <c r="G1136">
        <v>2.18E-2</v>
      </c>
      <c r="H1136">
        <v>0</v>
      </c>
      <c r="J1136">
        <v>1</v>
      </c>
      <c r="K1136">
        <f>YEAR(NetflixData[[#This Row],[date]])</f>
        <v>2021</v>
      </c>
      <c r="L1136" t="str">
        <f>TEXT(NetflixData[[#This Row],[date]],"mmm")</f>
        <v>Oct</v>
      </c>
      <c r="M1136" t="str">
        <f>TEXT(NetflixData[[#This Row],[date]],"mmm yyyy")</f>
        <v>Oct 2021</v>
      </c>
      <c r="N1136" t="str">
        <f t="shared" si="51"/>
        <v>Trading Day</v>
      </c>
      <c r="O1136" t="str">
        <f t="shared" si="52"/>
        <v>Negative</v>
      </c>
      <c r="P1136" t="str">
        <f t="shared" si="53"/>
        <v>Neutral</v>
      </c>
    </row>
    <row r="1137" spans="1:16" x14ac:dyDescent="0.3">
      <c r="A1137" s="1">
        <v>44490</v>
      </c>
      <c r="B1137">
        <v>65.319999999999993</v>
      </c>
      <c r="C1137">
        <v>84371000</v>
      </c>
      <c r="D1137">
        <v>3.859</v>
      </c>
      <c r="E1137">
        <v>47</v>
      </c>
      <c r="F1137">
        <v>2.64</v>
      </c>
      <c r="G1137">
        <v>0.22770000000000001</v>
      </c>
      <c r="H1137">
        <v>0</v>
      </c>
      <c r="J1137">
        <v>1</v>
      </c>
      <c r="K1137">
        <f>YEAR(NetflixData[[#This Row],[date]])</f>
        <v>2021</v>
      </c>
      <c r="L1137" t="str">
        <f>TEXT(NetflixData[[#This Row],[date]],"mmm")</f>
        <v>Oct</v>
      </c>
      <c r="M1137" t="str">
        <f>TEXT(NetflixData[[#This Row],[date]],"mmm yyyy")</f>
        <v>Oct 2021</v>
      </c>
      <c r="N1137" t="str">
        <f t="shared" si="51"/>
        <v>Trading Day</v>
      </c>
      <c r="O1137" t="str">
        <f t="shared" si="52"/>
        <v>Positive</v>
      </c>
      <c r="P1137" t="str">
        <f t="shared" si="53"/>
        <v>Positive</v>
      </c>
    </row>
    <row r="1138" spans="1:16" x14ac:dyDescent="0.3">
      <c r="A1138" s="1">
        <v>44491</v>
      </c>
      <c r="B1138">
        <v>66.48</v>
      </c>
      <c r="C1138">
        <v>61860000</v>
      </c>
      <c r="D1138">
        <v>1.99</v>
      </c>
      <c r="E1138">
        <v>34</v>
      </c>
      <c r="F1138">
        <v>2.82</v>
      </c>
      <c r="G1138">
        <v>0.19800000000000001</v>
      </c>
      <c r="H1138">
        <v>0</v>
      </c>
      <c r="J1138">
        <v>1</v>
      </c>
      <c r="K1138">
        <f>YEAR(NetflixData[[#This Row],[date]])</f>
        <v>2021</v>
      </c>
      <c r="L1138" t="str">
        <f>TEXT(NetflixData[[#This Row],[date]],"mmm")</f>
        <v>Oct</v>
      </c>
      <c r="M1138" t="str">
        <f>TEXT(NetflixData[[#This Row],[date]],"mmm yyyy")</f>
        <v>Oct 2021</v>
      </c>
      <c r="N1138" t="str">
        <f t="shared" si="51"/>
        <v>Non-Trading Day</v>
      </c>
      <c r="O1138" t="str">
        <f t="shared" si="52"/>
        <v>Positive</v>
      </c>
      <c r="P1138" t="str">
        <f t="shared" si="53"/>
        <v>Positive</v>
      </c>
    </row>
    <row r="1139" spans="1:16" x14ac:dyDescent="0.3">
      <c r="A1139" s="1">
        <v>44492</v>
      </c>
      <c r="B1139">
        <v>66.48</v>
      </c>
      <c r="C1139">
        <v>0</v>
      </c>
      <c r="D1139">
        <v>0</v>
      </c>
      <c r="E1139">
        <v>33</v>
      </c>
      <c r="F1139">
        <v>2.76</v>
      </c>
      <c r="G1139">
        <v>0.30230000000000001</v>
      </c>
      <c r="H1139">
        <v>0</v>
      </c>
      <c r="J1139">
        <v>0</v>
      </c>
      <c r="K1139">
        <f>YEAR(NetflixData[[#This Row],[date]])</f>
        <v>2021</v>
      </c>
      <c r="L1139" t="str">
        <f>TEXT(NetflixData[[#This Row],[date]],"mmm")</f>
        <v>Oct</v>
      </c>
      <c r="M1139" t="str">
        <f>TEXT(NetflixData[[#This Row],[date]],"mmm yyyy")</f>
        <v>Oct 2021</v>
      </c>
      <c r="N1139" t="str">
        <f t="shared" si="51"/>
        <v>Non-Trading Day</v>
      </c>
      <c r="O1139" t="str">
        <f t="shared" si="52"/>
        <v>No Change</v>
      </c>
      <c r="P1139" t="str">
        <f t="shared" si="53"/>
        <v>Positive</v>
      </c>
    </row>
    <row r="1140" spans="1:16" x14ac:dyDescent="0.3">
      <c r="A1140" s="1">
        <v>44493</v>
      </c>
      <c r="B1140">
        <v>66.48</v>
      </c>
      <c r="C1140">
        <v>0</v>
      </c>
      <c r="D1140">
        <v>0</v>
      </c>
      <c r="E1140">
        <v>39</v>
      </c>
      <c r="F1140">
        <v>2.44</v>
      </c>
      <c r="G1140">
        <v>0.19969999999999999</v>
      </c>
      <c r="H1140">
        <v>0</v>
      </c>
      <c r="J1140">
        <v>0</v>
      </c>
      <c r="K1140">
        <f>YEAR(NetflixData[[#This Row],[date]])</f>
        <v>2021</v>
      </c>
      <c r="L1140" t="str">
        <f>TEXT(NetflixData[[#This Row],[date]],"mmm")</f>
        <v>Oct</v>
      </c>
      <c r="M1140" t="str">
        <f>TEXT(NetflixData[[#This Row],[date]],"mmm yyyy")</f>
        <v>Oct 2021</v>
      </c>
      <c r="N1140" t="str">
        <f t="shared" si="51"/>
        <v>Trading Day</v>
      </c>
      <c r="O1140" t="str">
        <f t="shared" si="52"/>
        <v>No Change</v>
      </c>
      <c r="P1140" t="str">
        <f t="shared" si="53"/>
        <v>Positive</v>
      </c>
    </row>
    <row r="1141" spans="1:16" x14ac:dyDescent="0.3">
      <c r="A1141" s="1">
        <v>44494</v>
      </c>
      <c r="B1141">
        <v>67.17</v>
      </c>
      <c r="C1141">
        <v>38335000</v>
      </c>
      <c r="D1141">
        <v>1.1930000000000001</v>
      </c>
      <c r="E1141">
        <v>35</v>
      </c>
      <c r="F1141">
        <v>3.2</v>
      </c>
      <c r="G1141">
        <v>0.16869999999999999</v>
      </c>
      <c r="H1141">
        <v>0</v>
      </c>
      <c r="J1141">
        <v>1</v>
      </c>
      <c r="K1141">
        <f>YEAR(NetflixData[[#This Row],[date]])</f>
        <v>2021</v>
      </c>
      <c r="L1141" t="str">
        <f>TEXT(NetflixData[[#This Row],[date]],"mmm")</f>
        <v>Oct</v>
      </c>
      <c r="M1141" t="str">
        <f>TEXT(NetflixData[[#This Row],[date]],"mmm yyyy")</f>
        <v>Oct 2021</v>
      </c>
      <c r="N1141" t="str">
        <f t="shared" si="51"/>
        <v>Trading Day</v>
      </c>
      <c r="O1141" t="str">
        <f t="shared" si="52"/>
        <v>Positive</v>
      </c>
      <c r="P1141" t="str">
        <f t="shared" si="53"/>
        <v>Positive</v>
      </c>
    </row>
    <row r="1142" spans="1:16" x14ac:dyDescent="0.3">
      <c r="A1142" s="1">
        <v>44495</v>
      </c>
      <c r="B1142">
        <v>66.849999999999994</v>
      </c>
      <c r="C1142">
        <v>29048000</v>
      </c>
      <c r="D1142">
        <v>-0.77800000000000002</v>
      </c>
      <c r="E1142">
        <v>31</v>
      </c>
      <c r="F1142">
        <v>3.03</v>
      </c>
      <c r="G1142">
        <v>0.28689999999999999</v>
      </c>
      <c r="H1142">
        <v>0</v>
      </c>
      <c r="J1142">
        <v>1</v>
      </c>
      <c r="K1142">
        <f>YEAR(NetflixData[[#This Row],[date]])</f>
        <v>2021</v>
      </c>
      <c r="L1142" t="str">
        <f>TEXT(NetflixData[[#This Row],[date]],"mmm")</f>
        <v>Oct</v>
      </c>
      <c r="M1142" t="str">
        <f>TEXT(NetflixData[[#This Row],[date]],"mmm yyyy")</f>
        <v>Oct 2021</v>
      </c>
      <c r="N1142" t="str">
        <f t="shared" si="51"/>
        <v>Trading Day</v>
      </c>
      <c r="O1142" t="str">
        <f t="shared" si="52"/>
        <v>Negative</v>
      </c>
      <c r="P1142" t="str">
        <f t="shared" si="53"/>
        <v>Positive</v>
      </c>
    </row>
    <row r="1143" spans="1:16" x14ac:dyDescent="0.3">
      <c r="A1143" s="1">
        <v>44496</v>
      </c>
      <c r="B1143">
        <v>66.290000000000006</v>
      </c>
      <c r="C1143">
        <v>22769000</v>
      </c>
      <c r="D1143">
        <v>-0.90900000000000003</v>
      </c>
      <c r="E1143">
        <v>44</v>
      </c>
      <c r="F1143">
        <v>2.75</v>
      </c>
      <c r="G1143">
        <v>0.1389</v>
      </c>
      <c r="H1143">
        <v>0</v>
      </c>
      <c r="J1143">
        <v>1</v>
      </c>
      <c r="K1143">
        <f>YEAR(NetflixData[[#This Row],[date]])</f>
        <v>2021</v>
      </c>
      <c r="L1143" t="str">
        <f>TEXT(NetflixData[[#This Row],[date]],"mmm")</f>
        <v>Oct</v>
      </c>
      <c r="M1143" t="str">
        <f>TEXT(NetflixData[[#This Row],[date]],"mmm yyyy")</f>
        <v>Oct 2021</v>
      </c>
      <c r="N1143" t="str">
        <f t="shared" si="51"/>
        <v>Trading Day</v>
      </c>
      <c r="O1143" t="str">
        <f t="shared" si="52"/>
        <v>Negative</v>
      </c>
      <c r="P1143" t="str">
        <f t="shared" si="53"/>
        <v>Positive</v>
      </c>
    </row>
    <row r="1144" spans="1:16" x14ac:dyDescent="0.3">
      <c r="A1144" s="1">
        <v>44497</v>
      </c>
      <c r="B1144">
        <v>67.400000000000006</v>
      </c>
      <c r="C1144">
        <v>28594000</v>
      </c>
      <c r="D1144">
        <v>0.46200000000000002</v>
      </c>
      <c r="E1144">
        <v>26</v>
      </c>
      <c r="F1144">
        <v>2.42</v>
      </c>
      <c r="G1144">
        <v>-3.4500000000000003E-2</v>
      </c>
      <c r="H1144">
        <v>0</v>
      </c>
      <c r="J1144">
        <v>1</v>
      </c>
      <c r="K1144">
        <f>YEAR(NetflixData[[#This Row],[date]])</f>
        <v>2021</v>
      </c>
      <c r="L1144" t="str">
        <f>TEXT(NetflixData[[#This Row],[date]],"mmm")</f>
        <v>Oct</v>
      </c>
      <c r="M1144" t="str">
        <f>TEXT(NetflixData[[#This Row],[date]],"mmm yyyy")</f>
        <v>Oct 2021</v>
      </c>
      <c r="N1144" t="str">
        <f t="shared" si="51"/>
        <v>Trading Day</v>
      </c>
      <c r="O1144" t="str">
        <f t="shared" si="52"/>
        <v>Positive</v>
      </c>
      <c r="P1144" t="str">
        <f t="shared" si="53"/>
        <v>Neutral</v>
      </c>
    </row>
    <row r="1145" spans="1:16" x14ac:dyDescent="0.3">
      <c r="A1145" s="1">
        <v>44498</v>
      </c>
      <c r="B1145">
        <v>69.03</v>
      </c>
      <c r="C1145">
        <v>38253000</v>
      </c>
      <c r="D1145">
        <v>2.5630000000000002</v>
      </c>
      <c r="E1145">
        <v>30</v>
      </c>
      <c r="F1145">
        <v>2.1</v>
      </c>
      <c r="G1145">
        <v>0.23330000000000001</v>
      </c>
      <c r="H1145">
        <v>0</v>
      </c>
      <c r="J1145">
        <v>1</v>
      </c>
      <c r="K1145">
        <f>YEAR(NetflixData[[#This Row],[date]])</f>
        <v>2021</v>
      </c>
      <c r="L1145" t="str">
        <f>TEXT(NetflixData[[#This Row],[date]],"mmm")</f>
        <v>Oct</v>
      </c>
      <c r="M1145" t="str">
        <f>TEXT(NetflixData[[#This Row],[date]],"mmm yyyy")</f>
        <v>Oct 2021</v>
      </c>
      <c r="N1145" t="str">
        <f t="shared" si="51"/>
        <v>Non-Trading Day</v>
      </c>
      <c r="O1145" t="str">
        <f t="shared" si="52"/>
        <v>Positive</v>
      </c>
      <c r="P1145" t="str">
        <f t="shared" si="53"/>
        <v>Positive</v>
      </c>
    </row>
    <row r="1146" spans="1:16" x14ac:dyDescent="0.3">
      <c r="A1146" s="1">
        <v>44499</v>
      </c>
      <c r="B1146">
        <v>69.03</v>
      </c>
      <c r="C1146">
        <v>0</v>
      </c>
      <c r="D1146">
        <v>0</v>
      </c>
      <c r="E1146">
        <v>37</v>
      </c>
      <c r="F1146">
        <v>2.78</v>
      </c>
      <c r="G1146">
        <v>0.13020000000000001</v>
      </c>
      <c r="H1146">
        <v>0</v>
      </c>
      <c r="J1146">
        <v>0</v>
      </c>
      <c r="K1146">
        <f>YEAR(NetflixData[[#This Row],[date]])</f>
        <v>2021</v>
      </c>
      <c r="L1146" t="str">
        <f>TEXT(NetflixData[[#This Row],[date]],"mmm")</f>
        <v>Oct</v>
      </c>
      <c r="M1146" t="str">
        <f>TEXT(NetflixData[[#This Row],[date]],"mmm yyyy")</f>
        <v>Oct 2021</v>
      </c>
      <c r="N1146" t="str">
        <f t="shared" si="51"/>
        <v>Non-Trading Day</v>
      </c>
      <c r="O1146" t="str">
        <f t="shared" si="52"/>
        <v>No Change</v>
      </c>
      <c r="P1146" t="str">
        <f t="shared" si="53"/>
        <v>Positive</v>
      </c>
    </row>
    <row r="1147" spans="1:16" x14ac:dyDescent="0.3">
      <c r="A1147" s="1">
        <v>44500</v>
      </c>
      <c r="B1147">
        <v>69.03</v>
      </c>
      <c r="C1147">
        <v>0</v>
      </c>
      <c r="D1147">
        <v>0</v>
      </c>
      <c r="E1147">
        <v>26</v>
      </c>
      <c r="F1147">
        <v>2.58</v>
      </c>
      <c r="G1147">
        <v>0.12920000000000001</v>
      </c>
      <c r="H1147">
        <v>0</v>
      </c>
      <c r="J1147">
        <v>0</v>
      </c>
      <c r="K1147">
        <f>YEAR(NetflixData[[#This Row],[date]])</f>
        <v>2021</v>
      </c>
      <c r="L1147" t="str">
        <f>TEXT(NetflixData[[#This Row],[date]],"mmm")</f>
        <v>Oct</v>
      </c>
      <c r="M1147" t="str">
        <f>TEXT(NetflixData[[#This Row],[date]],"mmm yyyy")</f>
        <v>Oct 2021</v>
      </c>
      <c r="N1147" t="str">
        <f t="shared" si="51"/>
        <v>Trading Day</v>
      </c>
      <c r="O1147" t="str">
        <f t="shared" si="52"/>
        <v>No Change</v>
      </c>
      <c r="P1147" t="str">
        <f t="shared" si="53"/>
        <v>Positive</v>
      </c>
    </row>
    <row r="1148" spans="1:16" x14ac:dyDescent="0.3">
      <c r="A1148" s="1">
        <v>44501</v>
      </c>
      <c r="B1148">
        <v>68.12</v>
      </c>
      <c r="C1148">
        <v>31109000</v>
      </c>
      <c r="D1148">
        <v>-1.145</v>
      </c>
      <c r="E1148">
        <v>27</v>
      </c>
      <c r="F1148">
        <v>3.04</v>
      </c>
      <c r="G1148">
        <v>0.21659999999999999</v>
      </c>
      <c r="H1148">
        <v>0</v>
      </c>
      <c r="J1148">
        <v>1</v>
      </c>
      <c r="K1148">
        <f>YEAR(NetflixData[[#This Row],[date]])</f>
        <v>2021</v>
      </c>
      <c r="L1148" t="str">
        <f>TEXT(NetflixData[[#This Row],[date]],"mmm")</f>
        <v>Nov</v>
      </c>
      <c r="M1148" t="str">
        <f>TEXT(NetflixData[[#This Row],[date]],"mmm yyyy")</f>
        <v>Nov 2021</v>
      </c>
      <c r="N1148" t="str">
        <f t="shared" si="51"/>
        <v>Trading Day</v>
      </c>
      <c r="O1148" t="str">
        <f t="shared" si="52"/>
        <v>Negative</v>
      </c>
      <c r="P1148" t="str">
        <f t="shared" si="53"/>
        <v>Positive</v>
      </c>
    </row>
    <row r="1149" spans="1:16" x14ac:dyDescent="0.3">
      <c r="A1149" s="1">
        <v>44502</v>
      </c>
      <c r="B1149">
        <v>67.77</v>
      </c>
      <c r="C1149">
        <v>38886000</v>
      </c>
      <c r="D1149">
        <v>-0.78900000000000003</v>
      </c>
      <c r="E1149">
        <v>30</v>
      </c>
      <c r="F1149">
        <v>2.87</v>
      </c>
      <c r="G1149">
        <v>0.27439999999999998</v>
      </c>
      <c r="H1149">
        <v>0</v>
      </c>
      <c r="J1149">
        <v>1</v>
      </c>
      <c r="K1149">
        <f>YEAR(NetflixData[[#This Row],[date]])</f>
        <v>2021</v>
      </c>
      <c r="L1149" t="str">
        <f>TEXT(NetflixData[[#This Row],[date]],"mmm")</f>
        <v>Nov</v>
      </c>
      <c r="M1149" t="str">
        <f>TEXT(NetflixData[[#This Row],[date]],"mmm yyyy")</f>
        <v>Nov 2021</v>
      </c>
      <c r="N1149" t="str">
        <f t="shared" si="51"/>
        <v>Trading Day</v>
      </c>
      <c r="O1149" t="str">
        <f t="shared" si="52"/>
        <v>Negative</v>
      </c>
      <c r="P1149" t="str">
        <f t="shared" si="53"/>
        <v>Positive</v>
      </c>
    </row>
    <row r="1150" spans="1:16" x14ac:dyDescent="0.3">
      <c r="A1150" s="1">
        <v>44503</v>
      </c>
      <c r="B1150">
        <v>68.83</v>
      </c>
      <c r="C1150">
        <v>23349000</v>
      </c>
      <c r="D1150">
        <v>1.627</v>
      </c>
      <c r="E1150">
        <v>44</v>
      </c>
      <c r="F1150">
        <v>2.4500000000000002</v>
      </c>
      <c r="G1150">
        <v>6.3100000000000003E-2</v>
      </c>
      <c r="H1150">
        <v>0</v>
      </c>
      <c r="J1150">
        <v>1</v>
      </c>
      <c r="K1150">
        <f>YEAR(NetflixData[[#This Row],[date]])</f>
        <v>2021</v>
      </c>
      <c r="L1150" t="str">
        <f>TEXT(NetflixData[[#This Row],[date]],"mmm")</f>
        <v>Nov</v>
      </c>
      <c r="M1150" t="str">
        <f>TEXT(NetflixData[[#This Row],[date]],"mmm yyyy")</f>
        <v>Nov 2021</v>
      </c>
      <c r="N1150" t="str">
        <f t="shared" si="51"/>
        <v>Trading Day</v>
      </c>
      <c r="O1150" t="str">
        <f t="shared" si="52"/>
        <v>Positive</v>
      </c>
      <c r="P1150" t="str">
        <f t="shared" si="53"/>
        <v>Neutral</v>
      </c>
    </row>
    <row r="1151" spans="1:16" x14ac:dyDescent="0.3">
      <c r="A1151" s="1">
        <v>44504</v>
      </c>
      <c r="B1151">
        <v>66.84</v>
      </c>
      <c r="C1151">
        <v>48650000</v>
      </c>
      <c r="D1151">
        <v>-2.5499999999999998</v>
      </c>
      <c r="E1151">
        <v>48</v>
      </c>
      <c r="F1151">
        <v>2.29</v>
      </c>
      <c r="G1151">
        <v>5.6500000000000002E-2</v>
      </c>
      <c r="H1151">
        <v>0</v>
      </c>
      <c r="J1151">
        <v>1</v>
      </c>
      <c r="K1151">
        <f>YEAR(NetflixData[[#This Row],[date]])</f>
        <v>2021</v>
      </c>
      <c r="L1151" t="str">
        <f>TEXT(NetflixData[[#This Row],[date]],"mmm")</f>
        <v>Nov</v>
      </c>
      <c r="M1151" t="str">
        <f>TEXT(NetflixData[[#This Row],[date]],"mmm yyyy")</f>
        <v>Nov 2021</v>
      </c>
      <c r="N1151" t="str">
        <f t="shared" si="51"/>
        <v>Trading Day</v>
      </c>
      <c r="O1151" t="str">
        <f t="shared" si="52"/>
        <v>Negative</v>
      </c>
      <c r="P1151" t="str">
        <f t="shared" si="53"/>
        <v>Neutral</v>
      </c>
    </row>
    <row r="1152" spans="1:16" x14ac:dyDescent="0.3">
      <c r="A1152" s="1">
        <v>44505</v>
      </c>
      <c r="B1152">
        <v>64.569999999999993</v>
      </c>
      <c r="C1152">
        <v>52835000</v>
      </c>
      <c r="D1152">
        <v>-2.7490000000000001</v>
      </c>
      <c r="E1152">
        <v>22</v>
      </c>
      <c r="F1152">
        <v>3.09</v>
      </c>
      <c r="G1152">
        <v>0.23089999999999999</v>
      </c>
      <c r="H1152">
        <v>0</v>
      </c>
      <c r="J1152">
        <v>1</v>
      </c>
      <c r="K1152">
        <f>YEAR(NetflixData[[#This Row],[date]])</f>
        <v>2021</v>
      </c>
      <c r="L1152" t="str">
        <f>TEXT(NetflixData[[#This Row],[date]],"mmm")</f>
        <v>Nov</v>
      </c>
      <c r="M1152" t="str">
        <f>TEXT(NetflixData[[#This Row],[date]],"mmm yyyy")</f>
        <v>Nov 2021</v>
      </c>
      <c r="N1152" t="str">
        <f t="shared" si="51"/>
        <v>Non-Trading Day</v>
      </c>
      <c r="O1152" t="str">
        <f t="shared" si="52"/>
        <v>Negative</v>
      </c>
      <c r="P1152" t="str">
        <f t="shared" si="53"/>
        <v>Positive</v>
      </c>
    </row>
    <row r="1153" spans="1:16" x14ac:dyDescent="0.3">
      <c r="A1153" s="1">
        <v>44506</v>
      </c>
      <c r="B1153">
        <v>64.569999999999993</v>
      </c>
      <c r="C1153">
        <v>0</v>
      </c>
      <c r="D1153">
        <v>0</v>
      </c>
      <c r="E1153">
        <v>31</v>
      </c>
      <c r="F1153">
        <v>2.81</v>
      </c>
      <c r="G1153">
        <v>0.15670000000000001</v>
      </c>
      <c r="H1153">
        <v>0</v>
      </c>
      <c r="J1153">
        <v>0</v>
      </c>
      <c r="K1153">
        <f>YEAR(NetflixData[[#This Row],[date]])</f>
        <v>2021</v>
      </c>
      <c r="L1153" t="str">
        <f>TEXT(NetflixData[[#This Row],[date]],"mmm")</f>
        <v>Nov</v>
      </c>
      <c r="M1153" t="str">
        <f>TEXT(NetflixData[[#This Row],[date]],"mmm yyyy")</f>
        <v>Nov 2021</v>
      </c>
      <c r="N1153" t="str">
        <f t="shared" si="51"/>
        <v>Non-Trading Day</v>
      </c>
      <c r="O1153" t="str">
        <f t="shared" si="52"/>
        <v>No Change</v>
      </c>
      <c r="P1153" t="str">
        <f t="shared" si="53"/>
        <v>Positive</v>
      </c>
    </row>
    <row r="1154" spans="1:16" x14ac:dyDescent="0.3">
      <c r="A1154" s="1">
        <v>44507</v>
      </c>
      <c r="B1154">
        <v>64.569999999999993</v>
      </c>
      <c r="C1154">
        <v>0</v>
      </c>
      <c r="D1154">
        <v>0</v>
      </c>
      <c r="E1154">
        <v>39</v>
      </c>
      <c r="F1154">
        <v>2.82</v>
      </c>
      <c r="G1154">
        <v>9.3700000000000006E-2</v>
      </c>
      <c r="H1154">
        <v>0</v>
      </c>
      <c r="J1154">
        <v>0</v>
      </c>
      <c r="K1154">
        <f>YEAR(NetflixData[[#This Row],[date]])</f>
        <v>2021</v>
      </c>
      <c r="L1154" t="str">
        <f>TEXT(NetflixData[[#This Row],[date]],"mmm")</f>
        <v>Nov</v>
      </c>
      <c r="M1154" t="str">
        <f>TEXT(NetflixData[[#This Row],[date]],"mmm yyyy")</f>
        <v>Nov 2021</v>
      </c>
      <c r="N1154" t="str">
        <f t="shared" ref="N1154:N1217" si="54">IF(J1155=1,"Trading Day","Non-Trading Day")</f>
        <v>Trading Day</v>
      </c>
      <c r="O1154" t="str">
        <f t="shared" ref="O1154:O1217" si="55">IF(D1154&gt;0,"Positive",IF(D1154&lt;0,"Negative","No Change"))</f>
        <v>No Change</v>
      </c>
      <c r="P1154" t="str">
        <f t="shared" ref="P1154:P1217" si="56">IF(G1154&gt;0.1,"Positive",IF(G1154&lt;-0.1,"Negative","Neutral"))</f>
        <v>Neutral</v>
      </c>
    </row>
    <row r="1155" spans="1:16" x14ac:dyDescent="0.3">
      <c r="A1155" s="1">
        <v>44508</v>
      </c>
      <c r="B1155">
        <v>65.14</v>
      </c>
      <c r="C1155">
        <v>28875000</v>
      </c>
      <c r="D1155">
        <v>0.17799999999999999</v>
      </c>
      <c r="E1155">
        <v>31</v>
      </c>
      <c r="F1155">
        <v>3.19</v>
      </c>
      <c r="G1155">
        <v>0.25069999999999998</v>
      </c>
      <c r="H1155">
        <v>0</v>
      </c>
      <c r="J1155">
        <v>1</v>
      </c>
      <c r="K1155">
        <f>YEAR(NetflixData[[#This Row],[date]])</f>
        <v>2021</v>
      </c>
      <c r="L1155" t="str">
        <f>TEXT(NetflixData[[#This Row],[date]],"mmm")</f>
        <v>Nov</v>
      </c>
      <c r="M1155" t="str">
        <f>TEXT(NetflixData[[#This Row],[date]],"mmm yyyy")</f>
        <v>Nov 2021</v>
      </c>
      <c r="N1155" t="str">
        <f t="shared" si="54"/>
        <v>Trading Day</v>
      </c>
      <c r="O1155" t="str">
        <f t="shared" si="55"/>
        <v>Positive</v>
      </c>
      <c r="P1155" t="str">
        <f t="shared" si="56"/>
        <v>Positive</v>
      </c>
    </row>
    <row r="1156" spans="1:16" x14ac:dyDescent="0.3">
      <c r="A1156" s="1">
        <v>44509</v>
      </c>
      <c r="B1156">
        <v>65.599999999999994</v>
      </c>
      <c r="C1156">
        <v>24156000</v>
      </c>
      <c r="D1156">
        <v>0.35</v>
      </c>
      <c r="E1156">
        <v>43</v>
      </c>
      <c r="F1156">
        <v>2.67</v>
      </c>
      <c r="G1156">
        <v>0.1462</v>
      </c>
      <c r="H1156">
        <v>0</v>
      </c>
      <c r="J1156">
        <v>1</v>
      </c>
      <c r="K1156">
        <f>YEAR(NetflixData[[#This Row],[date]])</f>
        <v>2021</v>
      </c>
      <c r="L1156" t="str">
        <f>TEXT(NetflixData[[#This Row],[date]],"mmm")</f>
        <v>Nov</v>
      </c>
      <c r="M1156" t="str">
        <f>TEXT(NetflixData[[#This Row],[date]],"mmm yyyy")</f>
        <v>Nov 2021</v>
      </c>
      <c r="N1156" t="str">
        <f t="shared" si="54"/>
        <v>Trading Day</v>
      </c>
      <c r="O1156" t="str">
        <f t="shared" si="55"/>
        <v>Positive</v>
      </c>
      <c r="P1156" t="str">
        <f t="shared" si="56"/>
        <v>Positive</v>
      </c>
    </row>
    <row r="1157" spans="1:16" x14ac:dyDescent="0.3">
      <c r="A1157" s="1">
        <v>44510</v>
      </c>
      <c r="B1157">
        <v>64.69</v>
      </c>
      <c r="C1157">
        <v>24058000</v>
      </c>
      <c r="D1157">
        <v>-0.93400000000000005</v>
      </c>
      <c r="E1157">
        <v>28</v>
      </c>
      <c r="F1157">
        <v>2.39</v>
      </c>
      <c r="G1157">
        <v>0.1323</v>
      </c>
      <c r="H1157">
        <v>0</v>
      </c>
      <c r="J1157">
        <v>1</v>
      </c>
      <c r="K1157">
        <f>YEAR(NetflixData[[#This Row],[date]])</f>
        <v>2021</v>
      </c>
      <c r="L1157" t="str">
        <f>TEXT(NetflixData[[#This Row],[date]],"mmm")</f>
        <v>Nov</v>
      </c>
      <c r="M1157" t="str">
        <f>TEXT(NetflixData[[#This Row],[date]],"mmm yyyy")</f>
        <v>Nov 2021</v>
      </c>
      <c r="N1157" t="str">
        <f t="shared" si="54"/>
        <v>Trading Day</v>
      </c>
      <c r="O1157" t="str">
        <f t="shared" si="55"/>
        <v>Negative</v>
      </c>
      <c r="P1157" t="str">
        <f t="shared" si="56"/>
        <v>Positive</v>
      </c>
    </row>
    <row r="1158" spans="1:16" x14ac:dyDescent="0.3">
      <c r="A1158" s="1">
        <v>44511</v>
      </c>
      <c r="B1158">
        <v>65.760000000000005</v>
      </c>
      <c r="C1158">
        <v>28683000</v>
      </c>
      <c r="D1158">
        <v>1.129</v>
      </c>
      <c r="E1158">
        <v>27</v>
      </c>
      <c r="F1158">
        <v>2.56</v>
      </c>
      <c r="G1158">
        <v>0.11119999999999999</v>
      </c>
      <c r="H1158">
        <v>0</v>
      </c>
      <c r="J1158">
        <v>1</v>
      </c>
      <c r="K1158">
        <f>YEAR(NetflixData[[#This Row],[date]])</f>
        <v>2021</v>
      </c>
      <c r="L1158" t="str">
        <f>TEXT(NetflixData[[#This Row],[date]],"mmm")</f>
        <v>Nov</v>
      </c>
      <c r="M1158" t="str">
        <f>TEXT(NetflixData[[#This Row],[date]],"mmm yyyy")</f>
        <v>Nov 2021</v>
      </c>
      <c r="N1158" t="str">
        <f t="shared" si="54"/>
        <v>Trading Day</v>
      </c>
      <c r="O1158" t="str">
        <f t="shared" si="55"/>
        <v>Positive</v>
      </c>
      <c r="P1158" t="str">
        <f t="shared" si="56"/>
        <v>Positive</v>
      </c>
    </row>
    <row r="1159" spans="1:16" x14ac:dyDescent="0.3">
      <c r="A1159" s="1">
        <v>44512</v>
      </c>
      <c r="B1159">
        <v>68.260000000000005</v>
      </c>
      <c r="C1159">
        <v>41984000</v>
      </c>
      <c r="D1159">
        <v>3.4239999999999999</v>
      </c>
      <c r="E1159">
        <v>41</v>
      </c>
      <c r="F1159">
        <v>2.61</v>
      </c>
      <c r="G1159">
        <v>0.27689999999999998</v>
      </c>
      <c r="H1159">
        <v>0</v>
      </c>
      <c r="J1159">
        <v>1</v>
      </c>
      <c r="K1159">
        <f>YEAR(NetflixData[[#This Row],[date]])</f>
        <v>2021</v>
      </c>
      <c r="L1159" t="str">
        <f>TEXT(NetflixData[[#This Row],[date]],"mmm")</f>
        <v>Nov</v>
      </c>
      <c r="M1159" t="str">
        <f>TEXT(NetflixData[[#This Row],[date]],"mmm yyyy")</f>
        <v>Nov 2021</v>
      </c>
      <c r="N1159" t="str">
        <f t="shared" si="54"/>
        <v>Non-Trading Day</v>
      </c>
      <c r="O1159" t="str">
        <f t="shared" si="55"/>
        <v>Positive</v>
      </c>
      <c r="P1159" t="str">
        <f t="shared" si="56"/>
        <v>Positive</v>
      </c>
    </row>
    <row r="1160" spans="1:16" x14ac:dyDescent="0.3">
      <c r="A1160" s="1">
        <v>44513</v>
      </c>
      <c r="B1160">
        <v>68.260000000000005</v>
      </c>
      <c r="C1160">
        <v>0</v>
      </c>
      <c r="D1160">
        <v>0</v>
      </c>
      <c r="E1160">
        <v>37</v>
      </c>
      <c r="F1160">
        <v>2.54</v>
      </c>
      <c r="G1160">
        <v>1.5299999999999999E-2</v>
      </c>
      <c r="H1160">
        <v>0</v>
      </c>
      <c r="J1160">
        <v>0</v>
      </c>
      <c r="K1160">
        <f>YEAR(NetflixData[[#This Row],[date]])</f>
        <v>2021</v>
      </c>
      <c r="L1160" t="str">
        <f>TEXT(NetflixData[[#This Row],[date]],"mmm")</f>
        <v>Nov</v>
      </c>
      <c r="M1160" t="str">
        <f>TEXT(NetflixData[[#This Row],[date]],"mmm yyyy")</f>
        <v>Nov 2021</v>
      </c>
      <c r="N1160" t="str">
        <f t="shared" si="54"/>
        <v>Non-Trading Day</v>
      </c>
      <c r="O1160" t="str">
        <f t="shared" si="55"/>
        <v>No Change</v>
      </c>
      <c r="P1160" t="str">
        <f t="shared" si="56"/>
        <v>Neutral</v>
      </c>
    </row>
    <row r="1161" spans="1:16" x14ac:dyDescent="0.3">
      <c r="A1161" s="1">
        <v>44514</v>
      </c>
      <c r="B1161">
        <v>68.260000000000005</v>
      </c>
      <c r="C1161">
        <v>0</v>
      </c>
      <c r="D1161">
        <v>0</v>
      </c>
      <c r="E1161">
        <v>40</v>
      </c>
      <c r="F1161">
        <v>2.2200000000000002</v>
      </c>
      <c r="G1161">
        <v>1.34E-2</v>
      </c>
      <c r="H1161">
        <v>0</v>
      </c>
      <c r="J1161">
        <v>0</v>
      </c>
      <c r="K1161">
        <f>YEAR(NetflixData[[#This Row],[date]])</f>
        <v>2021</v>
      </c>
      <c r="L1161" t="str">
        <f>TEXT(NetflixData[[#This Row],[date]],"mmm")</f>
        <v>Nov</v>
      </c>
      <c r="M1161" t="str">
        <f>TEXT(NetflixData[[#This Row],[date]],"mmm yyyy")</f>
        <v>Nov 2021</v>
      </c>
      <c r="N1161" t="str">
        <f t="shared" si="54"/>
        <v>Trading Day</v>
      </c>
      <c r="O1161" t="str">
        <f t="shared" si="55"/>
        <v>No Change</v>
      </c>
      <c r="P1161" t="str">
        <f t="shared" si="56"/>
        <v>Neutral</v>
      </c>
    </row>
    <row r="1162" spans="1:16" x14ac:dyDescent="0.3">
      <c r="A1162" s="1">
        <v>44515</v>
      </c>
      <c r="B1162">
        <v>67.930000000000007</v>
      </c>
      <c r="C1162">
        <v>28722000</v>
      </c>
      <c r="D1162">
        <v>-0.28000000000000003</v>
      </c>
      <c r="E1162">
        <v>46</v>
      </c>
      <c r="F1162">
        <v>2.78</v>
      </c>
      <c r="G1162">
        <v>0.1237</v>
      </c>
      <c r="H1162">
        <v>0</v>
      </c>
      <c r="J1162">
        <v>1</v>
      </c>
      <c r="K1162">
        <f>YEAR(NetflixData[[#This Row],[date]])</f>
        <v>2021</v>
      </c>
      <c r="L1162" t="str">
        <f>TEXT(NetflixData[[#This Row],[date]],"mmm")</f>
        <v>Nov</v>
      </c>
      <c r="M1162" t="str">
        <f>TEXT(NetflixData[[#This Row],[date]],"mmm yyyy")</f>
        <v>Nov 2021</v>
      </c>
      <c r="N1162" t="str">
        <f t="shared" si="54"/>
        <v>Trading Day</v>
      </c>
      <c r="O1162" t="str">
        <f t="shared" si="55"/>
        <v>Negative</v>
      </c>
      <c r="P1162" t="str">
        <f t="shared" si="56"/>
        <v>Positive</v>
      </c>
    </row>
    <row r="1163" spans="1:16" x14ac:dyDescent="0.3">
      <c r="A1163" s="1">
        <v>44516</v>
      </c>
      <c r="B1163">
        <v>68.739999999999995</v>
      </c>
      <c r="C1163">
        <v>20774000</v>
      </c>
      <c r="D1163">
        <v>1.3460000000000001</v>
      </c>
      <c r="E1163">
        <v>26</v>
      </c>
      <c r="F1163">
        <v>2.54</v>
      </c>
      <c r="G1163">
        <v>0.26679999999999998</v>
      </c>
      <c r="H1163">
        <v>0</v>
      </c>
      <c r="J1163">
        <v>1</v>
      </c>
      <c r="K1163">
        <f>YEAR(NetflixData[[#This Row],[date]])</f>
        <v>2021</v>
      </c>
      <c r="L1163" t="str">
        <f>TEXT(NetflixData[[#This Row],[date]],"mmm")</f>
        <v>Nov</v>
      </c>
      <c r="M1163" t="str">
        <f>TEXT(NetflixData[[#This Row],[date]],"mmm yyyy")</f>
        <v>Nov 2021</v>
      </c>
      <c r="N1163" t="str">
        <f t="shared" si="54"/>
        <v>Trading Day</v>
      </c>
      <c r="O1163" t="str">
        <f t="shared" si="55"/>
        <v>Positive</v>
      </c>
      <c r="P1163" t="str">
        <f t="shared" si="56"/>
        <v>Positive</v>
      </c>
    </row>
    <row r="1164" spans="1:16" x14ac:dyDescent="0.3">
      <c r="A1164" s="1">
        <v>44517</v>
      </c>
      <c r="B1164">
        <v>69.17</v>
      </c>
      <c r="C1164">
        <v>27328000</v>
      </c>
      <c r="D1164">
        <v>0.245</v>
      </c>
      <c r="E1164">
        <v>42</v>
      </c>
      <c r="F1164">
        <v>2.52</v>
      </c>
      <c r="G1164">
        <v>6.2700000000000006E-2</v>
      </c>
      <c r="H1164">
        <v>0</v>
      </c>
      <c r="J1164">
        <v>1</v>
      </c>
      <c r="K1164">
        <f>YEAR(NetflixData[[#This Row],[date]])</f>
        <v>2021</v>
      </c>
      <c r="L1164" t="str">
        <f>TEXT(NetflixData[[#This Row],[date]],"mmm")</f>
        <v>Nov</v>
      </c>
      <c r="M1164" t="str">
        <f>TEXT(NetflixData[[#This Row],[date]],"mmm yyyy")</f>
        <v>Nov 2021</v>
      </c>
      <c r="N1164" t="str">
        <f t="shared" si="54"/>
        <v>Trading Day</v>
      </c>
      <c r="O1164" t="str">
        <f t="shared" si="55"/>
        <v>Positive</v>
      </c>
      <c r="P1164" t="str">
        <f t="shared" si="56"/>
        <v>Neutral</v>
      </c>
    </row>
    <row r="1165" spans="1:16" x14ac:dyDescent="0.3">
      <c r="A1165" s="1">
        <v>44518</v>
      </c>
      <c r="B1165">
        <v>68.2</v>
      </c>
      <c r="C1165">
        <v>20129000</v>
      </c>
      <c r="D1165">
        <v>-1.387</v>
      </c>
      <c r="E1165">
        <v>26</v>
      </c>
      <c r="F1165">
        <v>2.38</v>
      </c>
      <c r="G1165">
        <v>0.26390000000000002</v>
      </c>
      <c r="H1165">
        <v>0</v>
      </c>
      <c r="J1165">
        <v>1</v>
      </c>
      <c r="K1165">
        <f>YEAR(NetflixData[[#This Row],[date]])</f>
        <v>2021</v>
      </c>
      <c r="L1165" t="str">
        <f>TEXT(NetflixData[[#This Row],[date]],"mmm")</f>
        <v>Nov</v>
      </c>
      <c r="M1165" t="str">
        <f>TEXT(NetflixData[[#This Row],[date]],"mmm yyyy")</f>
        <v>Nov 2021</v>
      </c>
      <c r="N1165" t="str">
        <f t="shared" si="54"/>
        <v>Trading Day</v>
      </c>
      <c r="O1165" t="str">
        <f t="shared" si="55"/>
        <v>Negative</v>
      </c>
      <c r="P1165" t="str">
        <f t="shared" si="56"/>
        <v>Positive</v>
      </c>
    </row>
    <row r="1166" spans="1:16" x14ac:dyDescent="0.3">
      <c r="A1166" s="1">
        <v>44519</v>
      </c>
      <c r="B1166">
        <v>67.88</v>
      </c>
      <c r="C1166">
        <v>26137000</v>
      </c>
      <c r="D1166">
        <v>-1.9570000000000001</v>
      </c>
      <c r="E1166">
        <v>38</v>
      </c>
      <c r="F1166">
        <v>2.63</v>
      </c>
      <c r="G1166">
        <v>0.13700000000000001</v>
      </c>
      <c r="H1166">
        <v>0</v>
      </c>
      <c r="J1166">
        <v>1</v>
      </c>
      <c r="K1166">
        <f>YEAR(NetflixData[[#This Row],[date]])</f>
        <v>2021</v>
      </c>
      <c r="L1166" t="str">
        <f>TEXT(NetflixData[[#This Row],[date]],"mmm")</f>
        <v>Nov</v>
      </c>
      <c r="M1166" t="str">
        <f>TEXT(NetflixData[[#This Row],[date]],"mmm yyyy")</f>
        <v>Nov 2021</v>
      </c>
      <c r="N1166" t="str">
        <f t="shared" si="54"/>
        <v>Non-Trading Day</v>
      </c>
      <c r="O1166" t="str">
        <f t="shared" si="55"/>
        <v>Negative</v>
      </c>
      <c r="P1166" t="str">
        <f t="shared" si="56"/>
        <v>Positive</v>
      </c>
    </row>
    <row r="1167" spans="1:16" x14ac:dyDescent="0.3">
      <c r="A1167" s="1">
        <v>44520</v>
      </c>
      <c r="B1167">
        <v>67.88</v>
      </c>
      <c r="C1167">
        <v>0</v>
      </c>
      <c r="D1167">
        <v>0</v>
      </c>
      <c r="E1167">
        <v>38</v>
      </c>
      <c r="F1167">
        <v>2.71</v>
      </c>
      <c r="G1167">
        <v>0.1163</v>
      </c>
      <c r="H1167">
        <v>0</v>
      </c>
      <c r="J1167">
        <v>0</v>
      </c>
      <c r="K1167">
        <f>YEAR(NetflixData[[#This Row],[date]])</f>
        <v>2021</v>
      </c>
      <c r="L1167" t="str">
        <f>TEXT(NetflixData[[#This Row],[date]],"mmm")</f>
        <v>Nov</v>
      </c>
      <c r="M1167" t="str">
        <f>TEXT(NetflixData[[#This Row],[date]],"mmm yyyy")</f>
        <v>Nov 2021</v>
      </c>
      <c r="N1167" t="str">
        <f t="shared" si="54"/>
        <v>Non-Trading Day</v>
      </c>
      <c r="O1167" t="str">
        <f t="shared" si="55"/>
        <v>No Change</v>
      </c>
      <c r="P1167" t="str">
        <f t="shared" si="56"/>
        <v>Positive</v>
      </c>
    </row>
    <row r="1168" spans="1:16" x14ac:dyDescent="0.3">
      <c r="A1168" s="1">
        <v>44521</v>
      </c>
      <c r="B1168">
        <v>67.88</v>
      </c>
      <c r="C1168">
        <v>0</v>
      </c>
      <c r="D1168">
        <v>0</v>
      </c>
      <c r="E1168">
        <v>34</v>
      </c>
      <c r="F1168">
        <v>3.06</v>
      </c>
      <c r="G1168">
        <v>0.1487</v>
      </c>
      <c r="H1168">
        <v>0</v>
      </c>
      <c r="J1168">
        <v>0</v>
      </c>
      <c r="K1168">
        <f>YEAR(NetflixData[[#This Row],[date]])</f>
        <v>2021</v>
      </c>
      <c r="L1168" t="str">
        <f>TEXT(NetflixData[[#This Row],[date]],"mmm")</f>
        <v>Nov</v>
      </c>
      <c r="M1168" t="str">
        <f>TEXT(NetflixData[[#This Row],[date]],"mmm yyyy")</f>
        <v>Nov 2021</v>
      </c>
      <c r="N1168" t="str">
        <f t="shared" si="54"/>
        <v>Trading Day</v>
      </c>
      <c r="O1168" t="str">
        <f t="shared" si="55"/>
        <v>No Change</v>
      </c>
      <c r="P1168" t="str">
        <f t="shared" si="56"/>
        <v>Positive</v>
      </c>
    </row>
    <row r="1169" spans="1:16" x14ac:dyDescent="0.3">
      <c r="A1169" s="1">
        <v>44522</v>
      </c>
      <c r="B1169">
        <v>65.92</v>
      </c>
      <c r="C1169">
        <v>27644000</v>
      </c>
      <c r="D1169">
        <v>-2.488</v>
      </c>
      <c r="E1169">
        <v>33</v>
      </c>
      <c r="F1169">
        <v>2.21</v>
      </c>
      <c r="G1169">
        <v>3.5400000000000001E-2</v>
      </c>
      <c r="H1169">
        <v>0</v>
      </c>
      <c r="J1169">
        <v>1</v>
      </c>
      <c r="K1169">
        <f>YEAR(NetflixData[[#This Row],[date]])</f>
        <v>2021</v>
      </c>
      <c r="L1169" t="str">
        <f>TEXT(NetflixData[[#This Row],[date]],"mmm")</f>
        <v>Nov</v>
      </c>
      <c r="M1169" t="str">
        <f>TEXT(NetflixData[[#This Row],[date]],"mmm yyyy")</f>
        <v>Nov 2021</v>
      </c>
      <c r="N1169" t="str">
        <f t="shared" si="54"/>
        <v>Trading Day</v>
      </c>
      <c r="O1169" t="str">
        <f t="shared" si="55"/>
        <v>Negative</v>
      </c>
      <c r="P1169" t="str">
        <f t="shared" si="56"/>
        <v>Neutral</v>
      </c>
    </row>
    <row r="1170" spans="1:16" x14ac:dyDescent="0.3">
      <c r="A1170" s="1">
        <v>44523</v>
      </c>
      <c r="B1170">
        <v>65.41</v>
      </c>
      <c r="C1170">
        <v>23202000</v>
      </c>
      <c r="D1170">
        <v>-0.626</v>
      </c>
      <c r="E1170">
        <v>37</v>
      </c>
      <c r="F1170">
        <v>2.65</v>
      </c>
      <c r="G1170">
        <v>9.6799999999999997E-2</v>
      </c>
      <c r="H1170">
        <v>0</v>
      </c>
      <c r="J1170">
        <v>1</v>
      </c>
      <c r="K1170">
        <f>YEAR(NetflixData[[#This Row],[date]])</f>
        <v>2021</v>
      </c>
      <c r="L1170" t="str">
        <f>TEXT(NetflixData[[#This Row],[date]],"mmm")</f>
        <v>Nov</v>
      </c>
      <c r="M1170" t="str">
        <f>TEXT(NetflixData[[#This Row],[date]],"mmm yyyy")</f>
        <v>Nov 2021</v>
      </c>
      <c r="N1170" t="str">
        <f t="shared" si="54"/>
        <v>Trading Day</v>
      </c>
      <c r="O1170" t="str">
        <f t="shared" si="55"/>
        <v>Negative</v>
      </c>
      <c r="P1170" t="str">
        <f t="shared" si="56"/>
        <v>Neutral</v>
      </c>
    </row>
    <row r="1171" spans="1:16" x14ac:dyDescent="0.3">
      <c r="A1171" s="1">
        <v>44524</v>
      </c>
      <c r="B1171">
        <v>65.83</v>
      </c>
      <c r="C1171">
        <v>18673000</v>
      </c>
      <c r="D1171">
        <v>4.2999999999999997E-2</v>
      </c>
      <c r="E1171">
        <v>36</v>
      </c>
      <c r="F1171">
        <v>2.97</v>
      </c>
      <c r="G1171">
        <v>0.15440000000000001</v>
      </c>
      <c r="H1171">
        <v>0</v>
      </c>
      <c r="J1171">
        <v>1</v>
      </c>
      <c r="K1171">
        <f>YEAR(NetflixData[[#This Row],[date]])</f>
        <v>2021</v>
      </c>
      <c r="L1171" t="str">
        <f>TEXT(NetflixData[[#This Row],[date]],"mmm")</f>
        <v>Nov</v>
      </c>
      <c r="M1171" t="str">
        <f>TEXT(NetflixData[[#This Row],[date]],"mmm yyyy")</f>
        <v>Nov 2021</v>
      </c>
      <c r="N1171" t="str">
        <f t="shared" si="54"/>
        <v>Non-Trading Day</v>
      </c>
      <c r="O1171" t="str">
        <f t="shared" si="55"/>
        <v>Positive</v>
      </c>
      <c r="P1171" t="str">
        <f t="shared" si="56"/>
        <v>Positive</v>
      </c>
    </row>
    <row r="1172" spans="1:16" x14ac:dyDescent="0.3">
      <c r="A1172" s="1">
        <v>44525</v>
      </c>
      <c r="B1172">
        <v>65.83</v>
      </c>
      <c r="C1172">
        <v>0</v>
      </c>
      <c r="D1172">
        <v>0</v>
      </c>
      <c r="E1172">
        <v>32</v>
      </c>
      <c r="F1172">
        <v>2.4700000000000002</v>
      </c>
      <c r="G1172">
        <v>0.12640000000000001</v>
      </c>
      <c r="H1172">
        <v>0</v>
      </c>
      <c r="J1172">
        <v>0</v>
      </c>
      <c r="K1172">
        <f>YEAR(NetflixData[[#This Row],[date]])</f>
        <v>2021</v>
      </c>
      <c r="L1172" t="str">
        <f>TEXT(NetflixData[[#This Row],[date]],"mmm")</f>
        <v>Nov</v>
      </c>
      <c r="M1172" t="str">
        <f>TEXT(NetflixData[[#This Row],[date]],"mmm yyyy")</f>
        <v>Nov 2021</v>
      </c>
      <c r="N1172" t="str">
        <f t="shared" si="54"/>
        <v>Trading Day</v>
      </c>
      <c r="O1172" t="str">
        <f t="shared" si="55"/>
        <v>No Change</v>
      </c>
      <c r="P1172" t="str">
        <f t="shared" si="56"/>
        <v>Positive</v>
      </c>
    </row>
    <row r="1173" spans="1:16" x14ac:dyDescent="0.3">
      <c r="A1173" s="1">
        <v>44526</v>
      </c>
      <c r="B1173">
        <v>66.56</v>
      </c>
      <c r="C1173">
        <v>28725000</v>
      </c>
      <c r="D1173">
        <v>-1.387</v>
      </c>
      <c r="E1173">
        <v>24</v>
      </c>
      <c r="F1173">
        <v>2.62</v>
      </c>
      <c r="G1173">
        <v>-2.4899999999999999E-2</v>
      </c>
      <c r="H1173">
        <v>0</v>
      </c>
      <c r="J1173">
        <v>1</v>
      </c>
      <c r="K1173">
        <f>YEAR(NetflixData[[#This Row],[date]])</f>
        <v>2021</v>
      </c>
      <c r="L1173" t="str">
        <f>TEXT(NetflixData[[#This Row],[date]],"mmm")</f>
        <v>Nov</v>
      </c>
      <c r="M1173" t="str">
        <f>TEXT(NetflixData[[#This Row],[date]],"mmm yyyy")</f>
        <v>Nov 2021</v>
      </c>
      <c r="N1173" t="str">
        <f t="shared" si="54"/>
        <v>Non-Trading Day</v>
      </c>
      <c r="O1173" t="str">
        <f t="shared" si="55"/>
        <v>Negative</v>
      </c>
      <c r="P1173" t="str">
        <f t="shared" si="56"/>
        <v>Neutral</v>
      </c>
    </row>
    <row r="1174" spans="1:16" x14ac:dyDescent="0.3">
      <c r="A1174" s="1">
        <v>44527</v>
      </c>
      <c r="B1174">
        <v>66.56</v>
      </c>
      <c r="C1174">
        <v>0</v>
      </c>
      <c r="D1174">
        <v>0</v>
      </c>
      <c r="E1174">
        <v>41</v>
      </c>
      <c r="F1174">
        <v>3.02</v>
      </c>
      <c r="G1174">
        <v>0.28100000000000003</v>
      </c>
      <c r="H1174">
        <v>0</v>
      </c>
      <c r="J1174">
        <v>0</v>
      </c>
      <c r="K1174">
        <f>YEAR(NetflixData[[#This Row],[date]])</f>
        <v>2021</v>
      </c>
      <c r="L1174" t="str">
        <f>TEXT(NetflixData[[#This Row],[date]],"mmm")</f>
        <v>Nov</v>
      </c>
      <c r="M1174" t="str">
        <f>TEXT(NetflixData[[#This Row],[date]],"mmm yyyy")</f>
        <v>Nov 2021</v>
      </c>
      <c r="N1174" t="str">
        <f t="shared" si="54"/>
        <v>Non-Trading Day</v>
      </c>
      <c r="O1174" t="str">
        <f t="shared" si="55"/>
        <v>No Change</v>
      </c>
      <c r="P1174" t="str">
        <f t="shared" si="56"/>
        <v>Positive</v>
      </c>
    </row>
    <row r="1175" spans="1:16" x14ac:dyDescent="0.3">
      <c r="A1175" s="1">
        <v>44528</v>
      </c>
      <c r="B1175">
        <v>66.56</v>
      </c>
      <c r="C1175">
        <v>0</v>
      </c>
      <c r="D1175">
        <v>0</v>
      </c>
      <c r="E1175">
        <v>35</v>
      </c>
      <c r="F1175">
        <v>2.6</v>
      </c>
      <c r="G1175">
        <v>0.19059999999999999</v>
      </c>
      <c r="H1175">
        <v>0</v>
      </c>
      <c r="J1175">
        <v>0</v>
      </c>
      <c r="K1175">
        <f>YEAR(NetflixData[[#This Row],[date]])</f>
        <v>2021</v>
      </c>
      <c r="L1175" t="str">
        <f>TEXT(NetflixData[[#This Row],[date]],"mmm")</f>
        <v>Nov</v>
      </c>
      <c r="M1175" t="str">
        <f>TEXT(NetflixData[[#This Row],[date]],"mmm yyyy")</f>
        <v>Nov 2021</v>
      </c>
      <c r="N1175" t="str">
        <f t="shared" si="54"/>
        <v>Trading Day</v>
      </c>
      <c r="O1175" t="str">
        <f t="shared" si="55"/>
        <v>No Change</v>
      </c>
      <c r="P1175" t="str">
        <f t="shared" si="56"/>
        <v>Positive</v>
      </c>
    </row>
    <row r="1176" spans="1:16" x14ac:dyDescent="0.3">
      <c r="A1176" s="1">
        <v>44529</v>
      </c>
      <c r="B1176">
        <v>66.38</v>
      </c>
      <c r="C1176">
        <v>25294000</v>
      </c>
      <c r="D1176">
        <v>9.7000000000000003E-2</v>
      </c>
      <c r="E1176">
        <v>29</v>
      </c>
      <c r="F1176">
        <v>2.4500000000000002</v>
      </c>
      <c r="G1176">
        <v>5.2400000000000002E-2</v>
      </c>
      <c r="H1176">
        <v>0</v>
      </c>
      <c r="J1176">
        <v>1</v>
      </c>
      <c r="K1176">
        <f>YEAR(NetflixData[[#This Row],[date]])</f>
        <v>2021</v>
      </c>
      <c r="L1176" t="str">
        <f>TEXT(NetflixData[[#This Row],[date]],"mmm")</f>
        <v>Nov</v>
      </c>
      <c r="M1176" t="str">
        <f>TEXT(NetflixData[[#This Row],[date]],"mmm yyyy")</f>
        <v>Nov 2021</v>
      </c>
      <c r="N1176" t="str">
        <f t="shared" si="54"/>
        <v>Trading Day</v>
      </c>
      <c r="O1176" t="str">
        <f t="shared" si="55"/>
        <v>Positive</v>
      </c>
      <c r="P1176" t="str">
        <f t="shared" si="56"/>
        <v>Neutral</v>
      </c>
    </row>
    <row r="1177" spans="1:16" x14ac:dyDescent="0.3">
      <c r="A1177" s="1">
        <v>44530</v>
      </c>
      <c r="B1177">
        <v>64.19</v>
      </c>
      <c r="C1177">
        <v>56089000</v>
      </c>
      <c r="D1177">
        <v>-3.9359999999999999</v>
      </c>
      <c r="E1177">
        <v>29</v>
      </c>
      <c r="F1177">
        <v>2.79</v>
      </c>
      <c r="G1177">
        <v>0.1227</v>
      </c>
      <c r="H1177">
        <v>0</v>
      </c>
      <c r="J1177">
        <v>1</v>
      </c>
      <c r="K1177">
        <f>YEAR(NetflixData[[#This Row],[date]])</f>
        <v>2021</v>
      </c>
      <c r="L1177" t="str">
        <f>TEXT(NetflixData[[#This Row],[date]],"mmm")</f>
        <v>Nov</v>
      </c>
      <c r="M1177" t="str">
        <f>TEXT(NetflixData[[#This Row],[date]],"mmm yyyy")</f>
        <v>Nov 2021</v>
      </c>
      <c r="N1177" t="str">
        <f t="shared" si="54"/>
        <v>Trading Day</v>
      </c>
      <c r="O1177" t="str">
        <f t="shared" si="55"/>
        <v>Negative</v>
      </c>
      <c r="P1177" t="str">
        <f t="shared" si="56"/>
        <v>Positive</v>
      </c>
    </row>
    <row r="1178" spans="1:16" x14ac:dyDescent="0.3">
      <c r="A1178" s="1">
        <v>44531</v>
      </c>
      <c r="B1178">
        <v>61.78</v>
      </c>
      <c r="C1178">
        <v>38828000</v>
      </c>
      <c r="D1178">
        <v>-4.8819999999999997</v>
      </c>
      <c r="E1178">
        <v>26</v>
      </c>
      <c r="F1178">
        <v>2.69</v>
      </c>
      <c r="G1178">
        <v>0.1419</v>
      </c>
      <c r="H1178">
        <v>0</v>
      </c>
      <c r="J1178">
        <v>1</v>
      </c>
      <c r="K1178">
        <f>YEAR(NetflixData[[#This Row],[date]])</f>
        <v>2021</v>
      </c>
      <c r="L1178" t="str">
        <f>TEXT(NetflixData[[#This Row],[date]],"mmm")</f>
        <v>Dec</v>
      </c>
      <c r="M1178" t="str">
        <f>TEXT(NetflixData[[#This Row],[date]],"mmm yyyy")</f>
        <v>Dec 2021</v>
      </c>
      <c r="N1178" t="str">
        <f t="shared" si="54"/>
        <v>Trading Day</v>
      </c>
      <c r="O1178" t="str">
        <f t="shared" si="55"/>
        <v>Negative</v>
      </c>
      <c r="P1178" t="str">
        <f t="shared" si="56"/>
        <v>Positive</v>
      </c>
    </row>
    <row r="1179" spans="1:16" x14ac:dyDescent="0.3">
      <c r="A1179" s="1">
        <v>44532</v>
      </c>
      <c r="B1179">
        <v>61.65</v>
      </c>
      <c r="C1179">
        <v>33311000</v>
      </c>
      <c r="D1179">
        <v>-0.10199999999999999</v>
      </c>
      <c r="E1179">
        <v>37</v>
      </c>
      <c r="F1179">
        <v>2</v>
      </c>
      <c r="G1179">
        <v>7.5200000000000003E-2</v>
      </c>
      <c r="H1179">
        <v>0</v>
      </c>
      <c r="J1179">
        <v>1</v>
      </c>
      <c r="K1179">
        <f>YEAR(NetflixData[[#This Row],[date]])</f>
        <v>2021</v>
      </c>
      <c r="L1179" t="str">
        <f>TEXT(NetflixData[[#This Row],[date]],"mmm")</f>
        <v>Dec</v>
      </c>
      <c r="M1179" t="str">
        <f>TEXT(NetflixData[[#This Row],[date]],"mmm yyyy")</f>
        <v>Dec 2021</v>
      </c>
      <c r="N1179" t="str">
        <f t="shared" si="54"/>
        <v>Trading Day</v>
      </c>
      <c r="O1179" t="str">
        <f t="shared" si="55"/>
        <v>Negative</v>
      </c>
      <c r="P1179" t="str">
        <f t="shared" si="56"/>
        <v>Neutral</v>
      </c>
    </row>
    <row r="1180" spans="1:16" x14ac:dyDescent="0.3">
      <c r="A1180" s="1">
        <v>44533</v>
      </c>
      <c r="B1180">
        <v>60.21</v>
      </c>
      <c r="C1180">
        <v>48293000</v>
      </c>
      <c r="D1180">
        <v>-3.3109999999999999</v>
      </c>
      <c r="E1180">
        <v>33</v>
      </c>
      <c r="F1180">
        <v>2.27</v>
      </c>
      <c r="G1180">
        <v>2.0799999999999999E-2</v>
      </c>
      <c r="H1180">
        <v>0</v>
      </c>
      <c r="J1180">
        <v>1</v>
      </c>
      <c r="K1180">
        <f>YEAR(NetflixData[[#This Row],[date]])</f>
        <v>2021</v>
      </c>
      <c r="L1180" t="str">
        <f>TEXT(NetflixData[[#This Row],[date]],"mmm")</f>
        <v>Dec</v>
      </c>
      <c r="M1180" t="str">
        <f>TEXT(NetflixData[[#This Row],[date]],"mmm yyyy")</f>
        <v>Dec 2021</v>
      </c>
      <c r="N1180" t="str">
        <f t="shared" si="54"/>
        <v>Non-Trading Day</v>
      </c>
      <c r="O1180" t="str">
        <f t="shared" si="55"/>
        <v>Negative</v>
      </c>
      <c r="P1180" t="str">
        <f t="shared" si="56"/>
        <v>Neutral</v>
      </c>
    </row>
    <row r="1181" spans="1:16" x14ac:dyDescent="0.3">
      <c r="A1181" s="1">
        <v>44534</v>
      </c>
      <c r="B1181">
        <v>60.21</v>
      </c>
      <c r="C1181">
        <v>0</v>
      </c>
      <c r="D1181">
        <v>0</v>
      </c>
      <c r="E1181">
        <v>57</v>
      </c>
      <c r="F1181">
        <v>2.4</v>
      </c>
      <c r="G1181">
        <v>0.1144</v>
      </c>
      <c r="H1181">
        <v>0</v>
      </c>
      <c r="J1181">
        <v>0</v>
      </c>
      <c r="K1181">
        <f>YEAR(NetflixData[[#This Row],[date]])</f>
        <v>2021</v>
      </c>
      <c r="L1181" t="str">
        <f>TEXT(NetflixData[[#This Row],[date]],"mmm")</f>
        <v>Dec</v>
      </c>
      <c r="M1181" t="str">
        <f>TEXT(NetflixData[[#This Row],[date]],"mmm yyyy")</f>
        <v>Dec 2021</v>
      </c>
      <c r="N1181" t="str">
        <f t="shared" si="54"/>
        <v>Non-Trading Day</v>
      </c>
      <c r="O1181" t="str">
        <f t="shared" si="55"/>
        <v>No Change</v>
      </c>
      <c r="P1181" t="str">
        <f t="shared" si="56"/>
        <v>Positive</v>
      </c>
    </row>
    <row r="1182" spans="1:16" x14ac:dyDescent="0.3">
      <c r="A1182" s="1">
        <v>44535</v>
      </c>
      <c r="B1182">
        <v>60.21</v>
      </c>
      <c r="C1182">
        <v>0</v>
      </c>
      <c r="D1182">
        <v>0</v>
      </c>
      <c r="E1182">
        <v>34</v>
      </c>
      <c r="F1182">
        <v>2.41</v>
      </c>
      <c r="G1182">
        <v>0.11210000000000001</v>
      </c>
      <c r="H1182">
        <v>0</v>
      </c>
      <c r="J1182">
        <v>0</v>
      </c>
      <c r="K1182">
        <f>YEAR(NetflixData[[#This Row],[date]])</f>
        <v>2021</v>
      </c>
      <c r="L1182" t="str">
        <f>TEXT(NetflixData[[#This Row],[date]],"mmm")</f>
        <v>Dec</v>
      </c>
      <c r="M1182" t="str">
        <f>TEXT(NetflixData[[#This Row],[date]],"mmm yyyy")</f>
        <v>Dec 2021</v>
      </c>
      <c r="N1182" t="str">
        <f t="shared" si="54"/>
        <v>Trading Day</v>
      </c>
      <c r="O1182" t="str">
        <f t="shared" si="55"/>
        <v>No Change</v>
      </c>
      <c r="P1182" t="str">
        <f t="shared" si="56"/>
        <v>Positive</v>
      </c>
    </row>
    <row r="1183" spans="1:16" x14ac:dyDescent="0.3">
      <c r="A1183" s="1">
        <v>44536</v>
      </c>
      <c r="B1183">
        <v>61.27</v>
      </c>
      <c r="C1183">
        <v>30757000</v>
      </c>
      <c r="D1183">
        <v>1.1020000000000001</v>
      </c>
      <c r="E1183">
        <v>35</v>
      </c>
      <c r="F1183">
        <v>2.74</v>
      </c>
      <c r="G1183">
        <v>0.1181</v>
      </c>
      <c r="H1183">
        <v>0</v>
      </c>
      <c r="J1183">
        <v>1</v>
      </c>
      <c r="K1183">
        <f>YEAR(NetflixData[[#This Row],[date]])</f>
        <v>2021</v>
      </c>
      <c r="L1183" t="str">
        <f>TEXT(NetflixData[[#This Row],[date]],"mmm")</f>
        <v>Dec</v>
      </c>
      <c r="M1183" t="str">
        <f>TEXT(NetflixData[[#This Row],[date]],"mmm yyyy")</f>
        <v>Dec 2021</v>
      </c>
      <c r="N1183" t="str">
        <f t="shared" si="54"/>
        <v>Trading Day</v>
      </c>
      <c r="O1183" t="str">
        <f t="shared" si="55"/>
        <v>Positive</v>
      </c>
      <c r="P1183" t="str">
        <f t="shared" si="56"/>
        <v>Positive</v>
      </c>
    </row>
    <row r="1184" spans="1:16" x14ac:dyDescent="0.3">
      <c r="A1184" s="1">
        <v>44537</v>
      </c>
      <c r="B1184">
        <v>62.56</v>
      </c>
      <c r="C1184">
        <v>31252000</v>
      </c>
      <c r="D1184">
        <v>0.92800000000000005</v>
      </c>
      <c r="E1184">
        <v>42</v>
      </c>
      <c r="F1184">
        <v>2.48</v>
      </c>
      <c r="G1184">
        <v>7.0300000000000001E-2</v>
      </c>
      <c r="H1184">
        <v>0</v>
      </c>
      <c r="J1184">
        <v>1</v>
      </c>
      <c r="K1184">
        <f>YEAR(NetflixData[[#This Row],[date]])</f>
        <v>2021</v>
      </c>
      <c r="L1184" t="str">
        <f>TEXT(NetflixData[[#This Row],[date]],"mmm")</f>
        <v>Dec</v>
      </c>
      <c r="M1184" t="str">
        <f>TEXT(NetflixData[[#This Row],[date]],"mmm yyyy")</f>
        <v>Dec 2021</v>
      </c>
      <c r="N1184" t="str">
        <f t="shared" si="54"/>
        <v>Trading Day</v>
      </c>
      <c r="O1184" t="str">
        <f t="shared" si="55"/>
        <v>Positive</v>
      </c>
      <c r="P1184" t="str">
        <f t="shared" si="56"/>
        <v>Neutral</v>
      </c>
    </row>
    <row r="1185" spans="1:16" x14ac:dyDescent="0.3">
      <c r="A1185" s="1">
        <v>44538</v>
      </c>
      <c r="B1185">
        <v>62.81</v>
      </c>
      <c r="C1185">
        <v>22203000</v>
      </c>
      <c r="D1185">
        <v>-0.30499999999999999</v>
      </c>
      <c r="E1185">
        <v>34</v>
      </c>
      <c r="F1185">
        <v>2.74</v>
      </c>
      <c r="G1185">
        <v>0.2329</v>
      </c>
      <c r="H1185">
        <v>0</v>
      </c>
      <c r="J1185">
        <v>1</v>
      </c>
      <c r="K1185">
        <f>YEAR(NetflixData[[#This Row],[date]])</f>
        <v>2021</v>
      </c>
      <c r="L1185" t="str">
        <f>TEXT(NetflixData[[#This Row],[date]],"mmm")</f>
        <v>Dec</v>
      </c>
      <c r="M1185" t="str">
        <f>TEXT(NetflixData[[#This Row],[date]],"mmm yyyy")</f>
        <v>Dec 2021</v>
      </c>
      <c r="N1185" t="str">
        <f t="shared" si="54"/>
        <v>Trading Day</v>
      </c>
      <c r="O1185" t="str">
        <f t="shared" si="55"/>
        <v>Negative</v>
      </c>
      <c r="P1185" t="str">
        <f t="shared" si="56"/>
        <v>Positive</v>
      </c>
    </row>
    <row r="1186" spans="1:16" x14ac:dyDescent="0.3">
      <c r="A1186" s="1">
        <v>44539</v>
      </c>
      <c r="B1186">
        <v>61.1</v>
      </c>
      <c r="C1186">
        <v>23763000</v>
      </c>
      <c r="D1186">
        <v>-2.6419999999999999</v>
      </c>
      <c r="E1186">
        <v>39</v>
      </c>
      <c r="F1186">
        <v>2.72</v>
      </c>
      <c r="G1186">
        <v>0.25419999999999998</v>
      </c>
      <c r="H1186">
        <v>0</v>
      </c>
      <c r="J1186">
        <v>1</v>
      </c>
      <c r="K1186">
        <f>YEAR(NetflixData[[#This Row],[date]])</f>
        <v>2021</v>
      </c>
      <c r="L1186" t="str">
        <f>TEXT(NetflixData[[#This Row],[date]],"mmm")</f>
        <v>Dec</v>
      </c>
      <c r="M1186" t="str">
        <f>TEXT(NetflixData[[#This Row],[date]],"mmm yyyy")</f>
        <v>Dec 2021</v>
      </c>
      <c r="N1186" t="str">
        <f t="shared" si="54"/>
        <v>Trading Day</v>
      </c>
      <c r="O1186" t="str">
        <f t="shared" si="55"/>
        <v>Negative</v>
      </c>
      <c r="P1186" t="str">
        <f t="shared" si="56"/>
        <v>Positive</v>
      </c>
    </row>
    <row r="1187" spans="1:16" x14ac:dyDescent="0.3">
      <c r="A1187" s="1">
        <v>44540</v>
      </c>
      <c r="B1187">
        <v>61.17</v>
      </c>
      <c r="C1187">
        <v>27488000</v>
      </c>
      <c r="D1187">
        <v>-0.83</v>
      </c>
      <c r="E1187">
        <v>29</v>
      </c>
      <c r="F1187">
        <v>2.5499999999999998</v>
      </c>
      <c r="G1187">
        <v>0.21659999999999999</v>
      </c>
      <c r="H1187">
        <v>0</v>
      </c>
      <c r="J1187">
        <v>1</v>
      </c>
      <c r="K1187">
        <f>YEAR(NetflixData[[#This Row],[date]])</f>
        <v>2021</v>
      </c>
      <c r="L1187" t="str">
        <f>TEXT(NetflixData[[#This Row],[date]],"mmm")</f>
        <v>Dec</v>
      </c>
      <c r="M1187" t="str">
        <f>TEXT(NetflixData[[#This Row],[date]],"mmm yyyy")</f>
        <v>Dec 2021</v>
      </c>
      <c r="N1187" t="str">
        <f t="shared" si="54"/>
        <v>Non-Trading Day</v>
      </c>
      <c r="O1187" t="str">
        <f t="shared" si="55"/>
        <v>Negative</v>
      </c>
      <c r="P1187" t="str">
        <f t="shared" si="56"/>
        <v>Positive</v>
      </c>
    </row>
    <row r="1188" spans="1:16" x14ac:dyDescent="0.3">
      <c r="A1188" s="1">
        <v>44541</v>
      </c>
      <c r="B1188">
        <v>61.17</v>
      </c>
      <c r="C1188">
        <v>0</v>
      </c>
      <c r="D1188">
        <v>0</v>
      </c>
      <c r="E1188">
        <v>35</v>
      </c>
      <c r="F1188">
        <v>2.29</v>
      </c>
      <c r="G1188">
        <v>0.26079999999999998</v>
      </c>
      <c r="H1188">
        <v>0</v>
      </c>
      <c r="J1188">
        <v>0</v>
      </c>
      <c r="K1188">
        <f>YEAR(NetflixData[[#This Row],[date]])</f>
        <v>2021</v>
      </c>
      <c r="L1188" t="str">
        <f>TEXT(NetflixData[[#This Row],[date]],"mmm")</f>
        <v>Dec</v>
      </c>
      <c r="M1188" t="str">
        <f>TEXT(NetflixData[[#This Row],[date]],"mmm yyyy")</f>
        <v>Dec 2021</v>
      </c>
      <c r="N1188" t="str">
        <f t="shared" si="54"/>
        <v>Non-Trading Day</v>
      </c>
      <c r="O1188" t="str">
        <f t="shared" si="55"/>
        <v>No Change</v>
      </c>
      <c r="P1188" t="str">
        <f t="shared" si="56"/>
        <v>Positive</v>
      </c>
    </row>
    <row r="1189" spans="1:16" x14ac:dyDescent="0.3">
      <c r="A1189" s="1">
        <v>44542</v>
      </c>
      <c r="B1189">
        <v>61.17</v>
      </c>
      <c r="C1189">
        <v>0</v>
      </c>
      <c r="D1189">
        <v>0</v>
      </c>
      <c r="E1189">
        <v>47</v>
      </c>
      <c r="F1189">
        <v>2.81</v>
      </c>
      <c r="G1189">
        <v>0.2893</v>
      </c>
      <c r="H1189">
        <v>0</v>
      </c>
      <c r="J1189">
        <v>0</v>
      </c>
      <c r="K1189">
        <f>YEAR(NetflixData[[#This Row],[date]])</f>
        <v>2021</v>
      </c>
      <c r="L1189" t="str">
        <f>TEXT(NetflixData[[#This Row],[date]],"mmm")</f>
        <v>Dec</v>
      </c>
      <c r="M1189" t="str">
        <f>TEXT(NetflixData[[#This Row],[date]],"mmm yyyy")</f>
        <v>Dec 2021</v>
      </c>
      <c r="N1189" t="str">
        <f t="shared" si="54"/>
        <v>Trading Day</v>
      </c>
      <c r="O1189" t="str">
        <f t="shared" si="55"/>
        <v>No Change</v>
      </c>
      <c r="P1189" t="str">
        <f t="shared" si="56"/>
        <v>Positive</v>
      </c>
    </row>
    <row r="1190" spans="1:16" x14ac:dyDescent="0.3">
      <c r="A1190" s="1">
        <v>44543</v>
      </c>
      <c r="B1190">
        <v>60.46</v>
      </c>
      <c r="C1190">
        <v>25179000</v>
      </c>
      <c r="D1190">
        <v>-1.216</v>
      </c>
      <c r="E1190">
        <v>37</v>
      </c>
      <c r="F1190">
        <v>2.46</v>
      </c>
      <c r="G1190">
        <v>2.0299999999999999E-2</v>
      </c>
      <c r="H1190">
        <v>0</v>
      </c>
      <c r="J1190">
        <v>1</v>
      </c>
      <c r="K1190">
        <f>YEAR(NetflixData[[#This Row],[date]])</f>
        <v>2021</v>
      </c>
      <c r="L1190" t="str">
        <f>TEXT(NetflixData[[#This Row],[date]],"mmm")</f>
        <v>Dec</v>
      </c>
      <c r="M1190" t="str">
        <f>TEXT(NetflixData[[#This Row],[date]],"mmm yyyy")</f>
        <v>Dec 2021</v>
      </c>
      <c r="N1190" t="str">
        <f t="shared" si="54"/>
        <v>Trading Day</v>
      </c>
      <c r="O1190" t="str">
        <f t="shared" si="55"/>
        <v>Negative</v>
      </c>
      <c r="P1190" t="str">
        <f t="shared" si="56"/>
        <v>Neutral</v>
      </c>
    </row>
    <row r="1191" spans="1:16" x14ac:dyDescent="0.3">
      <c r="A1191" s="1">
        <v>44544</v>
      </c>
      <c r="B1191">
        <v>59.8</v>
      </c>
      <c r="C1191">
        <v>29845000</v>
      </c>
      <c r="D1191">
        <v>-0.12</v>
      </c>
      <c r="E1191">
        <v>59</v>
      </c>
      <c r="F1191">
        <v>3.07</v>
      </c>
      <c r="G1191">
        <v>0.19819999999999999</v>
      </c>
      <c r="H1191">
        <v>0</v>
      </c>
      <c r="J1191">
        <v>1</v>
      </c>
      <c r="K1191">
        <f>YEAR(NetflixData[[#This Row],[date]])</f>
        <v>2021</v>
      </c>
      <c r="L1191" t="str">
        <f>TEXT(NetflixData[[#This Row],[date]],"mmm")</f>
        <v>Dec</v>
      </c>
      <c r="M1191" t="str">
        <f>TEXT(NetflixData[[#This Row],[date]],"mmm yyyy")</f>
        <v>Dec 2021</v>
      </c>
      <c r="N1191" t="str">
        <f t="shared" si="54"/>
        <v>Trading Day</v>
      </c>
      <c r="O1191" t="str">
        <f t="shared" si="55"/>
        <v>Negative</v>
      </c>
      <c r="P1191" t="str">
        <f t="shared" si="56"/>
        <v>Positive</v>
      </c>
    </row>
    <row r="1192" spans="1:16" x14ac:dyDescent="0.3">
      <c r="A1192" s="1">
        <v>44545</v>
      </c>
      <c r="B1192">
        <v>60.5</v>
      </c>
      <c r="C1192">
        <v>28662000</v>
      </c>
      <c r="D1192">
        <v>1.147</v>
      </c>
      <c r="E1192">
        <v>45</v>
      </c>
      <c r="F1192">
        <v>3.13</v>
      </c>
      <c r="G1192">
        <v>0.26219999999999999</v>
      </c>
      <c r="H1192">
        <v>0</v>
      </c>
      <c r="J1192">
        <v>1</v>
      </c>
      <c r="K1192">
        <f>YEAR(NetflixData[[#This Row],[date]])</f>
        <v>2021</v>
      </c>
      <c r="L1192" t="str">
        <f>TEXT(NetflixData[[#This Row],[date]],"mmm")</f>
        <v>Dec</v>
      </c>
      <c r="M1192" t="str">
        <f>TEXT(NetflixData[[#This Row],[date]],"mmm yyyy")</f>
        <v>Dec 2021</v>
      </c>
      <c r="N1192" t="str">
        <f t="shared" si="54"/>
        <v>Trading Day</v>
      </c>
      <c r="O1192" t="str">
        <f t="shared" si="55"/>
        <v>Positive</v>
      </c>
      <c r="P1192" t="str">
        <f t="shared" si="56"/>
        <v>Positive</v>
      </c>
    </row>
    <row r="1193" spans="1:16" x14ac:dyDescent="0.3">
      <c r="A1193" s="1">
        <v>44546</v>
      </c>
      <c r="B1193">
        <v>59.11</v>
      </c>
      <c r="C1193">
        <v>31432000</v>
      </c>
      <c r="D1193">
        <v>-1.01</v>
      </c>
      <c r="E1193">
        <v>52</v>
      </c>
      <c r="F1193">
        <v>2.96</v>
      </c>
      <c r="G1193">
        <v>0.15579999999999999</v>
      </c>
      <c r="H1193">
        <v>0</v>
      </c>
      <c r="J1193">
        <v>1</v>
      </c>
      <c r="K1193">
        <f>YEAR(NetflixData[[#This Row],[date]])</f>
        <v>2021</v>
      </c>
      <c r="L1193" t="str">
        <f>TEXT(NetflixData[[#This Row],[date]],"mmm")</f>
        <v>Dec</v>
      </c>
      <c r="M1193" t="str">
        <f>TEXT(NetflixData[[#This Row],[date]],"mmm yyyy")</f>
        <v>Dec 2021</v>
      </c>
      <c r="N1193" t="str">
        <f t="shared" si="54"/>
        <v>Trading Day</v>
      </c>
      <c r="O1193" t="str">
        <f t="shared" si="55"/>
        <v>Negative</v>
      </c>
      <c r="P1193" t="str">
        <f t="shared" si="56"/>
        <v>Positive</v>
      </c>
    </row>
    <row r="1194" spans="1:16" x14ac:dyDescent="0.3">
      <c r="A1194" s="1">
        <v>44547</v>
      </c>
      <c r="B1194">
        <v>58.67</v>
      </c>
      <c r="C1194">
        <v>43869000</v>
      </c>
      <c r="D1194">
        <v>-0.82499999999999996</v>
      </c>
      <c r="E1194">
        <v>37</v>
      </c>
      <c r="F1194">
        <v>2.38</v>
      </c>
      <c r="G1194">
        <v>0.17829999999999999</v>
      </c>
      <c r="H1194">
        <v>0</v>
      </c>
      <c r="J1194">
        <v>1</v>
      </c>
      <c r="K1194">
        <f>YEAR(NetflixData[[#This Row],[date]])</f>
        <v>2021</v>
      </c>
      <c r="L1194" t="str">
        <f>TEXT(NetflixData[[#This Row],[date]],"mmm")</f>
        <v>Dec</v>
      </c>
      <c r="M1194" t="str">
        <f>TEXT(NetflixData[[#This Row],[date]],"mmm yyyy")</f>
        <v>Dec 2021</v>
      </c>
      <c r="N1194" t="str">
        <f t="shared" si="54"/>
        <v>Non-Trading Day</v>
      </c>
      <c r="O1194" t="str">
        <f t="shared" si="55"/>
        <v>Negative</v>
      </c>
      <c r="P1194" t="str">
        <f t="shared" si="56"/>
        <v>Positive</v>
      </c>
    </row>
    <row r="1195" spans="1:16" x14ac:dyDescent="0.3">
      <c r="A1195" s="1">
        <v>44548</v>
      </c>
      <c r="B1195">
        <v>58.67</v>
      </c>
      <c r="C1195">
        <v>0</v>
      </c>
      <c r="D1195">
        <v>0</v>
      </c>
      <c r="E1195">
        <v>49</v>
      </c>
      <c r="F1195">
        <v>2.63</v>
      </c>
      <c r="G1195">
        <v>0.1976</v>
      </c>
      <c r="H1195">
        <v>0</v>
      </c>
      <c r="J1195">
        <v>0</v>
      </c>
      <c r="K1195">
        <f>YEAR(NetflixData[[#This Row],[date]])</f>
        <v>2021</v>
      </c>
      <c r="L1195" t="str">
        <f>TEXT(NetflixData[[#This Row],[date]],"mmm")</f>
        <v>Dec</v>
      </c>
      <c r="M1195" t="str">
        <f>TEXT(NetflixData[[#This Row],[date]],"mmm yyyy")</f>
        <v>Dec 2021</v>
      </c>
      <c r="N1195" t="str">
        <f t="shared" si="54"/>
        <v>Non-Trading Day</v>
      </c>
      <c r="O1195" t="str">
        <f t="shared" si="55"/>
        <v>No Change</v>
      </c>
      <c r="P1195" t="str">
        <f t="shared" si="56"/>
        <v>Positive</v>
      </c>
    </row>
    <row r="1196" spans="1:16" x14ac:dyDescent="0.3">
      <c r="A1196" s="1">
        <v>44549</v>
      </c>
      <c r="B1196">
        <v>58.67</v>
      </c>
      <c r="C1196">
        <v>0</v>
      </c>
      <c r="D1196">
        <v>0</v>
      </c>
      <c r="E1196">
        <v>34</v>
      </c>
      <c r="F1196">
        <v>2.15</v>
      </c>
      <c r="G1196">
        <v>0.14929999999999999</v>
      </c>
      <c r="H1196">
        <v>0</v>
      </c>
      <c r="J1196">
        <v>0</v>
      </c>
      <c r="K1196">
        <f>YEAR(NetflixData[[#This Row],[date]])</f>
        <v>2021</v>
      </c>
      <c r="L1196" t="str">
        <f>TEXT(NetflixData[[#This Row],[date]],"mmm")</f>
        <v>Dec</v>
      </c>
      <c r="M1196" t="str">
        <f>TEXT(NetflixData[[#This Row],[date]],"mmm yyyy")</f>
        <v>Dec 2021</v>
      </c>
      <c r="N1196" t="str">
        <f t="shared" si="54"/>
        <v>Trading Day</v>
      </c>
      <c r="O1196" t="str">
        <f t="shared" si="55"/>
        <v>No Change</v>
      </c>
      <c r="P1196" t="str">
        <f t="shared" si="56"/>
        <v>Positive</v>
      </c>
    </row>
    <row r="1197" spans="1:16" x14ac:dyDescent="0.3">
      <c r="A1197" s="1">
        <v>44550</v>
      </c>
      <c r="B1197">
        <v>59.37</v>
      </c>
      <c r="C1197">
        <v>33584000</v>
      </c>
      <c r="D1197">
        <v>1.2470000000000001</v>
      </c>
      <c r="E1197">
        <v>52</v>
      </c>
      <c r="F1197">
        <v>2.27</v>
      </c>
      <c r="G1197">
        <v>0.17910000000000001</v>
      </c>
      <c r="H1197">
        <v>0</v>
      </c>
      <c r="J1197">
        <v>1</v>
      </c>
      <c r="K1197">
        <f>YEAR(NetflixData[[#This Row],[date]])</f>
        <v>2021</v>
      </c>
      <c r="L1197" t="str">
        <f>TEXT(NetflixData[[#This Row],[date]],"mmm")</f>
        <v>Dec</v>
      </c>
      <c r="M1197" t="str">
        <f>TEXT(NetflixData[[#This Row],[date]],"mmm yyyy")</f>
        <v>Dec 2021</v>
      </c>
      <c r="N1197" t="str">
        <f t="shared" si="54"/>
        <v>Trading Day</v>
      </c>
      <c r="O1197" t="str">
        <f t="shared" si="55"/>
        <v>Positive</v>
      </c>
      <c r="P1197" t="str">
        <f t="shared" si="56"/>
        <v>Positive</v>
      </c>
    </row>
    <row r="1198" spans="1:16" x14ac:dyDescent="0.3">
      <c r="A1198" s="1">
        <v>44551</v>
      </c>
      <c r="B1198">
        <v>60.49</v>
      </c>
      <c r="C1198">
        <v>23194000</v>
      </c>
      <c r="D1198">
        <v>1.2350000000000001</v>
      </c>
      <c r="E1198">
        <v>57</v>
      </c>
      <c r="F1198">
        <v>2.65</v>
      </c>
      <c r="G1198">
        <v>0.12540000000000001</v>
      </c>
      <c r="H1198">
        <v>0</v>
      </c>
      <c r="J1198">
        <v>1</v>
      </c>
      <c r="K1198">
        <f>YEAR(NetflixData[[#This Row],[date]])</f>
        <v>2021</v>
      </c>
      <c r="L1198" t="str">
        <f>TEXT(NetflixData[[#This Row],[date]],"mmm")</f>
        <v>Dec</v>
      </c>
      <c r="M1198" t="str">
        <f>TEXT(NetflixData[[#This Row],[date]],"mmm yyyy")</f>
        <v>Dec 2021</v>
      </c>
      <c r="N1198" t="str">
        <f t="shared" si="54"/>
        <v>Trading Day</v>
      </c>
      <c r="O1198" t="str">
        <f t="shared" si="55"/>
        <v>Positive</v>
      </c>
      <c r="P1198" t="str">
        <f t="shared" si="56"/>
        <v>Positive</v>
      </c>
    </row>
    <row r="1199" spans="1:16" x14ac:dyDescent="0.3">
      <c r="A1199" s="1">
        <v>44552</v>
      </c>
      <c r="B1199">
        <v>61.42</v>
      </c>
      <c r="C1199">
        <v>23357000</v>
      </c>
      <c r="D1199">
        <v>1.8029999999999999</v>
      </c>
      <c r="E1199">
        <v>35</v>
      </c>
      <c r="F1199">
        <v>2.89</v>
      </c>
      <c r="G1199">
        <v>0.247</v>
      </c>
      <c r="H1199">
        <v>0</v>
      </c>
      <c r="J1199">
        <v>1</v>
      </c>
      <c r="K1199">
        <f>YEAR(NetflixData[[#This Row],[date]])</f>
        <v>2021</v>
      </c>
      <c r="L1199" t="str">
        <f>TEXT(NetflixData[[#This Row],[date]],"mmm")</f>
        <v>Dec</v>
      </c>
      <c r="M1199" t="str">
        <f>TEXT(NetflixData[[#This Row],[date]],"mmm yyyy")</f>
        <v>Dec 2021</v>
      </c>
      <c r="N1199" t="str">
        <f t="shared" si="54"/>
        <v>Trading Day</v>
      </c>
      <c r="O1199" t="str">
        <f t="shared" si="55"/>
        <v>Positive</v>
      </c>
      <c r="P1199" t="str">
        <f t="shared" si="56"/>
        <v>Positive</v>
      </c>
    </row>
    <row r="1200" spans="1:16" x14ac:dyDescent="0.3">
      <c r="A1200" s="1">
        <v>44553</v>
      </c>
      <c r="B1200">
        <v>61.41</v>
      </c>
      <c r="C1200">
        <v>16211000</v>
      </c>
      <c r="D1200">
        <v>-0.375</v>
      </c>
      <c r="E1200">
        <v>41</v>
      </c>
      <c r="F1200">
        <v>2.83</v>
      </c>
      <c r="G1200">
        <v>0.26889999999999997</v>
      </c>
      <c r="H1200">
        <v>0</v>
      </c>
      <c r="J1200">
        <v>1</v>
      </c>
      <c r="K1200">
        <f>YEAR(NetflixData[[#This Row],[date]])</f>
        <v>2021</v>
      </c>
      <c r="L1200" t="str">
        <f>TEXT(NetflixData[[#This Row],[date]],"mmm")</f>
        <v>Dec</v>
      </c>
      <c r="M1200" t="str">
        <f>TEXT(NetflixData[[#This Row],[date]],"mmm yyyy")</f>
        <v>Dec 2021</v>
      </c>
      <c r="N1200" t="str">
        <f t="shared" si="54"/>
        <v>Non-Trading Day</v>
      </c>
      <c r="O1200" t="str">
        <f t="shared" si="55"/>
        <v>Negative</v>
      </c>
      <c r="P1200" t="str">
        <f t="shared" si="56"/>
        <v>Positive</v>
      </c>
    </row>
    <row r="1201" spans="1:16" x14ac:dyDescent="0.3">
      <c r="A1201" s="1">
        <v>44554</v>
      </c>
      <c r="B1201">
        <v>61.41</v>
      </c>
      <c r="C1201">
        <v>0</v>
      </c>
      <c r="D1201">
        <v>0</v>
      </c>
      <c r="E1201">
        <v>37</v>
      </c>
      <c r="F1201">
        <v>2.62</v>
      </c>
      <c r="G1201">
        <v>0.17430000000000001</v>
      </c>
      <c r="H1201">
        <v>0</v>
      </c>
      <c r="J1201">
        <v>0</v>
      </c>
      <c r="K1201">
        <f>YEAR(NetflixData[[#This Row],[date]])</f>
        <v>2021</v>
      </c>
      <c r="L1201" t="str">
        <f>TEXT(NetflixData[[#This Row],[date]],"mmm")</f>
        <v>Dec</v>
      </c>
      <c r="M1201" t="str">
        <f>TEXT(NetflixData[[#This Row],[date]],"mmm yyyy")</f>
        <v>Dec 2021</v>
      </c>
      <c r="N1201" t="str">
        <f t="shared" si="54"/>
        <v>Non-Trading Day</v>
      </c>
      <c r="O1201" t="str">
        <f t="shared" si="55"/>
        <v>No Change</v>
      </c>
      <c r="P1201" t="str">
        <f t="shared" si="56"/>
        <v>Positive</v>
      </c>
    </row>
    <row r="1202" spans="1:16" x14ac:dyDescent="0.3">
      <c r="A1202" s="1">
        <v>44555</v>
      </c>
      <c r="B1202">
        <v>61.41</v>
      </c>
      <c r="C1202">
        <v>0</v>
      </c>
      <c r="D1202">
        <v>0</v>
      </c>
      <c r="E1202">
        <v>56</v>
      </c>
      <c r="F1202">
        <v>2.84</v>
      </c>
      <c r="G1202">
        <v>0.27479999999999999</v>
      </c>
      <c r="H1202">
        <v>0</v>
      </c>
      <c r="J1202">
        <v>0</v>
      </c>
      <c r="K1202">
        <f>YEAR(NetflixData[[#This Row],[date]])</f>
        <v>2021</v>
      </c>
      <c r="L1202" t="str">
        <f>TEXT(NetflixData[[#This Row],[date]],"mmm")</f>
        <v>Dec</v>
      </c>
      <c r="M1202" t="str">
        <f>TEXT(NetflixData[[#This Row],[date]],"mmm yyyy")</f>
        <v>Dec 2021</v>
      </c>
      <c r="N1202" t="str">
        <f t="shared" si="54"/>
        <v>Non-Trading Day</v>
      </c>
      <c r="O1202" t="str">
        <f t="shared" si="55"/>
        <v>No Change</v>
      </c>
      <c r="P1202" t="str">
        <f t="shared" si="56"/>
        <v>Positive</v>
      </c>
    </row>
    <row r="1203" spans="1:16" x14ac:dyDescent="0.3">
      <c r="A1203" s="1">
        <v>44556</v>
      </c>
      <c r="B1203">
        <v>61.41</v>
      </c>
      <c r="C1203">
        <v>0</v>
      </c>
      <c r="D1203">
        <v>0</v>
      </c>
      <c r="E1203">
        <v>43</v>
      </c>
      <c r="F1203">
        <v>3.37</v>
      </c>
      <c r="G1203">
        <v>0.34100000000000003</v>
      </c>
      <c r="H1203">
        <v>0</v>
      </c>
      <c r="J1203">
        <v>0</v>
      </c>
      <c r="K1203">
        <f>YEAR(NetflixData[[#This Row],[date]])</f>
        <v>2021</v>
      </c>
      <c r="L1203" t="str">
        <f>TEXT(NetflixData[[#This Row],[date]],"mmm")</f>
        <v>Dec</v>
      </c>
      <c r="M1203" t="str">
        <f>TEXT(NetflixData[[#This Row],[date]],"mmm yyyy")</f>
        <v>Dec 2021</v>
      </c>
      <c r="N1203" t="str">
        <f t="shared" si="54"/>
        <v>Trading Day</v>
      </c>
      <c r="O1203" t="str">
        <f t="shared" si="55"/>
        <v>No Change</v>
      </c>
      <c r="P1203" t="str">
        <f t="shared" si="56"/>
        <v>Positive</v>
      </c>
    </row>
    <row r="1204" spans="1:16" x14ac:dyDescent="0.3">
      <c r="A1204" s="1">
        <v>44557</v>
      </c>
      <c r="B1204">
        <v>61.31</v>
      </c>
      <c r="C1204">
        <v>20615000</v>
      </c>
      <c r="D1204">
        <v>-0.30599999999999999</v>
      </c>
      <c r="E1204">
        <v>64</v>
      </c>
      <c r="F1204">
        <v>2.69</v>
      </c>
      <c r="G1204">
        <v>0.27610000000000001</v>
      </c>
      <c r="H1204">
        <v>0</v>
      </c>
      <c r="J1204">
        <v>1</v>
      </c>
      <c r="K1204">
        <f>YEAR(NetflixData[[#This Row],[date]])</f>
        <v>2021</v>
      </c>
      <c r="L1204" t="str">
        <f>TEXT(NetflixData[[#This Row],[date]],"mmm")</f>
        <v>Dec</v>
      </c>
      <c r="M1204" t="str">
        <f>TEXT(NetflixData[[#This Row],[date]],"mmm yyyy")</f>
        <v>Dec 2021</v>
      </c>
      <c r="N1204" t="str">
        <f t="shared" si="54"/>
        <v>Trading Day</v>
      </c>
      <c r="O1204" t="str">
        <f t="shared" si="55"/>
        <v>Negative</v>
      </c>
      <c r="P1204" t="str">
        <f t="shared" si="56"/>
        <v>Positive</v>
      </c>
    </row>
    <row r="1205" spans="1:16" x14ac:dyDescent="0.3">
      <c r="A1205" s="1">
        <v>44558</v>
      </c>
      <c r="B1205">
        <v>61.07</v>
      </c>
      <c r="C1205">
        <v>18828000</v>
      </c>
      <c r="D1205">
        <v>-0.68899999999999995</v>
      </c>
      <c r="E1205">
        <v>44</v>
      </c>
      <c r="F1205">
        <v>3.02</v>
      </c>
      <c r="G1205">
        <v>0.25380000000000003</v>
      </c>
      <c r="H1205">
        <v>0</v>
      </c>
      <c r="J1205">
        <v>1</v>
      </c>
      <c r="K1205">
        <f>YEAR(NetflixData[[#This Row],[date]])</f>
        <v>2021</v>
      </c>
      <c r="L1205" t="str">
        <f>TEXT(NetflixData[[#This Row],[date]],"mmm")</f>
        <v>Dec</v>
      </c>
      <c r="M1205" t="str">
        <f>TEXT(NetflixData[[#This Row],[date]],"mmm yyyy")</f>
        <v>Dec 2021</v>
      </c>
      <c r="N1205" t="str">
        <f t="shared" si="54"/>
        <v>Trading Day</v>
      </c>
      <c r="O1205" t="str">
        <f t="shared" si="55"/>
        <v>Negative</v>
      </c>
      <c r="P1205" t="str">
        <f t="shared" si="56"/>
        <v>Positive</v>
      </c>
    </row>
    <row r="1206" spans="1:16" x14ac:dyDescent="0.3">
      <c r="A1206" s="1">
        <v>44559</v>
      </c>
      <c r="B1206">
        <v>61.05</v>
      </c>
      <c r="C1206">
        <v>12872000</v>
      </c>
      <c r="D1206">
        <v>-2.8000000000000001E-2</v>
      </c>
      <c r="E1206">
        <v>37</v>
      </c>
      <c r="F1206">
        <v>2.97</v>
      </c>
      <c r="G1206">
        <v>0.26669999999999999</v>
      </c>
      <c r="H1206">
        <v>0</v>
      </c>
      <c r="J1206">
        <v>1</v>
      </c>
      <c r="K1206">
        <f>YEAR(NetflixData[[#This Row],[date]])</f>
        <v>2021</v>
      </c>
      <c r="L1206" t="str">
        <f>TEXT(NetflixData[[#This Row],[date]],"mmm")</f>
        <v>Dec</v>
      </c>
      <c r="M1206" t="str">
        <f>TEXT(NetflixData[[#This Row],[date]],"mmm yyyy")</f>
        <v>Dec 2021</v>
      </c>
      <c r="N1206" t="str">
        <f t="shared" si="54"/>
        <v>Trading Day</v>
      </c>
      <c r="O1206" t="str">
        <f t="shared" si="55"/>
        <v>Negative</v>
      </c>
      <c r="P1206" t="str">
        <f t="shared" si="56"/>
        <v>Positive</v>
      </c>
    </row>
    <row r="1207" spans="1:16" x14ac:dyDescent="0.3">
      <c r="A1207" s="1">
        <v>44560</v>
      </c>
      <c r="B1207">
        <v>61.21</v>
      </c>
      <c r="C1207">
        <v>16251000</v>
      </c>
      <c r="D1207">
        <v>-0.14699999999999999</v>
      </c>
      <c r="E1207">
        <v>51</v>
      </c>
      <c r="F1207">
        <v>2.63</v>
      </c>
      <c r="G1207">
        <v>0.1862</v>
      </c>
      <c r="H1207">
        <v>0</v>
      </c>
      <c r="J1207">
        <v>1</v>
      </c>
      <c r="K1207">
        <f>YEAR(NetflixData[[#This Row],[date]])</f>
        <v>2021</v>
      </c>
      <c r="L1207" t="str">
        <f>TEXT(NetflixData[[#This Row],[date]],"mmm")</f>
        <v>Dec</v>
      </c>
      <c r="M1207" t="str">
        <f>TEXT(NetflixData[[#This Row],[date]],"mmm yyyy")</f>
        <v>Dec 2021</v>
      </c>
      <c r="N1207" t="str">
        <f t="shared" si="54"/>
        <v>Trading Day</v>
      </c>
      <c r="O1207" t="str">
        <f t="shared" si="55"/>
        <v>Negative</v>
      </c>
      <c r="P1207" t="str">
        <f t="shared" si="56"/>
        <v>Positive</v>
      </c>
    </row>
    <row r="1208" spans="1:16" x14ac:dyDescent="0.3">
      <c r="A1208" s="1">
        <v>44561</v>
      </c>
      <c r="B1208">
        <v>60.24</v>
      </c>
      <c r="C1208">
        <v>19959000</v>
      </c>
      <c r="D1208">
        <v>-1.2410000000000001</v>
      </c>
      <c r="E1208">
        <v>44</v>
      </c>
      <c r="F1208">
        <v>3.18</v>
      </c>
      <c r="G1208">
        <v>0.30819999999999997</v>
      </c>
      <c r="H1208">
        <v>0</v>
      </c>
      <c r="J1208">
        <v>1</v>
      </c>
      <c r="K1208">
        <f>YEAR(NetflixData[[#This Row],[date]])</f>
        <v>2021</v>
      </c>
      <c r="L1208" t="str">
        <f>TEXT(NetflixData[[#This Row],[date]],"mmm")</f>
        <v>Dec</v>
      </c>
      <c r="M1208" t="str">
        <f>TEXT(NetflixData[[#This Row],[date]],"mmm yyyy")</f>
        <v>Dec 2021</v>
      </c>
      <c r="N1208" t="str">
        <f t="shared" si="54"/>
        <v>Non-Trading Day</v>
      </c>
      <c r="O1208" t="str">
        <f t="shared" si="55"/>
        <v>Negative</v>
      </c>
      <c r="P1208" t="str">
        <f t="shared" si="56"/>
        <v>Positive</v>
      </c>
    </row>
    <row r="1209" spans="1:16" x14ac:dyDescent="0.3">
      <c r="A1209" s="1">
        <v>44562</v>
      </c>
      <c r="B1209">
        <v>60.24</v>
      </c>
      <c r="C1209">
        <v>0</v>
      </c>
      <c r="D1209">
        <v>0</v>
      </c>
      <c r="E1209">
        <v>48</v>
      </c>
      <c r="F1209">
        <v>2.88</v>
      </c>
      <c r="G1209">
        <v>0.28110000000000002</v>
      </c>
      <c r="H1209">
        <v>0</v>
      </c>
      <c r="J1209">
        <v>0</v>
      </c>
      <c r="K1209">
        <f>YEAR(NetflixData[[#This Row],[date]])</f>
        <v>2022</v>
      </c>
      <c r="L1209" t="str">
        <f>TEXT(NetflixData[[#This Row],[date]],"mmm")</f>
        <v>Jan</v>
      </c>
      <c r="M1209" t="str">
        <f>TEXT(NetflixData[[#This Row],[date]],"mmm yyyy")</f>
        <v>Jan 2022</v>
      </c>
      <c r="N1209" t="str">
        <f t="shared" si="54"/>
        <v>Non-Trading Day</v>
      </c>
      <c r="O1209" t="str">
        <f t="shared" si="55"/>
        <v>No Change</v>
      </c>
      <c r="P1209" t="str">
        <f t="shared" si="56"/>
        <v>Positive</v>
      </c>
    </row>
    <row r="1210" spans="1:16" x14ac:dyDescent="0.3">
      <c r="A1210" s="1">
        <v>44563</v>
      </c>
      <c r="B1210">
        <v>60.24</v>
      </c>
      <c r="C1210">
        <v>0</v>
      </c>
      <c r="D1210">
        <v>0</v>
      </c>
      <c r="E1210">
        <v>46</v>
      </c>
      <c r="F1210">
        <v>2.52</v>
      </c>
      <c r="G1210">
        <v>0.1132</v>
      </c>
      <c r="H1210">
        <v>0</v>
      </c>
      <c r="J1210">
        <v>0</v>
      </c>
      <c r="K1210">
        <f>YEAR(NetflixData[[#This Row],[date]])</f>
        <v>2022</v>
      </c>
      <c r="L1210" t="str">
        <f>TEXT(NetflixData[[#This Row],[date]],"mmm")</f>
        <v>Jan</v>
      </c>
      <c r="M1210" t="str">
        <f>TEXT(NetflixData[[#This Row],[date]],"mmm yyyy")</f>
        <v>Jan 2022</v>
      </c>
      <c r="N1210" t="str">
        <f t="shared" si="54"/>
        <v>Trading Day</v>
      </c>
      <c r="O1210" t="str">
        <f t="shared" si="55"/>
        <v>No Change</v>
      </c>
      <c r="P1210" t="str">
        <f t="shared" si="56"/>
        <v>Positive</v>
      </c>
    </row>
    <row r="1211" spans="1:16" x14ac:dyDescent="0.3">
      <c r="A1211" s="1">
        <v>44564</v>
      </c>
      <c r="B1211">
        <v>59.74</v>
      </c>
      <c r="C1211">
        <v>30675000</v>
      </c>
      <c r="D1211">
        <v>-1.361</v>
      </c>
      <c r="E1211">
        <v>57</v>
      </c>
      <c r="F1211">
        <v>2.88</v>
      </c>
      <c r="G1211">
        <v>0.311</v>
      </c>
      <c r="H1211">
        <v>0</v>
      </c>
      <c r="J1211">
        <v>1</v>
      </c>
      <c r="K1211">
        <f>YEAR(NetflixData[[#This Row],[date]])</f>
        <v>2022</v>
      </c>
      <c r="L1211" t="str">
        <f>TEXT(NetflixData[[#This Row],[date]],"mmm")</f>
        <v>Jan</v>
      </c>
      <c r="M1211" t="str">
        <f>TEXT(NetflixData[[#This Row],[date]],"mmm yyyy")</f>
        <v>Jan 2022</v>
      </c>
      <c r="N1211" t="str">
        <f t="shared" si="54"/>
        <v>Trading Day</v>
      </c>
      <c r="O1211" t="str">
        <f t="shared" si="55"/>
        <v>Negative</v>
      </c>
      <c r="P1211" t="str">
        <f t="shared" si="56"/>
        <v>Positive</v>
      </c>
    </row>
    <row r="1212" spans="1:16" x14ac:dyDescent="0.3">
      <c r="A1212" s="1">
        <v>44565</v>
      </c>
      <c r="B1212">
        <v>59.12</v>
      </c>
      <c r="C1212">
        <v>43931000</v>
      </c>
      <c r="D1212">
        <v>-1.46</v>
      </c>
      <c r="E1212">
        <v>41</v>
      </c>
      <c r="F1212">
        <v>2.9</v>
      </c>
      <c r="G1212">
        <v>0.2014</v>
      </c>
      <c r="H1212">
        <v>0</v>
      </c>
      <c r="J1212">
        <v>1</v>
      </c>
      <c r="K1212">
        <f>YEAR(NetflixData[[#This Row],[date]])</f>
        <v>2022</v>
      </c>
      <c r="L1212" t="str">
        <f>TEXT(NetflixData[[#This Row],[date]],"mmm")</f>
        <v>Jan</v>
      </c>
      <c r="M1212" t="str">
        <f>TEXT(NetflixData[[#This Row],[date]],"mmm yyyy")</f>
        <v>Jan 2022</v>
      </c>
      <c r="N1212" t="str">
        <f t="shared" si="54"/>
        <v>Trading Day</v>
      </c>
      <c r="O1212" t="str">
        <f t="shared" si="55"/>
        <v>Negative</v>
      </c>
      <c r="P1212" t="str">
        <f t="shared" si="56"/>
        <v>Positive</v>
      </c>
    </row>
    <row r="1213" spans="1:16" x14ac:dyDescent="0.3">
      <c r="A1213" s="1">
        <v>44566</v>
      </c>
      <c r="B1213">
        <v>56.75</v>
      </c>
      <c r="C1213">
        <v>41487000</v>
      </c>
      <c r="D1213">
        <v>-4.1349999999999998</v>
      </c>
      <c r="E1213">
        <v>42</v>
      </c>
      <c r="F1213">
        <v>2.67</v>
      </c>
      <c r="G1213">
        <v>0.189</v>
      </c>
      <c r="H1213">
        <v>0</v>
      </c>
      <c r="J1213">
        <v>1</v>
      </c>
      <c r="K1213">
        <f>YEAR(NetflixData[[#This Row],[date]])</f>
        <v>2022</v>
      </c>
      <c r="L1213" t="str">
        <f>TEXT(NetflixData[[#This Row],[date]],"mmm")</f>
        <v>Jan</v>
      </c>
      <c r="M1213" t="str">
        <f>TEXT(NetflixData[[#This Row],[date]],"mmm yyyy")</f>
        <v>Jan 2022</v>
      </c>
      <c r="N1213" t="str">
        <f t="shared" si="54"/>
        <v>Trading Day</v>
      </c>
      <c r="O1213" t="str">
        <f t="shared" si="55"/>
        <v>Negative</v>
      </c>
      <c r="P1213" t="str">
        <f t="shared" si="56"/>
        <v>Positive</v>
      </c>
    </row>
    <row r="1214" spans="1:16" x14ac:dyDescent="0.3">
      <c r="A1214" s="1">
        <v>44567</v>
      </c>
      <c r="B1214">
        <v>55.33</v>
      </c>
      <c r="C1214">
        <v>57118000</v>
      </c>
      <c r="D1214">
        <v>-0.189</v>
      </c>
      <c r="E1214">
        <v>45</v>
      </c>
      <c r="F1214">
        <v>2.96</v>
      </c>
      <c r="G1214">
        <v>0.1986</v>
      </c>
      <c r="H1214">
        <v>0</v>
      </c>
      <c r="J1214">
        <v>1</v>
      </c>
      <c r="K1214">
        <f>YEAR(NetflixData[[#This Row],[date]])</f>
        <v>2022</v>
      </c>
      <c r="L1214" t="str">
        <f>TEXT(NetflixData[[#This Row],[date]],"mmm")</f>
        <v>Jan</v>
      </c>
      <c r="M1214" t="str">
        <f>TEXT(NetflixData[[#This Row],[date]],"mmm yyyy")</f>
        <v>Jan 2022</v>
      </c>
      <c r="N1214" t="str">
        <f t="shared" si="54"/>
        <v>Trading Day</v>
      </c>
      <c r="O1214" t="str">
        <f t="shared" si="55"/>
        <v>Negative</v>
      </c>
      <c r="P1214" t="str">
        <f t="shared" si="56"/>
        <v>Positive</v>
      </c>
    </row>
    <row r="1215" spans="1:16" x14ac:dyDescent="0.3">
      <c r="A1215" s="1">
        <v>44568</v>
      </c>
      <c r="B1215">
        <v>54.11</v>
      </c>
      <c r="C1215">
        <v>33829000</v>
      </c>
      <c r="D1215">
        <v>-1.5289999999999999</v>
      </c>
      <c r="E1215">
        <v>42</v>
      </c>
      <c r="F1215">
        <v>2.76</v>
      </c>
      <c r="G1215">
        <v>0.1726</v>
      </c>
      <c r="H1215">
        <v>0</v>
      </c>
      <c r="J1215">
        <v>1</v>
      </c>
      <c r="K1215">
        <f>YEAR(NetflixData[[#This Row],[date]])</f>
        <v>2022</v>
      </c>
      <c r="L1215" t="str">
        <f>TEXT(NetflixData[[#This Row],[date]],"mmm")</f>
        <v>Jan</v>
      </c>
      <c r="M1215" t="str">
        <f>TEXT(NetflixData[[#This Row],[date]],"mmm yyyy")</f>
        <v>Jan 2022</v>
      </c>
      <c r="N1215" t="str">
        <f t="shared" si="54"/>
        <v>Non-Trading Day</v>
      </c>
      <c r="O1215" t="str">
        <f t="shared" si="55"/>
        <v>Negative</v>
      </c>
      <c r="P1215" t="str">
        <f t="shared" si="56"/>
        <v>Positive</v>
      </c>
    </row>
    <row r="1216" spans="1:16" x14ac:dyDescent="0.3">
      <c r="A1216" s="1">
        <v>44569</v>
      </c>
      <c r="B1216">
        <v>54.11</v>
      </c>
      <c r="C1216">
        <v>0</v>
      </c>
      <c r="D1216">
        <v>0</v>
      </c>
      <c r="E1216">
        <v>43</v>
      </c>
      <c r="F1216">
        <v>2.88</v>
      </c>
      <c r="G1216">
        <v>0.14829999999999999</v>
      </c>
      <c r="H1216">
        <v>0</v>
      </c>
      <c r="J1216">
        <v>0</v>
      </c>
      <c r="K1216">
        <f>YEAR(NetflixData[[#This Row],[date]])</f>
        <v>2022</v>
      </c>
      <c r="L1216" t="str">
        <f>TEXT(NetflixData[[#This Row],[date]],"mmm")</f>
        <v>Jan</v>
      </c>
      <c r="M1216" t="str">
        <f>TEXT(NetflixData[[#This Row],[date]],"mmm yyyy")</f>
        <v>Jan 2022</v>
      </c>
      <c r="N1216" t="str">
        <f t="shared" si="54"/>
        <v>Non-Trading Day</v>
      </c>
      <c r="O1216" t="str">
        <f t="shared" si="55"/>
        <v>No Change</v>
      </c>
      <c r="P1216" t="str">
        <f t="shared" si="56"/>
        <v>Positive</v>
      </c>
    </row>
    <row r="1217" spans="1:16" x14ac:dyDescent="0.3">
      <c r="A1217" s="1">
        <v>44570</v>
      </c>
      <c r="B1217">
        <v>54.11</v>
      </c>
      <c r="C1217">
        <v>0</v>
      </c>
      <c r="D1217">
        <v>0</v>
      </c>
      <c r="E1217">
        <v>47</v>
      </c>
      <c r="F1217">
        <v>2.98</v>
      </c>
      <c r="G1217">
        <v>0.1565</v>
      </c>
      <c r="H1217">
        <v>0</v>
      </c>
      <c r="J1217">
        <v>0</v>
      </c>
      <c r="K1217">
        <f>YEAR(NetflixData[[#This Row],[date]])</f>
        <v>2022</v>
      </c>
      <c r="L1217" t="str">
        <f>TEXT(NetflixData[[#This Row],[date]],"mmm")</f>
        <v>Jan</v>
      </c>
      <c r="M1217" t="str">
        <f>TEXT(NetflixData[[#This Row],[date]],"mmm yyyy")</f>
        <v>Jan 2022</v>
      </c>
      <c r="N1217" t="str">
        <f t="shared" si="54"/>
        <v>Trading Day</v>
      </c>
      <c r="O1217" t="str">
        <f t="shared" si="55"/>
        <v>No Change</v>
      </c>
      <c r="P1217" t="str">
        <f t="shared" si="56"/>
        <v>Positive</v>
      </c>
    </row>
    <row r="1218" spans="1:16" x14ac:dyDescent="0.3">
      <c r="A1218" s="1">
        <v>44571</v>
      </c>
      <c r="B1218">
        <v>53.99</v>
      </c>
      <c r="C1218">
        <v>44861000</v>
      </c>
      <c r="D1218">
        <v>0.253</v>
      </c>
      <c r="E1218">
        <v>41</v>
      </c>
      <c r="F1218">
        <v>3</v>
      </c>
      <c r="G1218">
        <v>0.35049999999999998</v>
      </c>
      <c r="H1218">
        <v>0</v>
      </c>
      <c r="J1218">
        <v>1</v>
      </c>
      <c r="K1218">
        <f>YEAR(NetflixData[[#This Row],[date]])</f>
        <v>2022</v>
      </c>
      <c r="L1218" t="str">
        <f>TEXT(NetflixData[[#This Row],[date]],"mmm")</f>
        <v>Jan</v>
      </c>
      <c r="M1218" t="str">
        <f>TEXT(NetflixData[[#This Row],[date]],"mmm yyyy")</f>
        <v>Jan 2022</v>
      </c>
      <c r="N1218" t="str">
        <f t="shared" ref="N1218:N1281" si="57">IF(J1219=1,"Trading Day","Non-Trading Day")</f>
        <v>Trading Day</v>
      </c>
      <c r="O1218" t="str">
        <f t="shared" ref="O1218:O1281" si="58">IF(D1218&gt;0,"Positive",IF(D1218&lt;0,"Negative","No Change"))</f>
        <v>Positive</v>
      </c>
      <c r="P1218" t="str">
        <f t="shared" ref="P1218:P1281" si="59">IF(G1218&gt;0.1,"Positive",IF(G1218&lt;-0.1,"Negative","Neutral"))</f>
        <v>Positive</v>
      </c>
    </row>
    <row r="1219" spans="1:16" x14ac:dyDescent="0.3">
      <c r="A1219" s="1">
        <v>44572</v>
      </c>
      <c r="B1219">
        <v>54.08</v>
      </c>
      <c r="C1219">
        <v>30778000</v>
      </c>
      <c r="D1219">
        <v>0.71699999999999997</v>
      </c>
      <c r="E1219">
        <v>46</v>
      </c>
      <c r="F1219">
        <v>3.24</v>
      </c>
      <c r="G1219">
        <v>0.2853</v>
      </c>
      <c r="H1219">
        <v>0</v>
      </c>
      <c r="J1219">
        <v>1</v>
      </c>
      <c r="K1219">
        <f>YEAR(NetflixData[[#This Row],[date]])</f>
        <v>2022</v>
      </c>
      <c r="L1219" t="str">
        <f>TEXT(NetflixData[[#This Row],[date]],"mmm")</f>
        <v>Jan</v>
      </c>
      <c r="M1219" t="str">
        <f>TEXT(NetflixData[[#This Row],[date]],"mmm yyyy")</f>
        <v>Jan 2022</v>
      </c>
      <c r="N1219" t="str">
        <f t="shared" si="57"/>
        <v>Trading Day</v>
      </c>
      <c r="O1219" t="str">
        <f t="shared" si="58"/>
        <v>Positive</v>
      </c>
      <c r="P1219" t="str">
        <f t="shared" si="59"/>
        <v>Positive</v>
      </c>
    </row>
    <row r="1220" spans="1:16" x14ac:dyDescent="0.3">
      <c r="A1220" s="1">
        <v>44573</v>
      </c>
      <c r="B1220">
        <v>53.72</v>
      </c>
      <c r="C1220">
        <v>37874000</v>
      </c>
      <c r="D1220">
        <v>-1.2949999999999999</v>
      </c>
      <c r="E1220">
        <v>35</v>
      </c>
      <c r="F1220">
        <v>3.14</v>
      </c>
      <c r="G1220">
        <v>0.1237</v>
      </c>
      <c r="H1220">
        <v>0</v>
      </c>
      <c r="J1220">
        <v>1</v>
      </c>
      <c r="K1220">
        <f>YEAR(NetflixData[[#This Row],[date]])</f>
        <v>2022</v>
      </c>
      <c r="L1220" t="str">
        <f>TEXT(NetflixData[[#This Row],[date]],"mmm")</f>
        <v>Jan</v>
      </c>
      <c r="M1220" t="str">
        <f>TEXT(NetflixData[[#This Row],[date]],"mmm yyyy")</f>
        <v>Jan 2022</v>
      </c>
      <c r="N1220" t="str">
        <f t="shared" si="57"/>
        <v>Trading Day</v>
      </c>
      <c r="O1220" t="str">
        <f t="shared" si="58"/>
        <v>Negative</v>
      </c>
      <c r="P1220" t="str">
        <f t="shared" si="59"/>
        <v>Positive</v>
      </c>
    </row>
    <row r="1221" spans="1:16" x14ac:dyDescent="0.3">
      <c r="A1221" s="1">
        <v>44574</v>
      </c>
      <c r="B1221">
        <v>51.92</v>
      </c>
      <c r="C1221">
        <v>44751000</v>
      </c>
      <c r="D1221">
        <v>-3.3260000000000001</v>
      </c>
      <c r="E1221">
        <v>40</v>
      </c>
      <c r="F1221">
        <v>3</v>
      </c>
      <c r="G1221">
        <v>5.3999999999999999E-2</v>
      </c>
      <c r="H1221">
        <v>0</v>
      </c>
      <c r="J1221">
        <v>1</v>
      </c>
      <c r="K1221">
        <f>YEAR(NetflixData[[#This Row],[date]])</f>
        <v>2022</v>
      </c>
      <c r="L1221" t="str">
        <f>TEXT(NetflixData[[#This Row],[date]],"mmm")</f>
        <v>Jan</v>
      </c>
      <c r="M1221" t="str">
        <f>TEXT(NetflixData[[#This Row],[date]],"mmm yyyy")</f>
        <v>Jan 2022</v>
      </c>
      <c r="N1221" t="str">
        <f t="shared" si="57"/>
        <v>Trading Day</v>
      </c>
      <c r="O1221" t="str">
        <f t="shared" si="58"/>
        <v>Negative</v>
      </c>
      <c r="P1221" t="str">
        <f t="shared" si="59"/>
        <v>Neutral</v>
      </c>
    </row>
    <row r="1222" spans="1:16" x14ac:dyDescent="0.3">
      <c r="A1222" s="1">
        <v>44575</v>
      </c>
      <c r="B1222">
        <v>52.57</v>
      </c>
      <c r="C1222">
        <v>78611000</v>
      </c>
      <c r="D1222">
        <v>1.5629999999999999</v>
      </c>
      <c r="E1222">
        <v>44</v>
      </c>
      <c r="F1222">
        <v>2.77</v>
      </c>
      <c r="G1222">
        <v>0.16470000000000001</v>
      </c>
      <c r="H1222">
        <v>0</v>
      </c>
      <c r="J1222">
        <v>1</v>
      </c>
      <c r="K1222">
        <f>YEAR(NetflixData[[#This Row],[date]])</f>
        <v>2022</v>
      </c>
      <c r="L1222" t="str">
        <f>TEXT(NetflixData[[#This Row],[date]],"mmm")</f>
        <v>Jan</v>
      </c>
      <c r="M1222" t="str">
        <f>TEXT(NetflixData[[#This Row],[date]],"mmm yyyy")</f>
        <v>Jan 2022</v>
      </c>
      <c r="N1222" t="str">
        <f t="shared" si="57"/>
        <v>Non-Trading Day</v>
      </c>
      <c r="O1222" t="str">
        <f t="shared" si="58"/>
        <v>Positive</v>
      </c>
      <c r="P1222" t="str">
        <f t="shared" si="59"/>
        <v>Positive</v>
      </c>
    </row>
    <row r="1223" spans="1:16" x14ac:dyDescent="0.3">
      <c r="A1223" s="1">
        <v>44576</v>
      </c>
      <c r="B1223">
        <v>52.57</v>
      </c>
      <c r="C1223">
        <v>0</v>
      </c>
      <c r="D1223">
        <v>0</v>
      </c>
      <c r="E1223">
        <v>32</v>
      </c>
      <c r="F1223">
        <v>3.03</v>
      </c>
      <c r="G1223">
        <v>0.26979999999999998</v>
      </c>
      <c r="H1223">
        <v>0</v>
      </c>
      <c r="J1223">
        <v>0</v>
      </c>
      <c r="K1223">
        <f>YEAR(NetflixData[[#This Row],[date]])</f>
        <v>2022</v>
      </c>
      <c r="L1223" t="str">
        <f>TEXT(NetflixData[[#This Row],[date]],"mmm")</f>
        <v>Jan</v>
      </c>
      <c r="M1223" t="str">
        <f>TEXT(NetflixData[[#This Row],[date]],"mmm yyyy")</f>
        <v>Jan 2022</v>
      </c>
      <c r="N1223" t="str">
        <f t="shared" si="57"/>
        <v>Non-Trading Day</v>
      </c>
      <c r="O1223" t="str">
        <f t="shared" si="58"/>
        <v>No Change</v>
      </c>
      <c r="P1223" t="str">
        <f t="shared" si="59"/>
        <v>Positive</v>
      </c>
    </row>
    <row r="1224" spans="1:16" x14ac:dyDescent="0.3">
      <c r="A1224" s="1">
        <v>44577</v>
      </c>
      <c r="B1224">
        <v>52.57</v>
      </c>
      <c r="C1224">
        <v>0</v>
      </c>
      <c r="D1224">
        <v>0</v>
      </c>
      <c r="E1224">
        <v>44</v>
      </c>
      <c r="F1224">
        <v>2.59</v>
      </c>
      <c r="G1224">
        <v>1.15E-2</v>
      </c>
      <c r="H1224">
        <v>0</v>
      </c>
      <c r="J1224">
        <v>0</v>
      </c>
      <c r="K1224">
        <f>YEAR(NetflixData[[#This Row],[date]])</f>
        <v>2022</v>
      </c>
      <c r="L1224" t="str">
        <f>TEXT(NetflixData[[#This Row],[date]],"mmm")</f>
        <v>Jan</v>
      </c>
      <c r="M1224" t="str">
        <f>TEXT(NetflixData[[#This Row],[date]],"mmm yyyy")</f>
        <v>Jan 2022</v>
      </c>
      <c r="N1224" t="str">
        <f t="shared" si="57"/>
        <v>Non-Trading Day</v>
      </c>
      <c r="O1224" t="str">
        <f t="shared" si="58"/>
        <v>No Change</v>
      </c>
      <c r="P1224" t="str">
        <f t="shared" si="59"/>
        <v>Neutral</v>
      </c>
    </row>
    <row r="1225" spans="1:16" x14ac:dyDescent="0.3">
      <c r="A1225" s="1">
        <v>44578</v>
      </c>
      <c r="B1225">
        <v>52.57</v>
      </c>
      <c r="C1225">
        <v>0</v>
      </c>
      <c r="D1225">
        <v>0</v>
      </c>
      <c r="E1225">
        <v>42</v>
      </c>
      <c r="F1225">
        <v>2.69</v>
      </c>
      <c r="G1225">
        <v>0.23039999999999999</v>
      </c>
      <c r="H1225">
        <v>0</v>
      </c>
      <c r="J1225">
        <v>0</v>
      </c>
      <c r="K1225">
        <f>YEAR(NetflixData[[#This Row],[date]])</f>
        <v>2022</v>
      </c>
      <c r="L1225" t="str">
        <f>TEXT(NetflixData[[#This Row],[date]],"mmm")</f>
        <v>Jan</v>
      </c>
      <c r="M1225" t="str">
        <f>TEXT(NetflixData[[#This Row],[date]],"mmm yyyy")</f>
        <v>Jan 2022</v>
      </c>
      <c r="N1225" t="str">
        <f t="shared" si="57"/>
        <v>Trading Day</v>
      </c>
      <c r="O1225" t="str">
        <f t="shared" si="58"/>
        <v>No Change</v>
      </c>
      <c r="P1225" t="str">
        <f t="shared" si="59"/>
        <v>Positive</v>
      </c>
    </row>
    <row r="1226" spans="1:16" x14ac:dyDescent="0.3">
      <c r="A1226" s="1">
        <v>44579</v>
      </c>
      <c r="B1226">
        <v>51.08</v>
      </c>
      <c r="C1226">
        <v>48391000</v>
      </c>
      <c r="D1226">
        <v>-1.784</v>
      </c>
      <c r="E1226">
        <v>40</v>
      </c>
      <c r="F1226">
        <v>2.85</v>
      </c>
      <c r="G1226">
        <v>0.33250000000000002</v>
      </c>
      <c r="H1226">
        <v>0</v>
      </c>
      <c r="J1226">
        <v>1</v>
      </c>
      <c r="K1226">
        <f>YEAR(NetflixData[[#This Row],[date]])</f>
        <v>2022</v>
      </c>
      <c r="L1226" t="str">
        <f>TEXT(NetflixData[[#This Row],[date]],"mmm")</f>
        <v>Jan</v>
      </c>
      <c r="M1226" t="str">
        <f>TEXT(NetflixData[[#This Row],[date]],"mmm yyyy")</f>
        <v>Jan 2022</v>
      </c>
      <c r="N1226" t="str">
        <f t="shared" si="57"/>
        <v>Trading Day</v>
      </c>
      <c r="O1226" t="str">
        <f t="shared" si="58"/>
        <v>Negative</v>
      </c>
      <c r="P1226" t="str">
        <f t="shared" si="59"/>
        <v>Positive</v>
      </c>
    </row>
    <row r="1227" spans="1:16" x14ac:dyDescent="0.3">
      <c r="A1227" s="1">
        <v>44580</v>
      </c>
      <c r="B1227">
        <v>51.59</v>
      </c>
      <c r="C1227">
        <v>43535000</v>
      </c>
      <c r="D1227">
        <v>0.16700000000000001</v>
      </c>
      <c r="E1227">
        <v>38</v>
      </c>
      <c r="F1227">
        <v>2.63</v>
      </c>
      <c r="G1227">
        <v>-2.8000000000000001E-2</v>
      </c>
      <c r="H1227">
        <v>0</v>
      </c>
      <c r="J1227">
        <v>1</v>
      </c>
      <c r="K1227">
        <f>YEAR(NetflixData[[#This Row],[date]])</f>
        <v>2022</v>
      </c>
      <c r="L1227" t="str">
        <f>TEXT(NetflixData[[#This Row],[date]],"mmm")</f>
        <v>Jan</v>
      </c>
      <c r="M1227" t="str">
        <f>TEXT(NetflixData[[#This Row],[date]],"mmm yyyy")</f>
        <v>Jan 2022</v>
      </c>
      <c r="N1227" t="str">
        <f t="shared" si="57"/>
        <v>Trading Day</v>
      </c>
      <c r="O1227" t="str">
        <f t="shared" si="58"/>
        <v>Positive</v>
      </c>
      <c r="P1227" t="str">
        <f t="shared" si="59"/>
        <v>Neutral</v>
      </c>
    </row>
    <row r="1228" spans="1:16" x14ac:dyDescent="0.3">
      <c r="A1228" s="1">
        <v>44581</v>
      </c>
      <c r="B1228">
        <v>50.83</v>
      </c>
      <c r="C1228">
        <v>126590000</v>
      </c>
      <c r="D1228">
        <v>-1.835</v>
      </c>
      <c r="E1228">
        <v>41</v>
      </c>
      <c r="F1228">
        <v>2.68</v>
      </c>
      <c r="G1228">
        <v>0.31490000000000001</v>
      </c>
      <c r="H1228">
        <v>0</v>
      </c>
      <c r="J1228">
        <v>1</v>
      </c>
      <c r="K1228">
        <f>YEAR(NetflixData[[#This Row],[date]])</f>
        <v>2022</v>
      </c>
      <c r="L1228" t="str">
        <f>TEXT(NetflixData[[#This Row],[date]],"mmm")</f>
        <v>Jan</v>
      </c>
      <c r="M1228" t="str">
        <f>TEXT(NetflixData[[#This Row],[date]],"mmm yyyy")</f>
        <v>Jan 2022</v>
      </c>
      <c r="N1228" t="str">
        <f t="shared" si="57"/>
        <v>Trading Day</v>
      </c>
      <c r="O1228" t="str">
        <f t="shared" si="58"/>
        <v>Negative</v>
      </c>
      <c r="P1228" t="str">
        <f t="shared" si="59"/>
        <v>Positive</v>
      </c>
    </row>
    <row r="1229" spans="1:16" x14ac:dyDescent="0.3">
      <c r="A1229" s="1">
        <v>44582</v>
      </c>
      <c r="B1229">
        <v>39.75</v>
      </c>
      <c r="C1229">
        <v>589043000</v>
      </c>
      <c r="D1229">
        <v>-0.73199999999999998</v>
      </c>
      <c r="E1229">
        <v>46</v>
      </c>
      <c r="F1229">
        <v>2.91</v>
      </c>
      <c r="G1229">
        <v>0.13650000000000001</v>
      </c>
      <c r="H1229">
        <v>0</v>
      </c>
      <c r="J1229">
        <v>1</v>
      </c>
      <c r="K1229">
        <f>YEAR(NetflixData[[#This Row],[date]])</f>
        <v>2022</v>
      </c>
      <c r="L1229" t="str">
        <f>TEXT(NetflixData[[#This Row],[date]],"mmm")</f>
        <v>Jan</v>
      </c>
      <c r="M1229" t="str">
        <f>TEXT(NetflixData[[#This Row],[date]],"mmm yyyy")</f>
        <v>Jan 2022</v>
      </c>
      <c r="N1229" t="str">
        <f t="shared" si="57"/>
        <v>Non-Trading Day</v>
      </c>
      <c r="O1229" t="str">
        <f t="shared" si="58"/>
        <v>Negative</v>
      </c>
      <c r="P1229" t="str">
        <f t="shared" si="59"/>
        <v>Positive</v>
      </c>
    </row>
    <row r="1230" spans="1:16" x14ac:dyDescent="0.3">
      <c r="A1230" s="1">
        <v>44583</v>
      </c>
      <c r="B1230">
        <v>39.75</v>
      </c>
      <c r="C1230">
        <v>0</v>
      </c>
      <c r="D1230">
        <v>0</v>
      </c>
      <c r="E1230">
        <v>36</v>
      </c>
      <c r="F1230">
        <v>3.33</v>
      </c>
      <c r="G1230">
        <v>0.41660000000000003</v>
      </c>
      <c r="H1230">
        <v>0</v>
      </c>
      <c r="J1230">
        <v>0</v>
      </c>
      <c r="K1230">
        <f>YEAR(NetflixData[[#This Row],[date]])</f>
        <v>2022</v>
      </c>
      <c r="L1230" t="str">
        <f>TEXT(NetflixData[[#This Row],[date]],"mmm")</f>
        <v>Jan</v>
      </c>
      <c r="M1230" t="str">
        <f>TEXT(NetflixData[[#This Row],[date]],"mmm yyyy")</f>
        <v>Jan 2022</v>
      </c>
      <c r="N1230" t="str">
        <f t="shared" si="57"/>
        <v>Non-Trading Day</v>
      </c>
      <c r="O1230" t="str">
        <f t="shared" si="58"/>
        <v>No Change</v>
      </c>
      <c r="P1230" t="str">
        <f t="shared" si="59"/>
        <v>Positive</v>
      </c>
    </row>
    <row r="1231" spans="1:16" x14ac:dyDescent="0.3">
      <c r="A1231" s="1">
        <v>44584</v>
      </c>
      <c r="B1231">
        <v>39.75</v>
      </c>
      <c r="C1231">
        <v>0</v>
      </c>
      <c r="D1231">
        <v>0</v>
      </c>
      <c r="E1231">
        <v>58</v>
      </c>
      <c r="F1231">
        <v>2.76</v>
      </c>
      <c r="G1231">
        <v>0.2515</v>
      </c>
      <c r="H1231">
        <v>0</v>
      </c>
      <c r="J1231">
        <v>0</v>
      </c>
      <c r="K1231">
        <f>YEAR(NetflixData[[#This Row],[date]])</f>
        <v>2022</v>
      </c>
      <c r="L1231" t="str">
        <f>TEXT(NetflixData[[#This Row],[date]],"mmm")</f>
        <v>Jan</v>
      </c>
      <c r="M1231" t="str">
        <f>TEXT(NetflixData[[#This Row],[date]],"mmm yyyy")</f>
        <v>Jan 2022</v>
      </c>
      <c r="N1231" t="str">
        <f t="shared" si="57"/>
        <v>Trading Day</v>
      </c>
      <c r="O1231" t="str">
        <f t="shared" si="58"/>
        <v>No Change</v>
      </c>
      <c r="P1231" t="str">
        <f t="shared" si="59"/>
        <v>Positive</v>
      </c>
    </row>
    <row r="1232" spans="1:16" x14ac:dyDescent="0.3">
      <c r="A1232" s="1">
        <v>44585</v>
      </c>
      <c r="B1232">
        <v>38.72</v>
      </c>
      <c r="C1232">
        <v>323460000</v>
      </c>
      <c r="D1232">
        <v>0.84399999999999997</v>
      </c>
      <c r="E1232">
        <v>42</v>
      </c>
      <c r="F1232">
        <v>2.5</v>
      </c>
      <c r="G1232">
        <v>0.14319999999999999</v>
      </c>
      <c r="H1232">
        <v>0</v>
      </c>
      <c r="J1232">
        <v>1</v>
      </c>
      <c r="K1232">
        <f>YEAR(NetflixData[[#This Row],[date]])</f>
        <v>2022</v>
      </c>
      <c r="L1232" t="str">
        <f>TEXT(NetflixData[[#This Row],[date]],"mmm")</f>
        <v>Jan</v>
      </c>
      <c r="M1232" t="str">
        <f>TEXT(NetflixData[[#This Row],[date]],"mmm yyyy")</f>
        <v>Jan 2022</v>
      </c>
      <c r="N1232" t="str">
        <f t="shared" si="57"/>
        <v>Trading Day</v>
      </c>
      <c r="O1232" t="str">
        <f t="shared" si="58"/>
        <v>Positive</v>
      </c>
      <c r="P1232" t="str">
        <f t="shared" si="59"/>
        <v>Positive</v>
      </c>
    </row>
    <row r="1233" spans="1:16" x14ac:dyDescent="0.3">
      <c r="A1233" s="1">
        <v>44586</v>
      </c>
      <c r="B1233">
        <v>36.64</v>
      </c>
      <c r="C1233">
        <v>151458000</v>
      </c>
      <c r="D1233">
        <v>-3.355</v>
      </c>
      <c r="E1233">
        <v>46</v>
      </c>
      <c r="F1233">
        <v>2.33</v>
      </c>
      <c r="G1233">
        <v>0.1948</v>
      </c>
      <c r="H1233">
        <v>0</v>
      </c>
      <c r="J1233">
        <v>1</v>
      </c>
      <c r="K1233">
        <f>YEAR(NetflixData[[#This Row],[date]])</f>
        <v>2022</v>
      </c>
      <c r="L1233" t="str">
        <f>TEXT(NetflixData[[#This Row],[date]],"mmm")</f>
        <v>Jan</v>
      </c>
      <c r="M1233" t="str">
        <f>TEXT(NetflixData[[#This Row],[date]],"mmm yyyy")</f>
        <v>Jan 2022</v>
      </c>
      <c r="N1233" t="str">
        <f t="shared" si="57"/>
        <v>Trading Day</v>
      </c>
      <c r="O1233" t="str">
        <f t="shared" si="58"/>
        <v>Negative</v>
      </c>
      <c r="P1233" t="str">
        <f t="shared" si="59"/>
        <v>Positive</v>
      </c>
    </row>
    <row r="1234" spans="1:16" x14ac:dyDescent="0.3">
      <c r="A1234" s="1">
        <v>44587</v>
      </c>
      <c r="B1234">
        <v>35.97</v>
      </c>
      <c r="C1234">
        <v>126840000</v>
      </c>
      <c r="D1234">
        <v>-4.9089999999999998</v>
      </c>
      <c r="E1234">
        <v>40</v>
      </c>
      <c r="F1234">
        <v>2.38</v>
      </c>
      <c r="G1234">
        <v>0.1295</v>
      </c>
      <c r="H1234">
        <v>0</v>
      </c>
      <c r="J1234">
        <v>1</v>
      </c>
      <c r="K1234">
        <f>YEAR(NetflixData[[#This Row],[date]])</f>
        <v>2022</v>
      </c>
      <c r="L1234" t="str">
        <f>TEXT(NetflixData[[#This Row],[date]],"mmm")</f>
        <v>Jan</v>
      </c>
      <c r="M1234" t="str">
        <f>TEXT(NetflixData[[#This Row],[date]],"mmm yyyy")</f>
        <v>Jan 2022</v>
      </c>
      <c r="N1234" t="str">
        <f t="shared" si="57"/>
        <v>Trading Day</v>
      </c>
      <c r="O1234" t="str">
        <f t="shared" si="58"/>
        <v>Negative</v>
      </c>
      <c r="P1234" t="str">
        <f t="shared" si="59"/>
        <v>Positive</v>
      </c>
    </row>
    <row r="1235" spans="1:16" x14ac:dyDescent="0.3">
      <c r="A1235" s="1">
        <v>44588</v>
      </c>
      <c r="B1235">
        <v>38.67</v>
      </c>
      <c r="C1235">
        <v>243247000</v>
      </c>
      <c r="D1235">
        <v>1.214</v>
      </c>
      <c r="E1235">
        <v>52</v>
      </c>
      <c r="F1235">
        <v>2.46</v>
      </c>
      <c r="G1235">
        <v>3.8199999999999998E-2</v>
      </c>
      <c r="H1235">
        <v>0</v>
      </c>
      <c r="J1235">
        <v>1</v>
      </c>
      <c r="K1235">
        <f>YEAR(NetflixData[[#This Row],[date]])</f>
        <v>2022</v>
      </c>
      <c r="L1235" t="str">
        <f>TEXT(NetflixData[[#This Row],[date]],"mmm")</f>
        <v>Jan</v>
      </c>
      <c r="M1235" t="str">
        <f>TEXT(NetflixData[[#This Row],[date]],"mmm yyyy")</f>
        <v>Jan 2022</v>
      </c>
      <c r="N1235" t="str">
        <f t="shared" si="57"/>
        <v>Trading Day</v>
      </c>
      <c r="O1235" t="str">
        <f t="shared" si="58"/>
        <v>Positive</v>
      </c>
      <c r="P1235" t="str">
        <f t="shared" si="59"/>
        <v>Neutral</v>
      </c>
    </row>
    <row r="1236" spans="1:16" x14ac:dyDescent="0.3">
      <c r="A1236" s="1">
        <v>44589</v>
      </c>
      <c r="B1236">
        <v>38.44</v>
      </c>
      <c r="C1236">
        <v>119666000</v>
      </c>
      <c r="D1236">
        <v>-0.621</v>
      </c>
      <c r="E1236">
        <v>57</v>
      </c>
      <c r="F1236">
        <v>2.72</v>
      </c>
      <c r="G1236">
        <v>0.20230000000000001</v>
      </c>
      <c r="H1236">
        <v>0</v>
      </c>
      <c r="J1236">
        <v>1</v>
      </c>
      <c r="K1236">
        <f>YEAR(NetflixData[[#This Row],[date]])</f>
        <v>2022</v>
      </c>
      <c r="L1236" t="str">
        <f>TEXT(NetflixData[[#This Row],[date]],"mmm")</f>
        <v>Jan</v>
      </c>
      <c r="M1236" t="str">
        <f>TEXT(NetflixData[[#This Row],[date]],"mmm yyyy")</f>
        <v>Jan 2022</v>
      </c>
      <c r="N1236" t="str">
        <f t="shared" si="57"/>
        <v>Non-Trading Day</v>
      </c>
      <c r="O1236" t="str">
        <f t="shared" si="58"/>
        <v>Negative</v>
      </c>
      <c r="P1236" t="str">
        <f t="shared" si="59"/>
        <v>Positive</v>
      </c>
    </row>
    <row r="1237" spans="1:16" x14ac:dyDescent="0.3">
      <c r="A1237" s="1">
        <v>44590</v>
      </c>
      <c r="B1237">
        <v>38.44</v>
      </c>
      <c r="C1237">
        <v>0</v>
      </c>
      <c r="D1237">
        <v>0</v>
      </c>
      <c r="E1237">
        <v>43</v>
      </c>
      <c r="F1237">
        <v>2.42</v>
      </c>
      <c r="G1237">
        <v>0.26029999999999998</v>
      </c>
      <c r="H1237">
        <v>0</v>
      </c>
      <c r="J1237">
        <v>0</v>
      </c>
      <c r="K1237">
        <f>YEAR(NetflixData[[#This Row],[date]])</f>
        <v>2022</v>
      </c>
      <c r="L1237" t="str">
        <f>TEXT(NetflixData[[#This Row],[date]],"mmm")</f>
        <v>Jan</v>
      </c>
      <c r="M1237" t="str">
        <f>TEXT(NetflixData[[#This Row],[date]],"mmm yyyy")</f>
        <v>Jan 2022</v>
      </c>
      <c r="N1237" t="str">
        <f t="shared" si="57"/>
        <v>Non-Trading Day</v>
      </c>
      <c r="O1237" t="str">
        <f t="shared" si="58"/>
        <v>No Change</v>
      </c>
      <c r="P1237" t="str">
        <f t="shared" si="59"/>
        <v>Positive</v>
      </c>
    </row>
    <row r="1238" spans="1:16" x14ac:dyDescent="0.3">
      <c r="A1238" s="1">
        <v>44591</v>
      </c>
      <c r="B1238">
        <v>38.44</v>
      </c>
      <c r="C1238">
        <v>0</v>
      </c>
      <c r="D1238">
        <v>0</v>
      </c>
      <c r="E1238">
        <v>44</v>
      </c>
      <c r="F1238">
        <v>2.8</v>
      </c>
      <c r="G1238">
        <v>0.1019</v>
      </c>
      <c r="H1238">
        <v>0</v>
      </c>
      <c r="J1238">
        <v>0</v>
      </c>
      <c r="K1238">
        <f>YEAR(NetflixData[[#This Row],[date]])</f>
        <v>2022</v>
      </c>
      <c r="L1238" t="str">
        <f>TEXT(NetflixData[[#This Row],[date]],"mmm")</f>
        <v>Jan</v>
      </c>
      <c r="M1238" t="str">
        <f>TEXT(NetflixData[[#This Row],[date]],"mmm yyyy")</f>
        <v>Jan 2022</v>
      </c>
      <c r="N1238" t="str">
        <f t="shared" si="57"/>
        <v>Trading Day</v>
      </c>
      <c r="O1238" t="str">
        <f t="shared" si="58"/>
        <v>No Change</v>
      </c>
      <c r="P1238" t="str">
        <f t="shared" si="59"/>
        <v>Positive</v>
      </c>
    </row>
    <row r="1239" spans="1:16" x14ac:dyDescent="0.3">
      <c r="A1239" s="1">
        <v>44592</v>
      </c>
      <c r="B1239">
        <v>42.71</v>
      </c>
      <c r="C1239">
        <v>200475000</v>
      </c>
      <c r="D1239">
        <v>6.2619999999999996</v>
      </c>
      <c r="E1239">
        <v>52</v>
      </c>
      <c r="F1239">
        <v>2.87</v>
      </c>
      <c r="G1239">
        <v>0.27379999999999999</v>
      </c>
      <c r="H1239">
        <v>0</v>
      </c>
      <c r="J1239">
        <v>1</v>
      </c>
      <c r="K1239">
        <f>YEAR(NetflixData[[#This Row],[date]])</f>
        <v>2022</v>
      </c>
      <c r="L1239" t="str">
        <f>TEXT(NetflixData[[#This Row],[date]],"mmm")</f>
        <v>Jan</v>
      </c>
      <c r="M1239" t="str">
        <f>TEXT(NetflixData[[#This Row],[date]],"mmm yyyy")</f>
        <v>Jan 2022</v>
      </c>
      <c r="N1239" t="str">
        <f t="shared" si="57"/>
        <v>Trading Day</v>
      </c>
      <c r="O1239" t="str">
        <f t="shared" si="58"/>
        <v>Positive</v>
      </c>
      <c r="P1239" t="str">
        <f t="shared" si="59"/>
        <v>Positive</v>
      </c>
    </row>
    <row r="1240" spans="1:16" x14ac:dyDescent="0.3">
      <c r="A1240" s="1">
        <v>44593</v>
      </c>
      <c r="B1240">
        <v>45.71</v>
      </c>
      <c r="C1240">
        <v>225681000</v>
      </c>
      <c r="D1240">
        <v>5.5830000000000002</v>
      </c>
      <c r="E1240">
        <v>51</v>
      </c>
      <c r="F1240">
        <v>3</v>
      </c>
      <c r="G1240">
        <v>0.13</v>
      </c>
      <c r="H1240">
        <v>0</v>
      </c>
      <c r="J1240">
        <v>1</v>
      </c>
      <c r="K1240">
        <f>YEAR(NetflixData[[#This Row],[date]])</f>
        <v>2022</v>
      </c>
      <c r="L1240" t="str">
        <f>TEXT(NetflixData[[#This Row],[date]],"mmm")</f>
        <v>Feb</v>
      </c>
      <c r="M1240" t="str">
        <f>TEXT(NetflixData[[#This Row],[date]],"mmm yyyy")</f>
        <v>Feb 2022</v>
      </c>
      <c r="N1240" t="str">
        <f t="shared" si="57"/>
        <v>Trading Day</v>
      </c>
      <c r="O1240" t="str">
        <f t="shared" si="58"/>
        <v>Positive</v>
      </c>
      <c r="P1240" t="str">
        <f t="shared" si="59"/>
        <v>Positive</v>
      </c>
    </row>
    <row r="1241" spans="1:16" x14ac:dyDescent="0.3">
      <c r="A1241" s="1">
        <v>44594</v>
      </c>
      <c r="B1241">
        <v>42.95</v>
      </c>
      <c r="C1241">
        <v>143460000</v>
      </c>
      <c r="D1241">
        <v>-4.1870000000000003</v>
      </c>
      <c r="E1241">
        <v>41</v>
      </c>
      <c r="F1241">
        <v>2.56</v>
      </c>
      <c r="G1241">
        <v>0.17860000000000001</v>
      </c>
      <c r="H1241">
        <v>0</v>
      </c>
      <c r="J1241">
        <v>1</v>
      </c>
      <c r="K1241">
        <f>YEAR(NetflixData[[#This Row],[date]])</f>
        <v>2022</v>
      </c>
      <c r="L1241" t="str">
        <f>TEXT(NetflixData[[#This Row],[date]],"mmm")</f>
        <v>Feb</v>
      </c>
      <c r="M1241" t="str">
        <f>TEXT(NetflixData[[#This Row],[date]],"mmm yyyy")</f>
        <v>Feb 2022</v>
      </c>
      <c r="N1241" t="str">
        <f t="shared" si="57"/>
        <v>Trading Day</v>
      </c>
      <c r="O1241" t="str">
        <f t="shared" si="58"/>
        <v>Negative</v>
      </c>
      <c r="P1241" t="str">
        <f t="shared" si="59"/>
        <v>Positive</v>
      </c>
    </row>
    <row r="1242" spans="1:16" x14ac:dyDescent="0.3">
      <c r="A1242" s="1">
        <v>44595</v>
      </c>
      <c r="B1242">
        <v>40.56</v>
      </c>
      <c r="C1242">
        <v>99052000</v>
      </c>
      <c r="D1242">
        <v>-3.7589999999999999</v>
      </c>
      <c r="E1242">
        <v>47</v>
      </c>
      <c r="F1242">
        <v>3</v>
      </c>
      <c r="G1242">
        <v>0.34560000000000002</v>
      </c>
      <c r="H1242">
        <v>0</v>
      </c>
      <c r="J1242">
        <v>1</v>
      </c>
      <c r="K1242">
        <f>YEAR(NetflixData[[#This Row],[date]])</f>
        <v>2022</v>
      </c>
      <c r="L1242" t="str">
        <f>TEXT(NetflixData[[#This Row],[date]],"mmm")</f>
        <v>Feb</v>
      </c>
      <c r="M1242" t="str">
        <f>TEXT(NetflixData[[#This Row],[date]],"mmm yyyy")</f>
        <v>Feb 2022</v>
      </c>
      <c r="N1242" t="str">
        <f t="shared" si="57"/>
        <v>Trading Day</v>
      </c>
      <c r="O1242" t="str">
        <f t="shared" si="58"/>
        <v>Negative</v>
      </c>
      <c r="P1242" t="str">
        <f t="shared" si="59"/>
        <v>Positive</v>
      </c>
    </row>
    <row r="1243" spans="1:16" x14ac:dyDescent="0.3">
      <c r="A1243" s="1">
        <v>44596</v>
      </c>
      <c r="B1243">
        <v>41.02</v>
      </c>
      <c r="C1243">
        <v>77898000</v>
      </c>
      <c r="D1243">
        <v>0.70199999999999996</v>
      </c>
      <c r="E1243">
        <v>30</v>
      </c>
      <c r="F1243">
        <v>2.97</v>
      </c>
      <c r="G1243">
        <v>0.14299999999999999</v>
      </c>
      <c r="H1243">
        <v>0</v>
      </c>
      <c r="J1243">
        <v>1</v>
      </c>
      <c r="K1243">
        <f>YEAR(NetflixData[[#This Row],[date]])</f>
        <v>2022</v>
      </c>
      <c r="L1243" t="str">
        <f>TEXT(NetflixData[[#This Row],[date]],"mmm")</f>
        <v>Feb</v>
      </c>
      <c r="M1243" t="str">
        <f>TEXT(NetflixData[[#This Row],[date]],"mmm yyyy")</f>
        <v>Feb 2022</v>
      </c>
      <c r="N1243" t="str">
        <f t="shared" si="57"/>
        <v>Non-Trading Day</v>
      </c>
      <c r="O1243" t="str">
        <f t="shared" si="58"/>
        <v>Positive</v>
      </c>
      <c r="P1243" t="str">
        <f t="shared" si="59"/>
        <v>Positive</v>
      </c>
    </row>
    <row r="1244" spans="1:16" x14ac:dyDescent="0.3">
      <c r="A1244" s="1">
        <v>44597</v>
      </c>
      <c r="B1244">
        <v>41.02</v>
      </c>
      <c r="C1244">
        <v>0</v>
      </c>
      <c r="D1244">
        <v>0</v>
      </c>
      <c r="E1244">
        <v>31</v>
      </c>
      <c r="F1244">
        <v>2.97</v>
      </c>
      <c r="G1244">
        <v>0.12039999999999999</v>
      </c>
      <c r="H1244">
        <v>0</v>
      </c>
      <c r="J1244">
        <v>0</v>
      </c>
      <c r="K1244">
        <f>YEAR(NetflixData[[#This Row],[date]])</f>
        <v>2022</v>
      </c>
      <c r="L1244" t="str">
        <f>TEXT(NetflixData[[#This Row],[date]],"mmm")</f>
        <v>Feb</v>
      </c>
      <c r="M1244" t="str">
        <f>TEXT(NetflixData[[#This Row],[date]],"mmm yyyy")</f>
        <v>Feb 2022</v>
      </c>
      <c r="N1244" t="str">
        <f t="shared" si="57"/>
        <v>Non-Trading Day</v>
      </c>
      <c r="O1244" t="str">
        <f t="shared" si="58"/>
        <v>No Change</v>
      </c>
      <c r="P1244" t="str">
        <f t="shared" si="59"/>
        <v>Positive</v>
      </c>
    </row>
    <row r="1245" spans="1:16" x14ac:dyDescent="0.3">
      <c r="A1245" s="1">
        <v>44598</v>
      </c>
      <c r="B1245">
        <v>41.02</v>
      </c>
      <c r="C1245">
        <v>0</v>
      </c>
      <c r="D1245">
        <v>0</v>
      </c>
      <c r="E1245">
        <v>53</v>
      </c>
      <c r="F1245">
        <v>2.79</v>
      </c>
      <c r="G1245">
        <v>0.15240000000000001</v>
      </c>
      <c r="H1245">
        <v>0</v>
      </c>
      <c r="J1245">
        <v>0</v>
      </c>
      <c r="K1245">
        <f>YEAR(NetflixData[[#This Row],[date]])</f>
        <v>2022</v>
      </c>
      <c r="L1245" t="str">
        <f>TEXT(NetflixData[[#This Row],[date]],"mmm")</f>
        <v>Feb</v>
      </c>
      <c r="M1245" t="str">
        <f>TEXT(NetflixData[[#This Row],[date]],"mmm yyyy")</f>
        <v>Feb 2022</v>
      </c>
      <c r="N1245" t="str">
        <f t="shared" si="57"/>
        <v>Trading Day</v>
      </c>
      <c r="O1245" t="str">
        <f t="shared" si="58"/>
        <v>No Change</v>
      </c>
      <c r="P1245" t="str">
        <f t="shared" si="59"/>
        <v>Positive</v>
      </c>
    </row>
    <row r="1246" spans="1:16" x14ac:dyDescent="0.3">
      <c r="A1246" s="1">
        <v>44599</v>
      </c>
      <c r="B1246">
        <v>40.21</v>
      </c>
      <c r="C1246">
        <v>82329000</v>
      </c>
      <c r="D1246">
        <v>-1.9670000000000001</v>
      </c>
      <c r="E1246">
        <v>41</v>
      </c>
      <c r="F1246">
        <v>2.56</v>
      </c>
      <c r="G1246">
        <v>0.1066</v>
      </c>
      <c r="H1246">
        <v>0</v>
      </c>
      <c r="J1246">
        <v>1</v>
      </c>
      <c r="K1246">
        <f>YEAR(NetflixData[[#This Row],[date]])</f>
        <v>2022</v>
      </c>
      <c r="L1246" t="str">
        <f>TEXT(NetflixData[[#This Row],[date]],"mmm")</f>
        <v>Feb</v>
      </c>
      <c r="M1246" t="str">
        <f>TEXT(NetflixData[[#This Row],[date]],"mmm yyyy")</f>
        <v>Feb 2022</v>
      </c>
      <c r="N1246" t="str">
        <f t="shared" si="57"/>
        <v>Trading Day</v>
      </c>
      <c r="O1246" t="str">
        <f t="shared" si="58"/>
        <v>Negative</v>
      </c>
      <c r="P1246" t="str">
        <f t="shared" si="59"/>
        <v>Positive</v>
      </c>
    </row>
    <row r="1247" spans="1:16" x14ac:dyDescent="0.3">
      <c r="A1247" s="1">
        <v>44600</v>
      </c>
      <c r="B1247">
        <v>40.35</v>
      </c>
      <c r="C1247">
        <v>68185000</v>
      </c>
      <c r="D1247">
        <v>1.3440000000000001</v>
      </c>
      <c r="E1247">
        <v>43</v>
      </c>
      <c r="F1247">
        <v>2.88</v>
      </c>
      <c r="G1247">
        <v>0.31850000000000001</v>
      </c>
      <c r="H1247">
        <v>0</v>
      </c>
      <c r="J1247">
        <v>1</v>
      </c>
      <c r="K1247">
        <f>YEAR(NetflixData[[#This Row],[date]])</f>
        <v>2022</v>
      </c>
      <c r="L1247" t="str">
        <f>TEXT(NetflixData[[#This Row],[date]],"mmm")</f>
        <v>Feb</v>
      </c>
      <c r="M1247" t="str">
        <f>TEXT(NetflixData[[#This Row],[date]],"mmm yyyy")</f>
        <v>Feb 2022</v>
      </c>
      <c r="N1247" t="str">
        <f t="shared" si="57"/>
        <v>Trading Day</v>
      </c>
      <c r="O1247" t="str">
        <f t="shared" si="58"/>
        <v>Positive</v>
      </c>
      <c r="P1247" t="str">
        <f t="shared" si="59"/>
        <v>Positive</v>
      </c>
    </row>
    <row r="1248" spans="1:16" x14ac:dyDescent="0.3">
      <c r="A1248" s="1">
        <v>44601</v>
      </c>
      <c r="B1248">
        <v>41.29</v>
      </c>
      <c r="C1248">
        <v>77382000</v>
      </c>
      <c r="D1248">
        <v>1.038</v>
      </c>
      <c r="E1248">
        <v>40</v>
      </c>
      <c r="F1248">
        <v>2.82</v>
      </c>
      <c r="G1248">
        <v>0.2089</v>
      </c>
      <c r="H1248">
        <v>0</v>
      </c>
      <c r="J1248">
        <v>1</v>
      </c>
      <c r="K1248">
        <f>YEAR(NetflixData[[#This Row],[date]])</f>
        <v>2022</v>
      </c>
      <c r="L1248" t="str">
        <f>TEXT(NetflixData[[#This Row],[date]],"mmm")</f>
        <v>Feb</v>
      </c>
      <c r="M1248" t="str">
        <f>TEXT(NetflixData[[#This Row],[date]],"mmm yyyy")</f>
        <v>Feb 2022</v>
      </c>
      <c r="N1248" t="str">
        <f t="shared" si="57"/>
        <v>Trading Day</v>
      </c>
      <c r="O1248" t="str">
        <f t="shared" si="58"/>
        <v>Positive</v>
      </c>
      <c r="P1248" t="str">
        <f t="shared" si="59"/>
        <v>Positive</v>
      </c>
    </row>
    <row r="1249" spans="1:16" x14ac:dyDescent="0.3">
      <c r="A1249" s="1">
        <v>44602</v>
      </c>
      <c r="B1249">
        <v>40.630000000000003</v>
      </c>
      <c r="C1249">
        <v>84529000</v>
      </c>
      <c r="D1249">
        <v>1.0369999999999999</v>
      </c>
      <c r="E1249">
        <v>40</v>
      </c>
      <c r="F1249">
        <v>3</v>
      </c>
      <c r="G1249">
        <v>0.23780000000000001</v>
      </c>
      <c r="H1249">
        <v>0</v>
      </c>
      <c r="J1249">
        <v>1</v>
      </c>
      <c r="K1249">
        <f>YEAR(NetflixData[[#This Row],[date]])</f>
        <v>2022</v>
      </c>
      <c r="L1249" t="str">
        <f>TEXT(NetflixData[[#This Row],[date]],"mmm")</f>
        <v>Feb</v>
      </c>
      <c r="M1249" t="str">
        <f>TEXT(NetflixData[[#This Row],[date]],"mmm yyyy")</f>
        <v>Feb 2022</v>
      </c>
      <c r="N1249" t="str">
        <f t="shared" si="57"/>
        <v>Trading Day</v>
      </c>
      <c r="O1249" t="str">
        <f t="shared" si="58"/>
        <v>Positive</v>
      </c>
      <c r="P1249" t="str">
        <f t="shared" si="59"/>
        <v>Positive</v>
      </c>
    </row>
    <row r="1250" spans="1:16" x14ac:dyDescent="0.3">
      <c r="A1250" s="1">
        <v>44603</v>
      </c>
      <c r="B1250">
        <v>39.130000000000003</v>
      </c>
      <c r="C1250">
        <v>75589000</v>
      </c>
      <c r="D1250">
        <v>-3.4590000000000001</v>
      </c>
      <c r="E1250">
        <v>37</v>
      </c>
      <c r="F1250">
        <v>3.24</v>
      </c>
      <c r="G1250">
        <v>0.25600000000000001</v>
      </c>
      <c r="H1250">
        <v>0</v>
      </c>
      <c r="J1250">
        <v>1</v>
      </c>
      <c r="K1250">
        <f>YEAR(NetflixData[[#This Row],[date]])</f>
        <v>2022</v>
      </c>
      <c r="L1250" t="str">
        <f>TEXT(NetflixData[[#This Row],[date]],"mmm")</f>
        <v>Feb</v>
      </c>
      <c r="M1250" t="str">
        <f>TEXT(NetflixData[[#This Row],[date]],"mmm yyyy")</f>
        <v>Feb 2022</v>
      </c>
      <c r="N1250" t="str">
        <f t="shared" si="57"/>
        <v>Non-Trading Day</v>
      </c>
      <c r="O1250" t="str">
        <f t="shared" si="58"/>
        <v>Negative</v>
      </c>
      <c r="P1250" t="str">
        <f t="shared" si="59"/>
        <v>Positive</v>
      </c>
    </row>
    <row r="1251" spans="1:16" x14ac:dyDescent="0.3">
      <c r="A1251" s="1">
        <v>44604</v>
      </c>
      <c r="B1251">
        <v>39.130000000000003</v>
      </c>
      <c r="C1251">
        <v>0</v>
      </c>
      <c r="D1251">
        <v>0</v>
      </c>
      <c r="E1251">
        <v>37</v>
      </c>
      <c r="F1251">
        <v>2.5099999999999998</v>
      </c>
      <c r="G1251">
        <v>9.2100000000000001E-2</v>
      </c>
      <c r="H1251">
        <v>0</v>
      </c>
      <c r="J1251">
        <v>0</v>
      </c>
      <c r="K1251">
        <f>YEAR(NetflixData[[#This Row],[date]])</f>
        <v>2022</v>
      </c>
      <c r="L1251" t="str">
        <f>TEXT(NetflixData[[#This Row],[date]],"mmm")</f>
        <v>Feb</v>
      </c>
      <c r="M1251" t="str">
        <f>TEXT(NetflixData[[#This Row],[date]],"mmm yyyy")</f>
        <v>Feb 2022</v>
      </c>
      <c r="N1251" t="str">
        <f t="shared" si="57"/>
        <v>Non-Trading Day</v>
      </c>
      <c r="O1251" t="str">
        <f t="shared" si="58"/>
        <v>No Change</v>
      </c>
      <c r="P1251" t="str">
        <f t="shared" si="59"/>
        <v>Neutral</v>
      </c>
    </row>
    <row r="1252" spans="1:16" x14ac:dyDescent="0.3">
      <c r="A1252" s="1">
        <v>44605</v>
      </c>
      <c r="B1252">
        <v>39.130000000000003</v>
      </c>
      <c r="C1252">
        <v>0</v>
      </c>
      <c r="D1252">
        <v>0</v>
      </c>
      <c r="E1252">
        <v>42</v>
      </c>
      <c r="F1252">
        <v>2.67</v>
      </c>
      <c r="G1252">
        <v>0.2298</v>
      </c>
      <c r="H1252">
        <v>0</v>
      </c>
      <c r="J1252">
        <v>0</v>
      </c>
      <c r="K1252">
        <f>YEAR(NetflixData[[#This Row],[date]])</f>
        <v>2022</v>
      </c>
      <c r="L1252" t="str">
        <f>TEXT(NetflixData[[#This Row],[date]],"mmm")</f>
        <v>Feb</v>
      </c>
      <c r="M1252" t="str">
        <f>TEXT(NetflixData[[#This Row],[date]],"mmm yyyy")</f>
        <v>Feb 2022</v>
      </c>
      <c r="N1252" t="str">
        <f t="shared" si="57"/>
        <v>Trading Day</v>
      </c>
      <c r="O1252" t="str">
        <f t="shared" si="58"/>
        <v>No Change</v>
      </c>
      <c r="P1252" t="str">
        <f t="shared" si="59"/>
        <v>Positive</v>
      </c>
    </row>
    <row r="1253" spans="1:16" x14ac:dyDescent="0.3">
      <c r="A1253" s="1">
        <v>44606</v>
      </c>
      <c r="B1253">
        <v>39.659999999999997</v>
      </c>
      <c r="C1253">
        <v>72022000</v>
      </c>
      <c r="D1253">
        <v>2.3170000000000002</v>
      </c>
      <c r="E1253">
        <v>39</v>
      </c>
      <c r="F1253">
        <v>2.67</v>
      </c>
      <c r="G1253">
        <v>0.19670000000000001</v>
      </c>
      <c r="H1253">
        <v>0</v>
      </c>
      <c r="J1253">
        <v>1</v>
      </c>
      <c r="K1253">
        <f>YEAR(NetflixData[[#This Row],[date]])</f>
        <v>2022</v>
      </c>
      <c r="L1253" t="str">
        <f>TEXT(NetflixData[[#This Row],[date]],"mmm")</f>
        <v>Feb</v>
      </c>
      <c r="M1253" t="str">
        <f>TEXT(NetflixData[[#This Row],[date]],"mmm yyyy")</f>
        <v>Feb 2022</v>
      </c>
      <c r="N1253" t="str">
        <f t="shared" si="57"/>
        <v>Trading Day</v>
      </c>
      <c r="O1253" t="str">
        <f t="shared" si="58"/>
        <v>Positive</v>
      </c>
      <c r="P1253" t="str">
        <f t="shared" si="59"/>
        <v>Positive</v>
      </c>
    </row>
    <row r="1254" spans="1:16" x14ac:dyDescent="0.3">
      <c r="A1254" s="1">
        <v>44607</v>
      </c>
      <c r="B1254">
        <v>40.75</v>
      </c>
      <c r="C1254">
        <v>53923000</v>
      </c>
      <c r="D1254">
        <v>0.90900000000000003</v>
      </c>
      <c r="E1254">
        <v>40</v>
      </c>
      <c r="F1254">
        <v>2.75</v>
      </c>
      <c r="G1254">
        <v>0.32540000000000002</v>
      </c>
      <c r="H1254">
        <v>0</v>
      </c>
      <c r="J1254">
        <v>1</v>
      </c>
      <c r="K1254">
        <f>YEAR(NetflixData[[#This Row],[date]])</f>
        <v>2022</v>
      </c>
      <c r="L1254" t="str">
        <f>TEXT(NetflixData[[#This Row],[date]],"mmm")</f>
        <v>Feb</v>
      </c>
      <c r="M1254" t="str">
        <f>TEXT(NetflixData[[#This Row],[date]],"mmm yyyy")</f>
        <v>Feb 2022</v>
      </c>
      <c r="N1254" t="str">
        <f t="shared" si="57"/>
        <v>Trading Day</v>
      </c>
      <c r="O1254" t="str">
        <f t="shared" si="58"/>
        <v>Positive</v>
      </c>
      <c r="P1254" t="str">
        <f t="shared" si="59"/>
        <v>Positive</v>
      </c>
    </row>
    <row r="1255" spans="1:16" x14ac:dyDescent="0.3">
      <c r="A1255" s="1">
        <v>44608</v>
      </c>
      <c r="B1255">
        <v>39.81</v>
      </c>
      <c r="C1255">
        <v>52777000</v>
      </c>
      <c r="D1255">
        <v>-0.85899999999999999</v>
      </c>
      <c r="E1255">
        <v>42</v>
      </c>
      <c r="F1255">
        <v>2.5499999999999998</v>
      </c>
      <c r="G1255">
        <v>1.03E-2</v>
      </c>
      <c r="H1255">
        <v>0</v>
      </c>
      <c r="J1255">
        <v>1</v>
      </c>
      <c r="K1255">
        <f>YEAR(NetflixData[[#This Row],[date]])</f>
        <v>2022</v>
      </c>
      <c r="L1255" t="str">
        <f>TEXT(NetflixData[[#This Row],[date]],"mmm")</f>
        <v>Feb</v>
      </c>
      <c r="M1255" t="str">
        <f>TEXT(NetflixData[[#This Row],[date]],"mmm yyyy")</f>
        <v>Feb 2022</v>
      </c>
      <c r="N1255" t="str">
        <f t="shared" si="57"/>
        <v>Trading Day</v>
      </c>
      <c r="O1255" t="str">
        <f t="shared" si="58"/>
        <v>Negative</v>
      </c>
      <c r="P1255" t="str">
        <f t="shared" si="59"/>
        <v>Neutral</v>
      </c>
    </row>
    <row r="1256" spans="1:16" x14ac:dyDescent="0.3">
      <c r="A1256" s="1">
        <v>44609</v>
      </c>
      <c r="B1256">
        <v>38.67</v>
      </c>
      <c r="C1256">
        <v>46692000</v>
      </c>
      <c r="D1256">
        <v>-1.92</v>
      </c>
      <c r="E1256">
        <v>43</v>
      </c>
      <c r="F1256">
        <v>2.21</v>
      </c>
      <c r="G1256">
        <v>0.06</v>
      </c>
      <c r="H1256">
        <v>0</v>
      </c>
      <c r="J1256">
        <v>1</v>
      </c>
      <c r="K1256">
        <f>YEAR(NetflixData[[#This Row],[date]])</f>
        <v>2022</v>
      </c>
      <c r="L1256" t="str">
        <f>TEXT(NetflixData[[#This Row],[date]],"mmm")</f>
        <v>Feb</v>
      </c>
      <c r="M1256" t="str">
        <f>TEXT(NetflixData[[#This Row],[date]],"mmm yyyy")</f>
        <v>Feb 2022</v>
      </c>
      <c r="N1256" t="str">
        <f t="shared" si="57"/>
        <v>Trading Day</v>
      </c>
      <c r="O1256" t="str">
        <f t="shared" si="58"/>
        <v>Negative</v>
      </c>
      <c r="P1256" t="str">
        <f t="shared" si="59"/>
        <v>Neutral</v>
      </c>
    </row>
    <row r="1257" spans="1:16" x14ac:dyDescent="0.3">
      <c r="A1257" s="1">
        <v>44610</v>
      </c>
      <c r="B1257">
        <v>39.130000000000003</v>
      </c>
      <c r="C1257">
        <v>68017000</v>
      </c>
      <c r="D1257">
        <v>-0.316</v>
      </c>
      <c r="E1257">
        <v>54</v>
      </c>
      <c r="F1257">
        <v>2.65</v>
      </c>
      <c r="G1257">
        <v>0.21010000000000001</v>
      </c>
      <c r="H1257">
        <v>0</v>
      </c>
      <c r="J1257">
        <v>1</v>
      </c>
      <c r="K1257">
        <f>YEAR(NetflixData[[#This Row],[date]])</f>
        <v>2022</v>
      </c>
      <c r="L1257" t="str">
        <f>TEXT(NetflixData[[#This Row],[date]],"mmm")</f>
        <v>Feb</v>
      </c>
      <c r="M1257" t="str">
        <f>TEXT(NetflixData[[#This Row],[date]],"mmm yyyy")</f>
        <v>Feb 2022</v>
      </c>
      <c r="N1257" t="str">
        <f t="shared" si="57"/>
        <v>Non-Trading Day</v>
      </c>
      <c r="O1257" t="str">
        <f t="shared" si="58"/>
        <v>Negative</v>
      </c>
      <c r="P1257" t="str">
        <f t="shared" si="59"/>
        <v>Positive</v>
      </c>
    </row>
    <row r="1258" spans="1:16" x14ac:dyDescent="0.3">
      <c r="A1258" s="1">
        <v>44611</v>
      </c>
      <c r="B1258">
        <v>39.130000000000003</v>
      </c>
      <c r="C1258">
        <v>0</v>
      </c>
      <c r="D1258">
        <v>0</v>
      </c>
      <c r="E1258">
        <v>61</v>
      </c>
      <c r="F1258">
        <v>2.4300000000000002</v>
      </c>
      <c r="G1258">
        <v>9.7900000000000001E-2</v>
      </c>
      <c r="H1258">
        <v>0</v>
      </c>
      <c r="J1258">
        <v>0</v>
      </c>
      <c r="K1258">
        <f>YEAR(NetflixData[[#This Row],[date]])</f>
        <v>2022</v>
      </c>
      <c r="L1258" t="str">
        <f>TEXT(NetflixData[[#This Row],[date]],"mmm")</f>
        <v>Feb</v>
      </c>
      <c r="M1258" t="str">
        <f>TEXT(NetflixData[[#This Row],[date]],"mmm yyyy")</f>
        <v>Feb 2022</v>
      </c>
      <c r="N1258" t="str">
        <f t="shared" si="57"/>
        <v>Non-Trading Day</v>
      </c>
      <c r="O1258" t="str">
        <f t="shared" si="58"/>
        <v>No Change</v>
      </c>
      <c r="P1258" t="str">
        <f t="shared" si="59"/>
        <v>Neutral</v>
      </c>
    </row>
    <row r="1259" spans="1:16" x14ac:dyDescent="0.3">
      <c r="A1259" s="1">
        <v>44612</v>
      </c>
      <c r="B1259">
        <v>39.130000000000003</v>
      </c>
      <c r="C1259">
        <v>0</v>
      </c>
      <c r="D1259">
        <v>0</v>
      </c>
      <c r="E1259">
        <v>55</v>
      </c>
      <c r="F1259">
        <v>2.96</v>
      </c>
      <c r="G1259">
        <v>0.27700000000000002</v>
      </c>
      <c r="H1259">
        <v>0</v>
      </c>
      <c r="J1259">
        <v>0</v>
      </c>
      <c r="K1259">
        <f>YEAR(NetflixData[[#This Row],[date]])</f>
        <v>2022</v>
      </c>
      <c r="L1259" t="str">
        <f>TEXT(NetflixData[[#This Row],[date]],"mmm")</f>
        <v>Feb</v>
      </c>
      <c r="M1259" t="str">
        <f>TEXT(NetflixData[[#This Row],[date]],"mmm yyyy")</f>
        <v>Feb 2022</v>
      </c>
      <c r="N1259" t="str">
        <f t="shared" si="57"/>
        <v>Non-Trading Day</v>
      </c>
      <c r="O1259" t="str">
        <f t="shared" si="58"/>
        <v>No Change</v>
      </c>
      <c r="P1259" t="str">
        <f t="shared" si="59"/>
        <v>Positive</v>
      </c>
    </row>
    <row r="1260" spans="1:16" x14ac:dyDescent="0.3">
      <c r="A1260" s="1">
        <v>44613</v>
      </c>
      <c r="B1260">
        <v>39.130000000000003</v>
      </c>
      <c r="C1260">
        <v>0</v>
      </c>
      <c r="D1260">
        <v>0</v>
      </c>
      <c r="E1260">
        <v>47</v>
      </c>
      <c r="F1260">
        <v>2.89</v>
      </c>
      <c r="G1260">
        <v>0.35139999999999999</v>
      </c>
      <c r="H1260">
        <v>0</v>
      </c>
      <c r="J1260">
        <v>0</v>
      </c>
      <c r="K1260">
        <f>YEAR(NetflixData[[#This Row],[date]])</f>
        <v>2022</v>
      </c>
      <c r="L1260" t="str">
        <f>TEXT(NetflixData[[#This Row],[date]],"mmm")</f>
        <v>Feb</v>
      </c>
      <c r="M1260" t="str">
        <f>TEXT(NetflixData[[#This Row],[date]],"mmm yyyy")</f>
        <v>Feb 2022</v>
      </c>
      <c r="N1260" t="str">
        <f t="shared" si="57"/>
        <v>Trading Day</v>
      </c>
      <c r="O1260" t="str">
        <f t="shared" si="58"/>
        <v>No Change</v>
      </c>
      <c r="P1260" t="str">
        <f t="shared" si="59"/>
        <v>Positive</v>
      </c>
    </row>
    <row r="1261" spans="1:16" x14ac:dyDescent="0.3">
      <c r="A1261" s="1">
        <v>44614</v>
      </c>
      <c r="B1261">
        <v>37.74</v>
      </c>
      <c r="C1261">
        <v>66975000</v>
      </c>
      <c r="D1261">
        <v>-2.9750000000000001</v>
      </c>
      <c r="E1261">
        <v>50</v>
      </c>
      <c r="F1261">
        <v>1.9</v>
      </c>
      <c r="G1261">
        <v>4.4299999999999999E-2</v>
      </c>
      <c r="H1261">
        <v>0</v>
      </c>
      <c r="J1261">
        <v>1</v>
      </c>
      <c r="K1261">
        <f>YEAR(NetflixData[[#This Row],[date]])</f>
        <v>2022</v>
      </c>
      <c r="L1261" t="str">
        <f>TEXT(NetflixData[[#This Row],[date]],"mmm")</f>
        <v>Feb</v>
      </c>
      <c r="M1261" t="str">
        <f>TEXT(NetflixData[[#This Row],[date]],"mmm yyyy")</f>
        <v>Feb 2022</v>
      </c>
      <c r="N1261" t="str">
        <f t="shared" si="57"/>
        <v>Trading Day</v>
      </c>
      <c r="O1261" t="str">
        <f t="shared" si="58"/>
        <v>Negative</v>
      </c>
      <c r="P1261" t="str">
        <f t="shared" si="59"/>
        <v>Neutral</v>
      </c>
    </row>
    <row r="1262" spans="1:16" x14ac:dyDescent="0.3">
      <c r="A1262" s="1">
        <v>44615</v>
      </c>
      <c r="B1262">
        <v>36.75</v>
      </c>
      <c r="C1262">
        <v>46143000</v>
      </c>
      <c r="D1262">
        <v>-3.9870000000000001</v>
      </c>
      <c r="E1262">
        <v>53</v>
      </c>
      <c r="F1262">
        <v>2.5099999999999998</v>
      </c>
      <c r="G1262">
        <v>9.69E-2</v>
      </c>
      <c r="H1262">
        <v>0</v>
      </c>
      <c r="J1262">
        <v>1</v>
      </c>
      <c r="K1262">
        <f>YEAR(NetflixData[[#This Row],[date]])</f>
        <v>2022</v>
      </c>
      <c r="L1262" t="str">
        <f>TEXT(NetflixData[[#This Row],[date]],"mmm")</f>
        <v>Feb</v>
      </c>
      <c r="M1262" t="str">
        <f>TEXT(NetflixData[[#This Row],[date]],"mmm yyyy")</f>
        <v>Feb 2022</v>
      </c>
      <c r="N1262" t="str">
        <f t="shared" si="57"/>
        <v>Trading Day</v>
      </c>
      <c r="O1262" t="str">
        <f t="shared" si="58"/>
        <v>Negative</v>
      </c>
      <c r="P1262" t="str">
        <f t="shared" si="59"/>
        <v>Neutral</v>
      </c>
    </row>
    <row r="1263" spans="1:16" x14ac:dyDescent="0.3">
      <c r="A1263" s="1">
        <v>44616</v>
      </c>
      <c r="B1263">
        <v>39</v>
      </c>
      <c r="C1263">
        <v>70687000</v>
      </c>
      <c r="D1263">
        <v>9.84</v>
      </c>
      <c r="E1263">
        <v>77</v>
      </c>
      <c r="F1263">
        <v>2.3199999999999998</v>
      </c>
      <c r="G1263">
        <v>0.11310000000000001</v>
      </c>
      <c r="H1263">
        <v>0</v>
      </c>
      <c r="J1263">
        <v>1</v>
      </c>
      <c r="K1263">
        <f>YEAR(NetflixData[[#This Row],[date]])</f>
        <v>2022</v>
      </c>
      <c r="L1263" t="str">
        <f>TEXT(NetflixData[[#This Row],[date]],"mmm")</f>
        <v>Feb</v>
      </c>
      <c r="M1263" t="str">
        <f>TEXT(NetflixData[[#This Row],[date]],"mmm yyyy")</f>
        <v>Feb 2022</v>
      </c>
      <c r="N1263" t="str">
        <f t="shared" si="57"/>
        <v>Trading Day</v>
      </c>
      <c r="O1263" t="str">
        <f t="shared" si="58"/>
        <v>Positive</v>
      </c>
      <c r="P1263" t="str">
        <f t="shared" si="59"/>
        <v>Positive</v>
      </c>
    </row>
    <row r="1264" spans="1:16" x14ac:dyDescent="0.3">
      <c r="A1264" s="1">
        <v>44617</v>
      </c>
      <c r="B1264">
        <v>39.08</v>
      </c>
      <c r="C1264">
        <v>48416000</v>
      </c>
      <c r="D1264">
        <v>1.0840000000000001</v>
      </c>
      <c r="E1264">
        <v>54</v>
      </c>
      <c r="F1264">
        <v>2.5</v>
      </c>
      <c r="G1264">
        <v>8.8300000000000003E-2</v>
      </c>
      <c r="H1264">
        <v>0</v>
      </c>
      <c r="J1264">
        <v>1</v>
      </c>
      <c r="K1264">
        <f>YEAR(NetflixData[[#This Row],[date]])</f>
        <v>2022</v>
      </c>
      <c r="L1264" t="str">
        <f>TEXT(NetflixData[[#This Row],[date]],"mmm")</f>
        <v>Feb</v>
      </c>
      <c r="M1264" t="str">
        <f>TEXT(NetflixData[[#This Row],[date]],"mmm yyyy")</f>
        <v>Feb 2022</v>
      </c>
      <c r="N1264" t="str">
        <f t="shared" si="57"/>
        <v>Non-Trading Day</v>
      </c>
      <c r="O1264" t="str">
        <f t="shared" si="58"/>
        <v>Positive</v>
      </c>
      <c r="P1264" t="str">
        <f t="shared" si="59"/>
        <v>Neutral</v>
      </c>
    </row>
    <row r="1265" spans="1:16" x14ac:dyDescent="0.3">
      <c r="A1265" s="1">
        <v>44618</v>
      </c>
      <c r="B1265">
        <v>39.08</v>
      </c>
      <c r="C1265">
        <v>0</v>
      </c>
      <c r="D1265">
        <v>0</v>
      </c>
      <c r="E1265">
        <v>55</v>
      </c>
      <c r="F1265">
        <v>2.84</v>
      </c>
      <c r="G1265">
        <v>0.18990000000000001</v>
      </c>
      <c r="H1265">
        <v>0</v>
      </c>
      <c r="J1265">
        <v>0</v>
      </c>
      <c r="K1265">
        <f>YEAR(NetflixData[[#This Row],[date]])</f>
        <v>2022</v>
      </c>
      <c r="L1265" t="str">
        <f>TEXT(NetflixData[[#This Row],[date]],"mmm")</f>
        <v>Feb</v>
      </c>
      <c r="M1265" t="str">
        <f>TEXT(NetflixData[[#This Row],[date]],"mmm yyyy")</f>
        <v>Feb 2022</v>
      </c>
      <c r="N1265" t="str">
        <f t="shared" si="57"/>
        <v>Non-Trading Day</v>
      </c>
      <c r="O1265" t="str">
        <f t="shared" si="58"/>
        <v>No Change</v>
      </c>
      <c r="P1265" t="str">
        <f t="shared" si="59"/>
        <v>Positive</v>
      </c>
    </row>
    <row r="1266" spans="1:16" x14ac:dyDescent="0.3">
      <c r="A1266" s="1">
        <v>44619</v>
      </c>
      <c r="B1266">
        <v>39.08</v>
      </c>
      <c r="C1266">
        <v>0</v>
      </c>
      <c r="D1266">
        <v>0</v>
      </c>
      <c r="E1266">
        <v>67</v>
      </c>
      <c r="F1266">
        <v>2.64</v>
      </c>
      <c r="G1266">
        <v>0.1988</v>
      </c>
      <c r="H1266">
        <v>0</v>
      </c>
      <c r="J1266">
        <v>0</v>
      </c>
      <c r="K1266">
        <f>YEAR(NetflixData[[#This Row],[date]])</f>
        <v>2022</v>
      </c>
      <c r="L1266" t="str">
        <f>TEXT(NetflixData[[#This Row],[date]],"mmm")</f>
        <v>Feb</v>
      </c>
      <c r="M1266" t="str">
        <f>TEXT(NetflixData[[#This Row],[date]],"mmm yyyy")</f>
        <v>Feb 2022</v>
      </c>
      <c r="N1266" t="str">
        <f t="shared" si="57"/>
        <v>Trading Day</v>
      </c>
      <c r="O1266" t="str">
        <f t="shared" si="58"/>
        <v>No Change</v>
      </c>
      <c r="P1266" t="str">
        <f t="shared" si="59"/>
        <v>Positive</v>
      </c>
    </row>
    <row r="1267" spans="1:16" x14ac:dyDescent="0.3">
      <c r="A1267" s="1">
        <v>44620</v>
      </c>
      <c r="B1267">
        <v>39.450000000000003</v>
      </c>
      <c r="C1267">
        <v>50350000</v>
      </c>
      <c r="D1267">
        <v>1.8560000000000001</v>
      </c>
      <c r="E1267">
        <v>35</v>
      </c>
      <c r="F1267">
        <v>2.54</v>
      </c>
      <c r="G1267">
        <v>2.3800000000000002E-2</v>
      </c>
      <c r="H1267">
        <v>0</v>
      </c>
      <c r="J1267">
        <v>1</v>
      </c>
      <c r="K1267">
        <f>YEAR(NetflixData[[#This Row],[date]])</f>
        <v>2022</v>
      </c>
      <c r="L1267" t="str">
        <f>TEXT(NetflixData[[#This Row],[date]],"mmm")</f>
        <v>Feb</v>
      </c>
      <c r="M1267" t="str">
        <f>TEXT(NetflixData[[#This Row],[date]],"mmm yyyy")</f>
        <v>Feb 2022</v>
      </c>
      <c r="N1267" t="str">
        <f t="shared" si="57"/>
        <v>Trading Day</v>
      </c>
      <c r="O1267" t="str">
        <f t="shared" si="58"/>
        <v>Positive</v>
      </c>
      <c r="P1267" t="str">
        <f t="shared" si="59"/>
        <v>Neutral</v>
      </c>
    </row>
    <row r="1268" spans="1:16" x14ac:dyDescent="0.3">
      <c r="A1268" s="1">
        <v>44621</v>
      </c>
      <c r="B1268">
        <v>38.619999999999997</v>
      </c>
      <c r="C1268">
        <v>32904000</v>
      </c>
      <c r="D1268">
        <v>-1.369</v>
      </c>
      <c r="E1268">
        <v>53</v>
      </c>
      <c r="F1268">
        <v>2.5099999999999998</v>
      </c>
      <c r="G1268">
        <v>0.1047</v>
      </c>
      <c r="H1268">
        <v>0</v>
      </c>
      <c r="J1268">
        <v>1</v>
      </c>
      <c r="K1268">
        <f>YEAR(NetflixData[[#This Row],[date]])</f>
        <v>2022</v>
      </c>
      <c r="L1268" t="str">
        <f>TEXT(NetflixData[[#This Row],[date]],"mmm")</f>
        <v>Mar</v>
      </c>
      <c r="M1268" t="str">
        <f>TEXT(NetflixData[[#This Row],[date]],"mmm yyyy")</f>
        <v>Mar 2022</v>
      </c>
      <c r="N1268" t="str">
        <f t="shared" si="57"/>
        <v>Trading Day</v>
      </c>
      <c r="O1268" t="str">
        <f t="shared" si="58"/>
        <v>Negative</v>
      </c>
      <c r="P1268" t="str">
        <f t="shared" si="59"/>
        <v>Positive</v>
      </c>
    </row>
    <row r="1269" spans="1:16" x14ac:dyDescent="0.3">
      <c r="A1269" s="1">
        <v>44622</v>
      </c>
      <c r="B1269">
        <v>38</v>
      </c>
      <c r="C1269">
        <v>53568000</v>
      </c>
      <c r="D1269">
        <v>-2.2879999999999998</v>
      </c>
      <c r="E1269">
        <v>38</v>
      </c>
      <c r="F1269">
        <v>2.42</v>
      </c>
      <c r="G1269">
        <v>0.18809999999999999</v>
      </c>
      <c r="H1269">
        <v>0</v>
      </c>
      <c r="J1269">
        <v>1</v>
      </c>
      <c r="K1269">
        <f>YEAR(NetflixData[[#This Row],[date]])</f>
        <v>2022</v>
      </c>
      <c r="L1269" t="str">
        <f>TEXT(NetflixData[[#This Row],[date]],"mmm")</f>
        <v>Mar</v>
      </c>
      <c r="M1269" t="str">
        <f>TEXT(NetflixData[[#This Row],[date]],"mmm yyyy")</f>
        <v>Mar 2022</v>
      </c>
      <c r="N1269" t="str">
        <f t="shared" si="57"/>
        <v>Trading Day</v>
      </c>
      <c r="O1269" t="str">
        <f t="shared" si="58"/>
        <v>Negative</v>
      </c>
      <c r="P1269" t="str">
        <f t="shared" si="59"/>
        <v>Positive</v>
      </c>
    </row>
    <row r="1270" spans="1:16" x14ac:dyDescent="0.3">
      <c r="A1270" s="1">
        <v>44623</v>
      </c>
      <c r="B1270">
        <v>36.81</v>
      </c>
      <c r="C1270">
        <v>60768000</v>
      </c>
      <c r="D1270">
        <v>-4.6449999999999996</v>
      </c>
      <c r="E1270">
        <v>35</v>
      </c>
      <c r="F1270">
        <v>2.71</v>
      </c>
      <c r="G1270">
        <v>5.5500000000000001E-2</v>
      </c>
      <c r="H1270">
        <v>0</v>
      </c>
      <c r="J1270">
        <v>1</v>
      </c>
      <c r="K1270">
        <f>YEAR(NetflixData[[#This Row],[date]])</f>
        <v>2022</v>
      </c>
      <c r="L1270" t="str">
        <f>TEXT(NetflixData[[#This Row],[date]],"mmm")</f>
        <v>Mar</v>
      </c>
      <c r="M1270" t="str">
        <f>TEXT(NetflixData[[#This Row],[date]],"mmm yyyy")</f>
        <v>Mar 2022</v>
      </c>
      <c r="N1270" t="str">
        <f t="shared" si="57"/>
        <v>Trading Day</v>
      </c>
      <c r="O1270" t="str">
        <f t="shared" si="58"/>
        <v>Negative</v>
      </c>
      <c r="P1270" t="str">
        <f t="shared" si="59"/>
        <v>Neutral</v>
      </c>
    </row>
    <row r="1271" spans="1:16" x14ac:dyDescent="0.3">
      <c r="A1271" s="1">
        <v>44624</v>
      </c>
      <c r="B1271">
        <v>36.17</v>
      </c>
      <c r="C1271">
        <v>53255000</v>
      </c>
      <c r="D1271">
        <v>-1.704</v>
      </c>
      <c r="E1271">
        <v>37</v>
      </c>
      <c r="F1271">
        <v>2.7</v>
      </c>
      <c r="G1271">
        <v>0.1119</v>
      </c>
      <c r="H1271">
        <v>0</v>
      </c>
      <c r="J1271">
        <v>1</v>
      </c>
      <c r="K1271">
        <f>YEAR(NetflixData[[#This Row],[date]])</f>
        <v>2022</v>
      </c>
      <c r="L1271" t="str">
        <f>TEXT(NetflixData[[#This Row],[date]],"mmm")</f>
        <v>Mar</v>
      </c>
      <c r="M1271" t="str">
        <f>TEXT(NetflixData[[#This Row],[date]],"mmm yyyy")</f>
        <v>Mar 2022</v>
      </c>
      <c r="N1271" t="str">
        <f t="shared" si="57"/>
        <v>Non-Trading Day</v>
      </c>
      <c r="O1271" t="str">
        <f t="shared" si="58"/>
        <v>Negative</v>
      </c>
      <c r="P1271" t="str">
        <f t="shared" si="59"/>
        <v>Positive</v>
      </c>
    </row>
    <row r="1272" spans="1:16" x14ac:dyDescent="0.3">
      <c r="A1272" s="1">
        <v>44625</v>
      </c>
      <c r="B1272">
        <v>36.17</v>
      </c>
      <c r="C1272">
        <v>0</v>
      </c>
      <c r="D1272">
        <v>0</v>
      </c>
      <c r="E1272">
        <v>31</v>
      </c>
      <c r="F1272">
        <v>2.48</v>
      </c>
      <c r="G1272">
        <v>0.17130000000000001</v>
      </c>
      <c r="H1272">
        <v>0</v>
      </c>
      <c r="J1272">
        <v>0</v>
      </c>
      <c r="K1272">
        <f>YEAR(NetflixData[[#This Row],[date]])</f>
        <v>2022</v>
      </c>
      <c r="L1272" t="str">
        <f>TEXT(NetflixData[[#This Row],[date]],"mmm")</f>
        <v>Mar</v>
      </c>
      <c r="M1272" t="str">
        <f>TEXT(NetflixData[[#This Row],[date]],"mmm yyyy")</f>
        <v>Mar 2022</v>
      </c>
      <c r="N1272" t="str">
        <f t="shared" si="57"/>
        <v>Non-Trading Day</v>
      </c>
      <c r="O1272" t="str">
        <f t="shared" si="58"/>
        <v>No Change</v>
      </c>
      <c r="P1272" t="str">
        <f t="shared" si="59"/>
        <v>Positive</v>
      </c>
    </row>
    <row r="1273" spans="1:16" x14ac:dyDescent="0.3">
      <c r="A1273" s="1">
        <v>44626</v>
      </c>
      <c r="B1273">
        <v>36.17</v>
      </c>
      <c r="C1273">
        <v>0</v>
      </c>
      <c r="D1273">
        <v>0</v>
      </c>
      <c r="E1273">
        <v>42</v>
      </c>
      <c r="F1273">
        <v>2.62</v>
      </c>
      <c r="G1273">
        <v>0.27450000000000002</v>
      </c>
      <c r="H1273">
        <v>0</v>
      </c>
      <c r="J1273">
        <v>0</v>
      </c>
      <c r="K1273">
        <f>YEAR(NetflixData[[#This Row],[date]])</f>
        <v>2022</v>
      </c>
      <c r="L1273" t="str">
        <f>TEXT(NetflixData[[#This Row],[date]],"mmm")</f>
        <v>Mar</v>
      </c>
      <c r="M1273" t="str">
        <f>TEXT(NetflixData[[#This Row],[date]],"mmm yyyy")</f>
        <v>Mar 2022</v>
      </c>
      <c r="N1273" t="str">
        <f t="shared" si="57"/>
        <v>Trading Day</v>
      </c>
      <c r="O1273" t="str">
        <f t="shared" si="58"/>
        <v>No Change</v>
      </c>
      <c r="P1273" t="str">
        <f t="shared" si="59"/>
        <v>Positive</v>
      </c>
    </row>
    <row r="1274" spans="1:16" x14ac:dyDescent="0.3">
      <c r="A1274" s="1">
        <v>44627</v>
      </c>
      <c r="B1274">
        <v>35.03</v>
      </c>
      <c r="C1274">
        <v>57084000</v>
      </c>
      <c r="D1274">
        <v>-2.8159999999999998</v>
      </c>
      <c r="E1274">
        <v>45</v>
      </c>
      <c r="F1274">
        <v>2.71</v>
      </c>
      <c r="G1274">
        <v>0.25040000000000001</v>
      </c>
      <c r="H1274">
        <v>0</v>
      </c>
      <c r="J1274">
        <v>1</v>
      </c>
      <c r="K1274">
        <f>YEAR(NetflixData[[#This Row],[date]])</f>
        <v>2022</v>
      </c>
      <c r="L1274" t="str">
        <f>TEXT(NetflixData[[#This Row],[date]],"mmm")</f>
        <v>Mar</v>
      </c>
      <c r="M1274" t="str">
        <f>TEXT(NetflixData[[#This Row],[date]],"mmm yyyy")</f>
        <v>Mar 2022</v>
      </c>
      <c r="N1274" t="str">
        <f t="shared" si="57"/>
        <v>Trading Day</v>
      </c>
      <c r="O1274" t="str">
        <f t="shared" si="58"/>
        <v>Negative</v>
      </c>
      <c r="P1274" t="str">
        <f t="shared" si="59"/>
        <v>Positive</v>
      </c>
    </row>
    <row r="1275" spans="1:16" x14ac:dyDescent="0.3">
      <c r="A1275" s="1">
        <v>44628</v>
      </c>
      <c r="B1275">
        <v>34.18</v>
      </c>
      <c r="C1275">
        <v>64287000</v>
      </c>
      <c r="D1275">
        <v>-2.298</v>
      </c>
      <c r="E1275">
        <v>40</v>
      </c>
      <c r="F1275">
        <v>2.72</v>
      </c>
      <c r="G1275">
        <v>0.1482</v>
      </c>
      <c r="H1275">
        <v>0</v>
      </c>
      <c r="J1275">
        <v>1</v>
      </c>
      <c r="K1275">
        <f>YEAR(NetflixData[[#This Row],[date]])</f>
        <v>2022</v>
      </c>
      <c r="L1275" t="str">
        <f>TEXT(NetflixData[[#This Row],[date]],"mmm")</f>
        <v>Mar</v>
      </c>
      <c r="M1275" t="str">
        <f>TEXT(NetflixData[[#This Row],[date]],"mmm yyyy")</f>
        <v>Mar 2022</v>
      </c>
      <c r="N1275" t="str">
        <f t="shared" si="57"/>
        <v>Trading Day</v>
      </c>
      <c r="O1275" t="str">
        <f t="shared" si="58"/>
        <v>Negative</v>
      </c>
      <c r="P1275" t="str">
        <f t="shared" si="59"/>
        <v>Positive</v>
      </c>
    </row>
    <row r="1276" spans="1:16" x14ac:dyDescent="0.3">
      <c r="A1276" s="1">
        <v>44629</v>
      </c>
      <c r="B1276">
        <v>35.880000000000003</v>
      </c>
      <c r="C1276">
        <v>65202000</v>
      </c>
      <c r="D1276">
        <v>0.308</v>
      </c>
      <c r="E1276">
        <v>29</v>
      </c>
      <c r="F1276">
        <v>2.79</v>
      </c>
      <c r="G1276">
        <v>9.3899999999999997E-2</v>
      </c>
      <c r="H1276">
        <v>0</v>
      </c>
      <c r="J1276">
        <v>1</v>
      </c>
      <c r="K1276">
        <f>YEAR(NetflixData[[#This Row],[date]])</f>
        <v>2022</v>
      </c>
      <c r="L1276" t="str">
        <f>TEXT(NetflixData[[#This Row],[date]],"mmm")</f>
        <v>Mar</v>
      </c>
      <c r="M1276" t="str">
        <f>TEXT(NetflixData[[#This Row],[date]],"mmm yyyy")</f>
        <v>Mar 2022</v>
      </c>
      <c r="N1276" t="str">
        <f t="shared" si="57"/>
        <v>Trading Day</v>
      </c>
      <c r="O1276" t="str">
        <f t="shared" si="58"/>
        <v>Positive</v>
      </c>
      <c r="P1276" t="str">
        <f t="shared" si="59"/>
        <v>Neutral</v>
      </c>
    </row>
    <row r="1277" spans="1:16" x14ac:dyDescent="0.3">
      <c r="A1277" s="1">
        <v>44630</v>
      </c>
      <c r="B1277">
        <v>35.68</v>
      </c>
      <c r="C1277">
        <v>48078000</v>
      </c>
      <c r="D1277">
        <v>0.16</v>
      </c>
      <c r="E1277">
        <v>38</v>
      </c>
      <c r="F1277">
        <v>2.84</v>
      </c>
      <c r="G1277">
        <v>0.29399999999999998</v>
      </c>
      <c r="H1277">
        <v>0</v>
      </c>
      <c r="J1277">
        <v>1</v>
      </c>
      <c r="K1277">
        <f>YEAR(NetflixData[[#This Row],[date]])</f>
        <v>2022</v>
      </c>
      <c r="L1277" t="str">
        <f>TEXT(NetflixData[[#This Row],[date]],"mmm")</f>
        <v>Mar</v>
      </c>
      <c r="M1277" t="str">
        <f>TEXT(NetflixData[[#This Row],[date]],"mmm yyyy")</f>
        <v>Mar 2022</v>
      </c>
      <c r="N1277" t="str">
        <f t="shared" si="57"/>
        <v>Trading Day</v>
      </c>
      <c r="O1277" t="str">
        <f t="shared" si="58"/>
        <v>Positive</v>
      </c>
      <c r="P1277" t="str">
        <f t="shared" si="59"/>
        <v>Positive</v>
      </c>
    </row>
    <row r="1278" spans="1:16" x14ac:dyDescent="0.3">
      <c r="A1278" s="1">
        <v>44631</v>
      </c>
      <c r="B1278">
        <v>34.03</v>
      </c>
      <c r="C1278">
        <v>48199000</v>
      </c>
      <c r="D1278">
        <v>-5.7779999999999996</v>
      </c>
      <c r="E1278">
        <v>38</v>
      </c>
      <c r="F1278">
        <v>2.63</v>
      </c>
      <c r="G1278">
        <v>0.19120000000000001</v>
      </c>
      <c r="H1278">
        <v>0</v>
      </c>
      <c r="J1278">
        <v>1</v>
      </c>
      <c r="K1278">
        <f>YEAR(NetflixData[[#This Row],[date]])</f>
        <v>2022</v>
      </c>
      <c r="L1278" t="str">
        <f>TEXT(NetflixData[[#This Row],[date]],"mmm")</f>
        <v>Mar</v>
      </c>
      <c r="M1278" t="str">
        <f>TEXT(NetflixData[[#This Row],[date]],"mmm yyyy")</f>
        <v>Mar 2022</v>
      </c>
      <c r="N1278" t="str">
        <f t="shared" si="57"/>
        <v>Non-Trading Day</v>
      </c>
      <c r="O1278" t="str">
        <f t="shared" si="58"/>
        <v>Negative</v>
      </c>
      <c r="P1278" t="str">
        <f t="shared" si="59"/>
        <v>Positive</v>
      </c>
    </row>
    <row r="1279" spans="1:16" x14ac:dyDescent="0.3">
      <c r="A1279" s="1">
        <v>44632</v>
      </c>
      <c r="B1279">
        <v>34.03</v>
      </c>
      <c r="C1279">
        <v>0</v>
      </c>
      <c r="D1279">
        <v>0</v>
      </c>
      <c r="E1279">
        <v>33</v>
      </c>
      <c r="F1279">
        <v>2.21</v>
      </c>
      <c r="G1279">
        <v>3.56E-2</v>
      </c>
      <c r="H1279">
        <v>0</v>
      </c>
      <c r="J1279">
        <v>0</v>
      </c>
      <c r="K1279">
        <f>YEAR(NetflixData[[#This Row],[date]])</f>
        <v>2022</v>
      </c>
      <c r="L1279" t="str">
        <f>TEXT(NetflixData[[#This Row],[date]],"mmm")</f>
        <v>Mar</v>
      </c>
      <c r="M1279" t="str">
        <f>TEXT(NetflixData[[#This Row],[date]],"mmm yyyy")</f>
        <v>Mar 2022</v>
      </c>
      <c r="N1279" t="str">
        <f t="shared" si="57"/>
        <v>Non-Trading Day</v>
      </c>
      <c r="O1279" t="str">
        <f t="shared" si="58"/>
        <v>No Change</v>
      </c>
      <c r="P1279" t="str">
        <f t="shared" si="59"/>
        <v>Neutral</v>
      </c>
    </row>
    <row r="1280" spans="1:16" x14ac:dyDescent="0.3">
      <c r="A1280" s="1">
        <v>44633</v>
      </c>
      <c r="B1280">
        <v>34.03</v>
      </c>
      <c r="C1280">
        <v>0</v>
      </c>
      <c r="D1280">
        <v>0</v>
      </c>
      <c r="E1280">
        <v>42</v>
      </c>
      <c r="F1280">
        <v>3.19</v>
      </c>
      <c r="G1280">
        <v>0.31619999999999998</v>
      </c>
      <c r="H1280">
        <v>0</v>
      </c>
      <c r="J1280">
        <v>0</v>
      </c>
      <c r="K1280">
        <f>YEAR(NetflixData[[#This Row],[date]])</f>
        <v>2022</v>
      </c>
      <c r="L1280" t="str">
        <f>TEXT(NetflixData[[#This Row],[date]],"mmm")</f>
        <v>Mar</v>
      </c>
      <c r="M1280" t="str">
        <f>TEXT(NetflixData[[#This Row],[date]],"mmm yyyy")</f>
        <v>Mar 2022</v>
      </c>
      <c r="N1280" t="str">
        <f t="shared" si="57"/>
        <v>Trading Day</v>
      </c>
      <c r="O1280" t="str">
        <f t="shared" si="58"/>
        <v>No Change</v>
      </c>
      <c r="P1280" t="str">
        <f t="shared" si="59"/>
        <v>Positive</v>
      </c>
    </row>
    <row r="1281" spans="1:16" x14ac:dyDescent="0.3">
      <c r="A1281" s="1">
        <v>44634</v>
      </c>
      <c r="B1281">
        <v>33.1</v>
      </c>
      <c r="C1281">
        <v>59078000</v>
      </c>
      <c r="D1281">
        <v>-2.2759999999999998</v>
      </c>
      <c r="E1281">
        <v>65</v>
      </c>
      <c r="F1281">
        <v>3.54</v>
      </c>
      <c r="G1281">
        <v>0.27089999999999997</v>
      </c>
      <c r="H1281">
        <v>0</v>
      </c>
      <c r="J1281">
        <v>1</v>
      </c>
      <c r="K1281">
        <f>YEAR(NetflixData[[#This Row],[date]])</f>
        <v>2022</v>
      </c>
      <c r="L1281" t="str">
        <f>TEXT(NetflixData[[#This Row],[date]],"mmm")</f>
        <v>Mar</v>
      </c>
      <c r="M1281" t="str">
        <f>TEXT(NetflixData[[#This Row],[date]],"mmm yyyy")</f>
        <v>Mar 2022</v>
      </c>
      <c r="N1281" t="str">
        <f t="shared" si="57"/>
        <v>Trading Day</v>
      </c>
      <c r="O1281" t="str">
        <f t="shared" si="58"/>
        <v>Negative</v>
      </c>
      <c r="P1281" t="str">
        <f t="shared" si="59"/>
        <v>Positive</v>
      </c>
    </row>
    <row r="1282" spans="1:16" x14ac:dyDescent="0.3">
      <c r="A1282" s="1">
        <v>44635</v>
      </c>
      <c r="B1282">
        <v>34.380000000000003</v>
      </c>
      <c r="C1282">
        <v>54606000</v>
      </c>
      <c r="D1282">
        <v>2.581</v>
      </c>
      <c r="E1282">
        <v>73</v>
      </c>
      <c r="F1282">
        <v>3.25</v>
      </c>
      <c r="G1282">
        <v>0.30549999999999999</v>
      </c>
      <c r="H1282">
        <v>0</v>
      </c>
      <c r="J1282">
        <v>1</v>
      </c>
      <c r="K1282">
        <f>YEAR(NetflixData[[#This Row],[date]])</f>
        <v>2022</v>
      </c>
      <c r="L1282" t="str">
        <f>TEXT(NetflixData[[#This Row],[date]],"mmm")</f>
        <v>Mar</v>
      </c>
      <c r="M1282" t="str">
        <f>TEXT(NetflixData[[#This Row],[date]],"mmm yyyy")</f>
        <v>Mar 2022</v>
      </c>
      <c r="N1282" t="str">
        <f t="shared" ref="N1282:N1345" si="60">IF(J1283=1,"Trading Day","Non-Trading Day")</f>
        <v>Trading Day</v>
      </c>
      <c r="O1282" t="str">
        <f t="shared" ref="O1282:O1345" si="61">IF(D1282&gt;0,"Positive",IF(D1282&lt;0,"Negative","No Change"))</f>
        <v>Positive</v>
      </c>
      <c r="P1282" t="str">
        <f t="shared" ref="P1282:P1345" si="62">IF(G1282&gt;0.1,"Positive",IF(G1282&lt;-0.1,"Negative","Neutral"))</f>
        <v>Positive</v>
      </c>
    </row>
    <row r="1283" spans="1:16" x14ac:dyDescent="0.3">
      <c r="A1283" s="1">
        <v>44636</v>
      </c>
      <c r="B1283">
        <v>35.75</v>
      </c>
      <c r="C1283">
        <v>69825000</v>
      </c>
      <c r="D1283">
        <v>2.6789999999999998</v>
      </c>
      <c r="E1283">
        <v>55</v>
      </c>
      <c r="F1283">
        <v>3</v>
      </c>
      <c r="G1283">
        <v>0.3024</v>
      </c>
      <c r="H1283">
        <v>0</v>
      </c>
      <c r="J1283">
        <v>1</v>
      </c>
      <c r="K1283">
        <f>YEAR(NetflixData[[#This Row],[date]])</f>
        <v>2022</v>
      </c>
      <c r="L1283" t="str">
        <f>TEXT(NetflixData[[#This Row],[date]],"mmm")</f>
        <v>Mar</v>
      </c>
      <c r="M1283" t="str">
        <f>TEXT(NetflixData[[#This Row],[date]],"mmm yyyy")</f>
        <v>Mar 2022</v>
      </c>
      <c r="N1283" t="str">
        <f t="shared" si="60"/>
        <v>Trading Day</v>
      </c>
      <c r="O1283" t="str">
        <f t="shared" si="61"/>
        <v>Positive</v>
      </c>
      <c r="P1283" t="str">
        <f t="shared" si="62"/>
        <v>Positive</v>
      </c>
    </row>
    <row r="1284" spans="1:16" x14ac:dyDescent="0.3">
      <c r="A1284" s="1">
        <v>44637</v>
      </c>
      <c r="B1284">
        <v>37.14</v>
      </c>
      <c r="C1284">
        <v>58183000</v>
      </c>
      <c r="D1284">
        <v>3.2530000000000001</v>
      </c>
      <c r="E1284">
        <v>45</v>
      </c>
      <c r="F1284">
        <v>2.5299999999999998</v>
      </c>
      <c r="G1284">
        <v>0.12640000000000001</v>
      </c>
      <c r="H1284">
        <v>0</v>
      </c>
      <c r="J1284">
        <v>1</v>
      </c>
      <c r="K1284">
        <f>YEAR(NetflixData[[#This Row],[date]])</f>
        <v>2022</v>
      </c>
      <c r="L1284" t="str">
        <f>TEXT(NetflixData[[#This Row],[date]],"mmm")</f>
        <v>Mar</v>
      </c>
      <c r="M1284" t="str">
        <f>TEXT(NetflixData[[#This Row],[date]],"mmm yyyy")</f>
        <v>Mar 2022</v>
      </c>
      <c r="N1284" t="str">
        <f t="shared" si="60"/>
        <v>Trading Day</v>
      </c>
      <c r="O1284" t="str">
        <f t="shared" si="61"/>
        <v>Positive</v>
      </c>
      <c r="P1284" t="str">
        <f t="shared" si="62"/>
        <v>Positive</v>
      </c>
    </row>
    <row r="1285" spans="1:16" x14ac:dyDescent="0.3">
      <c r="A1285" s="1">
        <v>44638</v>
      </c>
      <c r="B1285">
        <v>38.06</v>
      </c>
      <c r="C1285">
        <v>83248000</v>
      </c>
      <c r="D1285">
        <v>2.3119999999999998</v>
      </c>
      <c r="E1285">
        <v>44</v>
      </c>
      <c r="F1285">
        <v>2.89</v>
      </c>
      <c r="G1285">
        <v>0.34200000000000003</v>
      </c>
      <c r="H1285">
        <v>0</v>
      </c>
      <c r="J1285">
        <v>1</v>
      </c>
      <c r="K1285">
        <f>YEAR(NetflixData[[#This Row],[date]])</f>
        <v>2022</v>
      </c>
      <c r="L1285" t="str">
        <f>TEXT(NetflixData[[#This Row],[date]],"mmm")</f>
        <v>Mar</v>
      </c>
      <c r="M1285" t="str">
        <f>TEXT(NetflixData[[#This Row],[date]],"mmm yyyy")</f>
        <v>Mar 2022</v>
      </c>
      <c r="N1285" t="str">
        <f t="shared" si="60"/>
        <v>Non-Trading Day</v>
      </c>
      <c r="O1285" t="str">
        <f t="shared" si="61"/>
        <v>Positive</v>
      </c>
      <c r="P1285" t="str">
        <f t="shared" si="62"/>
        <v>Positive</v>
      </c>
    </row>
    <row r="1286" spans="1:16" x14ac:dyDescent="0.3">
      <c r="A1286" s="1">
        <v>44639</v>
      </c>
      <c r="B1286">
        <v>38.06</v>
      </c>
      <c r="C1286">
        <v>0</v>
      </c>
      <c r="D1286">
        <v>0</v>
      </c>
      <c r="E1286">
        <v>51</v>
      </c>
      <c r="F1286">
        <v>2.84</v>
      </c>
      <c r="G1286">
        <v>0.2291</v>
      </c>
      <c r="H1286">
        <v>0</v>
      </c>
      <c r="J1286">
        <v>0</v>
      </c>
      <c r="K1286">
        <f>YEAR(NetflixData[[#This Row],[date]])</f>
        <v>2022</v>
      </c>
      <c r="L1286" t="str">
        <f>TEXT(NetflixData[[#This Row],[date]],"mmm")</f>
        <v>Mar</v>
      </c>
      <c r="M1286" t="str">
        <f>TEXT(NetflixData[[#This Row],[date]],"mmm yyyy")</f>
        <v>Mar 2022</v>
      </c>
      <c r="N1286" t="str">
        <f t="shared" si="60"/>
        <v>Non-Trading Day</v>
      </c>
      <c r="O1286" t="str">
        <f t="shared" si="61"/>
        <v>No Change</v>
      </c>
      <c r="P1286" t="str">
        <f t="shared" si="62"/>
        <v>Positive</v>
      </c>
    </row>
    <row r="1287" spans="1:16" x14ac:dyDescent="0.3">
      <c r="A1287" s="1">
        <v>44640</v>
      </c>
      <c r="B1287">
        <v>38.06</v>
      </c>
      <c r="C1287">
        <v>0</v>
      </c>
      <c r="D1287">
        <v>0</v>
      </c>
      <c r="E1287">
        <v>55</v>
      </c>
      <c r="F1287">
        <v>2.4500000000000002</v>
      </c>
      <c r="G1287">
        <v>0.152</v>
      </c>
      <c r="H1287">
        <v>0</v>
      </c>
      <c r="J1287">
        <v>0</v>
      </c>
      <c r="K1287">
        <f>YEAR(NetflixData[[#This Row],[date]])</f>
        <v>2022</v>
      </c>
      <c r="L1287" t="str">
        <f>TEXT(NetflixData[[#This Row],[date]],"mmm")</f>
        <v>Mar</v>
      </c>
      <c r="M1287" t="str">
        <f>TEXT(NetflixData[[#This Row],[date]],"mmm yyyy")</f>
        <v>Mar 2022</v>
      </c>
      <c r="N1287" t="str">
        <f t="shared" si="60"/>
        <v>Trading Day</v>
      </c>
      <c r="O1287" t="str">
        <f t="shared" si="61"/>
        <v>No Change</v>
      </c>
      <c r="P1287" t="str">
        <f t="shared" si="62"/>
        <v>Positive</v>
      </c>
    </row>
    <row r="1288" spans="1:16" x14ac:dyDescent="0.3">
      <c r="A1288" s="1">
        <v>44641</v>
      </c>
      <c r="B1288">
        <v>37.46</v>
      </c>
      <c r="C1288">
        <v>48665000</v>
      </c>
      <c r="D1288">
        <v>-0.90700000000000003</v>
      </c>
      <c r="E1288">
        <v>55</v>
      </c>
      <c r="F1288">
        <v>2.4</v>
      </c>
      <c r="G1288">
        <v>0.1691</v>
      </c>
      <c r="H1288">
        <v>0</v>
      </c>
      <c r="J1288">
        <v>1</v>
      </c>
      <c r="K1288">
        <f>YEAR(NetflixData[[#This Row],[date]])</f>
        <v>2022</v>
      </c>
      <c r="L1288" t="str">
        <f>TEXT(NetflixData[[#This Row],[date]],"mmm")</f>
        <v>Mar</v>
      </c>
      <c r="M1288" t="str">
        <f>TEXT(NetflixData[[#This Row],[date]],"mmm yyyy")</f>
        <v>Mar 2022</v>
      </c>
      <c r="N1288" t="str">
        <f t="shared" si="60"/>
        <v>Trading Day</v>
      </c>
      <c r="O1288" t="str">
        <f t="shared" si="61"/>
        <v>Negative</v>
      </c>
      <c r="P1288" t="str">
        <f t="shared" si="62"/>
        <v>Positive</v>
      </c>
    </row>
    <row r="1289" spans="1:16" x14ac:dyDescent="0.3">
      <c r="A1289" s="1">
        <v>44642</v>
      </c>
      <c r="B1289">
        <v>38.29</v>
      </c>
      <c r="C1289">
        <v>42428000</v>
      </c>
      <c r="D1289">
        <v>3.1739999999999999</v>
      </c>
      <c r="E1289">
        <v>38</v>
      </c>
      <c r="F1289">
        <v>2.84</v>
      </c>
      <c r="G1289">
        <v>0.18149999999999999</v>
      </c>
      <c r="H1289">
        <v>0</v>
      </c>
      <c r="J1289">
        <v>1</v>
      </c>
      <c r="K1289">
        <f>YEAR(NetflixData[[#This Row],[date]])</f>
        <v>2022</v>
      </c>
      <c r="L1289" t="str">
        <f>TEXT(NetflixData[[#This Row],[date]],"mmm")</f>
        <v>Mar</v>
      </c>
      <c r="M1289" t="str">
        <f>TEXT(NetflixData[[#This Row],[date]],"mmm yyyy")</f>
        <v>Mar 2022</v>
      </c>
      <c r="N1289" t="str">
        <f t="shared" si="60"/>
        <v>Trading Day</v>
      </c>
      <c r="O1289" t="str">
        <f t="shared" si="61"/>
        <v>Positive</v>
      </c>
      <c r="P1289" t="str">
        <f t="shared" si="62"/>
        <v>Positive</v>
      </c>
    </row>
    <row r="1290" spans="1:16" x14ac:dyDescent="0.3">
      <c r="A1290" s="1">
        <v>44643</v>
      </c>
      <c r="B1290">
        <v>37.450000000000003</v>
      </c>
      <c r="C1290">
        <v>37290000</v>
      </c>
      <c r="D1290">
        <v>-1.39</v>
      </c>
      <c r="E1290">
        <v>38</v>
      </c>
      <c r="F1290">
        <v>2.84</v>
      </c>
      <c r="G1290">
        <v>0.26319999999999999</v>
      </c>
      <c r="H1290">
        <v>0</v>
      </c>
      <c r="J1290">
        <v>1</v>
      </c>
      <c r="K1290">
        <f>YEAR(NetflixData[[#This Row],[date]])</f>
        <v>2022</v>
      </c>
      <c r="L1290" t="str">
        <f>TEXT(NetflixData[[#This Row],[date]],"mmm")</f>
        <v>Mar</v>
      </c>
      <c r="M1290" t="str">
        <f>TEXT(NetflixData[[#This Row],[date]],"mmm yyyy")</f>
        <v>Mar 2022</v>
      </c>
      <c r="N1290" t="str">
        <f t="shared" si="60"/>
        <v>Trading Day</v>
      </c>
      <c r="O1290" t="str">
        <f t="shared" si="61"/>
        <v>Negative</v>
      </c>
      <c r="P1290" t="str">
        <f t="shared" si="62"/>
        <v>Positive</v>
      </c>
    </row>
    <row r="1291" spans="1:16" x14ac:dyDescent="0.3">
      <c r="A1291" s="1">
        <v>44644</v>
      </c>
      <c r="B1291">
        <v>37.57</v>
      </c>
      <c r="C1291">
        <v>38885000</v>
      </c>
      <c r="D1291">
        <v>-1.0660000000000001</v>
      </c>
      <c r="E1291">
        <v>40</v>
      </c>
      <c r="F1291">
        <v>3</v>
      </c>
      <c r="G1291">
        <v>0.17649999999999999</v>
      </c>
      <c r="H1291">
        <v>0</v>
      </c>
      <c r="J1291">
        <v>1</v>
      </c>
      <c r="K1291">
        <f>YEAR(NetflixData[[#This Row],[date]])</f>
        <v>2022</v>
      </c>
      <c r="L1291" t="str">
        <f>TEXT(NetflixData[[#This Row],[date]],"mmm")</f>
        <v>Mar</v>
      </c>
      <c r="M1291" t="str">
        <f>TEXT(NetflixData[[#This Row],[date]],"mmm yyyy")</f>
        <v>Mar 2022</v>
      </c>
      <c r="N1291" t="str">
        <f t="shared" si="60"/>
        <v>Trading Day</v>
      </c>
      <c r="O1291" t="str">
        <f t="shared" si="61"/>
        <v>Negative</v>
      </c>
      <c r="P1291" t="str">
        <f t="shared" si="62"/>
        <v>Positive</v>
      </c>
    </row>
    <row r="1292" spans="1:16" x14ac:dyDescent="0.3">
      <c r="A1292" s="1">
        <v>44645</v>
      </c>
      <c r="B1292">
        <v>37.380000000000003</v>
      </c>
      <c r="C1292">
        <v>35745000</v>
      </c>
      <c r="D1292">
        <v>-0.85399999999999998</v>
      </c>
      <c r="E1292">
        <v>38</v>
      </c>
      <c r="F1292">
        <v>2.2400000000000002</v>
      </c>
      <c r="G1292">
        <v>-2.6599999999999999E-2</v>
      </c>
      <c r="H1292">
        <v>0</v>
      </c>
      <c r="J1292">
        <v>1</v>
      </c>
      <c r="K1292">
        <f>YEAR(NetflixData[[#This Row],[date]])</f>
        <v>2022</v>
      </c>
      <c r="L1292" t="str">
        <f>TEXT(NetflixData[[#This Row],[date]],"mmm")</f>
        <v>Mar</v>
      </c>
      <c r="M1292" t="str">
        <f>TEXT(NetflixData[[#This Row],[date]],"mmm yyyy")</f>
        <v>Mar 2022</v>
      </c>
      <c r="N1292" t="str">
        <f t="shared" si="60"/>
        <v>Non-Trading Day</v>
      </c>
      <c r="O1292" t="str">
        <f t="shared" si="61"/>
        <v>Negative</v>
      </c>
      <c r="P1292" t="str">
        <f t="shared" si="62"/>
        <v>Neutral</v>
      </c>
    </row>
    <row r="1293" spans="1:16" x14ac:dyDescent="0.3">
      <c r="A1293" s="1">
        <v>44646</v>
      </c>
      <c r="B1293">
        <v>37.380000000000003</v>
      </c>
      <c r="C1293">
        <v>0</v>
      </c>
      <c r="D1293">
        <v>0</v>
      </c>
      <c r="E1293">
        <v>38</v>
      </c>
      <c r="F1293">
        <v>2.66</v>
      </c>
      <c r="G1293">
        <v>0.26119999999999999</v>
      </c>
      <c r="H1293">
        <v>0</v>
      </c>
      <c r="J1293">
        <v>0</v>
      </c>
      <c r="K1293">
        <f>YEAR(NetflixData[[#This Row],[date]])</f>
        <v>2022</v>
      </c>
      <c r="L1293" t="str">
        <f>TEXT(NetflixData[[#This Row],[date]],"mmm")</f>
        <v>Mar</v>
      </c>
      <c r="M1293" t="str">
        <f>TEXT(NetflixData[[#This Row],[date]],"mmm yyyy")</f>
        <v>Mar 2022</v>
      </c>
      <c r="N1293" t="str">
        <f t="shared" si="60"/>
        <v>Non-Trading Day</v>
      </c>
      <c r="O1293" t="str">
        <f t="shared" si="61"/>
        <v>No Change</v>
      </c>
      <c r="P1293" t="str">
        <f t="shared" si="62"/>
        <v>Positive</v>
      </c>
    </row>
    <row r="1294" spans="1:16" x14ac:dyDescent="0.3">
      <c r="A1294" s="1">
        <v>44647</v>
      </c>
      <c r="B1294">
        <v>37.380000000000003</v>
      </c>
      <c r="C1294">
        <v>0</v>
      </c>
      <c r="D1294">
        <v>0</v>
      </c>
      <c r="E1294">
        <v>52</v>
      </c>
      <c r="F1294">
        <v>2.75</v>
      </c>
      <c r="G1294">
        <v>0.16669999999999999</v>
      </c>
      <c r="H1294">
        <v>0</v>
      </c>
      <c r="J1294">
        <v>0</v>
      </c>
      <c r="K1294">
        <f>YEAR(NetflixData[[#This Row],[date]])</f>
        <v>2022</v>
      </c>
      <c r="L1294" t="str">
        <f>TEXT(NetflixData[[#This Row],[date]],"mmm")</f>
        <v>Mar</v>
      </c>
      <c r="M1294" t="str">
        <f>TEXT(NetflixData[[#This Row],[date]],"mmm yyyy")</f>
        <v>Mar 2022</v>
      </c>
      <c r="N1294" t="str">
        <f t="shared" si="60"/>
        <v>Trading Day</v>
      </c>
      <c r="O1294" t="str">
        <f t="shared" si="61"/>
        <v>No Change</v>
      </c>
      <c r="P1294" t="str">
        <f t="shared" si="62"/>
        <v>Positive</v>
      </c>
    </row>
    <row r="1295" spans="1:16" x14ac:dyDescent="0.3">
      <c r="A1295" s="1">
        <v>44648</v>
      </c>
      <c r="B1295">
        <v>37.85</v>
      </c>
      <c r="C1295">
        <v>43234000</v>
      </c>
      <c r="D1295">
        <v>0.874</v>
      </c>
      <c r="E1295">
        <v>38</v>
      </c>
      <c r="F1295">
        <v>3.05</v>
      </c>
      <c r="G1295">
        <v>0.1885</v>
      </c>
      <c r="H1295">
        <v>0</v>
      </c>
      <c r="J1295">
        <v>1</v>
      </c>
      <c r="K1295">
        <f>YEAR(NetflixData[[#This Row],[date]])</f>
        <v>2022</v>
      </c>
      <c r="L1295" t="str">
        <f>TEXT(NetflixData[[#This Row],[date]],"mmm")</f>
        <v>Mar</v>
      </c>
      <c r="M1295" t="str">
        <f>TEXT(NetflixData[[#This Row],[date]],"mmm yyyy")</f>
        <v>Mar 2022</v>
      </c>
      <c r="N1295" t="str">
        <f t="shared" si="60"/>
        <v>Trading Day</v>
      </c>
      <c r="O1295" t="str">
        <f t="shared" si="61"/>
        <v>Positive</v>
      </c>
      <c r="P1295" t="str">
        <f t="shared" si="62"/>
        <v>Positive</v>
      </c>
    </row>
    <row r="1296" spans="1:16" x14ac:dyDescent="0.3">
      <c r="A1296" s="1">
        <v>44649</v>
      </c>
      <c r="B1296">
        <v>39.18</v>
      </c>
      <c r="C1296">
        <v>58807000</v>
      </c>
      <c r="D1296">
        <v>1.9330000000000001</v>
      </c>
      <c r="E1296">
        <v>38</v>
      </c>
      <c r="F1296">
        <v>2.5499999999999998</v>
      </c>
      <c r="G1296">
        <v>0.10730000000000001</v>
      </c>
      <c r="H1296">
        <v>0</v>
      </c>
      <c r="J1296">
        <v>1</v>
      </c>
      <c r="K1296">
        <f>YEAR(NetflixData[[#This Row],[date]])</f>
        <v>2022</v>
      </c>
      <c r="L1296" t="str">
        <f>TEXT(NetflixData[[#This Row],[date]],"mmm")</f>
        <v>Mar</v>
      </c>
      <c r="M1296" t="str">
        <f>TEXT(NetflixData[[#This Row],[date]],"mmm yyyy")</f>
        <v>Mar 2022</v>
      </c>
      <c r="N1296" t="str">
        <f t="shared" si="60"/>
        <v>Trading Day</v>
      </c>
      <c r="O1296" t="str">
        <f t="shared" si="61"/>
        <v>Positive</v>
      </c>
      <c r="P1296" t="str">
        <f t="shared" si="62"/>
        <v>Positive</v>
      </c>
    </row>
    <row r="1297" spans="1:16" x14ac:dyDescent="0.3">
      <c r="A1297" s="1">
        <v>44650</v>
      </c>
      <c r="B1297">
        <v>38.15</v>
      </c>
      <c r="C1297">
        <v>40233000</v>
      </c>
      <c r="D1297">
        <v>-2.0739999999999998</v>
      </c>
      <c r="E1297">
        <v>40</v>
      </c>
      <c r="F1297">
        <v>3.08</v>
      </c>
      <c r="G1297">
        <v>0.28399999999999997</v>
      </c>
      <c r="H1297">
        <v>0</v>
      </c>
      <c r="J1297">
        <v>1</v>
      </c>
      <c r="K1297">
        <f>YEAR(NetflixData[[#This Row],[date]])</f>
        <v>2022</v>
      </c>
      <c r="L1297" t="str">
        <f>TEXT(NetflixData[[#This Row],[date]],"mmm")</f>
        <v>Mar</v>
      </c>
      <c r="M1297" t="str">
        <f>TEXT(NetflixData[[#This Row],[date]],"mmm yyyy")</f>
        <v>Mar 2022</v>
      </c>
      <c r="N1297" t="str">
        <f t="shared" si="60"/>
        <v>Trading Day</v>
      </c>
      <c r="O1297" t="str">
        <f t="shared" si="61"/>
        <v>Negative</v>
      </c>
      <c r="P1297" t="str">
        <f t="shared" si="62"/>
        <v>Positive</v>
      </c>
    </row>
    <row r="1298" spans="1:16" x14ac:dyDescent="0.3">
      <c r="A1298" s="1">
        <v>44651</v>
      </c>
      <c r="B1298">
        <v>37.46</v>
      </c>
      <c r="C1298">
        <v>41347000</v>
      </c>
      <c r="D1298">
        <v>-2.3460000000000001</v>
      </c>
      <c r="E1298">
        <v>41</v>
      </c>
      <c r="F1298">
        <v>2.85</v>
      </c>
      <c r="G1298">
        <v>0.1706</v>
      </c>
      <c r="H1298">
        <v>0</v>
      </c>
      <c r="J1298">
        <v>1</v>
      </c>
      <c r="K1298">
        <f>YEAR(NetflixData[[#This Row],[date]])</f>
        <v>2022</v>
      </c>
      <c r="L1298" t="str">
        <f>TEXT(NetflixData[[#This Row],[date]],"mmm")</f>
        <v>Mar</v>
      </c>
      <c r="M1298" t="str">
        <f>TEXT(NetflixData[[#This Row],[date]],"mmm yyyy")</f>
        <v>Mar 2022</v>
      </c>
      <c r="N1298" t="str">
        <f t="shared" si="60"/>
        <v>Trading Day</v>
      </c>
      <c r="O1298" t="str">
        <f t="shared" si="61"/>
        <v>Negative</v>
      </c>
      <c r="P1298" t="str">
        <f t="shared" si="62"/>
        <v>Positive</v>
      </c>
    </row>
    <row r="1299" spans="1:16" x14ac:dyDescent="0.3">
      <c r="A1299" s="1">
        <v>44652</v>
      </c>
      <c r="B1299">
        <v>37.35</v>
      </c>
      <c r="C1299">
        <v>46442000</v>
      </c>
      <c r="D1299">
        <v>-0.88400000000000001</v>
      </c>
      <c r="E1299">
        <v>29</v>
      </c>
      <c r="F1299">
        <v>2.97</v>
      </c>
      <c r="G1299">
        <v>0.22600000000000001</v>
      </c>
      <c r="H1299">
        <v>0</v>
      </c>
      <c r="J1299">
        <v>1</v>
      </c>
      <c r="K1299">
        <f>YEAR(NetflixData[[#This Row],[date]])</f>
        <v>2022</v>
      </c>
      <c r="L1299" t="str">
        <f>TEXT(NetflixData[[#This Row],[date]],"mmm")</f>
        <v>Apr</v>
      </c>
      <c r="M1299" t="str">
        <f>TEXT(NetflixData[[#This Row],[date]],"mmm yyyy")</f>
        <v>Apr 2022</v>
      </c>
      <c r="N1299" t="str">
        <f t="shared" si="60"/>
        <v>Non-Trading Day</v>
      </c>
      <c r="O1299" t="str">
        <f t="shared" si="61"/>
        <v>Negative</v>
      </c>
      <c r="P1299" t="str">
        <f t="shared" si="62"/>
        <v>Positive</v>
      </c>
    </row>
    <row r="1300" spans="1:16" x14ac:dyDescent="0.3">
      <c r="A1300" s="1">
        <v>44653</v>
      </c>
      <c r="B1300">
        <v>37.35</v>
      </c>
      <c r="C1300">
        <v>0</v>
      </c>
      <c r="D1300">
        <v>0</v>
      </c>
      <c r="E1300">
        <v>48</v>
      </c>
      <c r="F1300">
        <v>3.08</v>
      </c>
      <c r="G1300">
        <v>0.35859999999999997</v>
      </c>
      <c r="H1300">
        <v>0</v>
      </c>
      <c r="J1300">
        <v>0</v>
      </c>
      <c r="K1300">
        <f>YEAR(NetflixData[[#This Row],[date]])</f>
        <v>2022</v>
      </c>
      <c r="L1300" t="str">
        <f>TEXT(NetflixData[[#This Row],[date]],"mmm")</f>
        <v>Apr</v>
      </c>
      <c r="M1300" t="str">
        <f>TEXT(NetflixData[[#This Row],[date]],"mmm yyyy")</f>
        <v>Apr 2022</v>
      </c>
      <c r="N1300" t="str">
        <f t="shared" si="60"/>
        <v>Non-Trading Day</v>
      </c>
      <c r="O1300" t="str">
        <f t="shared" si="61"/>
        <v>No Change</v>
      </c>
      <c r="P1300" t="str">
        <f t="shared" si="62"/>
        <v>Positive</v>
      </c>
    </row>
    <row r="1301" spans="1:16" x14ac:dyDescent="0.3">
      <c r="A1301" s="1">
        <v>44654</v>
      </c>
      <c r="B1301">
        <v>37.35</v>
      </c>
      <c r="C1301">
        <v>0</v>
      </c>
      <c r="D1301">
        <v>0</v>
      </c>
      <c r="E1301">
        <v>49</v>
      </c>
      <c r="F1301">
        <v>2.73</v>
      </c>
      <c r="G1301">
        <v>4.3400000000000001E-2</v>
      </c>
      <c r="H1301">
        <v>0</v>
      </c>
      <c r="J1301">
        <v>0</v>
      </c>
      <c r="K1301">
        <f>YEAR(NetflixData[[#This Row],[date]])</f>
        <v>2022</v>
      </c>
      <c r="L1301" t="str">
        <f>TEXT(NetflixData[[#This Row],[date]],"mmm")</f>
        <v>Apr</v>
      </c>
      <c r="M1301" t="str">
        <f>TEXT(NetflixData[[#This Row],[date]],"mmm yyyy")</f>
        <v>Apr 2022</v>
      </c>
      <c r="N1301" t="str">
        <f t="shared" si="60"/>
        <v>Trading Day</v>
      </c>
      <c r="O1301" t="str">
        <f t="shared" si="61"/>
        <v>No Change</v>
      </c>
      <c r="P1301" t="str">
        <f t="shared" si="62"/>
        <v>Neutral</v>
      </c>
    </row>
    <row r="1302" spans="1:16" x14ac:dyDescent="0.3">
      <c r="A1302" s="1">
        <v>44655</v>
      </c>
      <c r="B1302">
        <v>39.15</v>
      </c>
      <c r="C1302">
        <v>70018000</v>
      </c>
      <c r="D1302">
        <v>4.8049999999999997</v>
      </c>
      <c r="E1302">
        <v>37</v>
      </c>
      <c r="F1302">
        <v>2.81</v>
      </c>
      <c r="G1302">
        <v>0.16980000000000001</v>
      </c>
      <c r="H1302">
        <v>0</v>
      </c>
      <c r="J1302">
        <v>1</v>
      </c>
      <c r="K1302">
        <f>YEAR(NetflixData[[#This Row],[date]])</f>
        <v>2022</v>
      </c>
      <c r="L1302" t="str">
        <f>TEXT(NetflixData[[#This Row],[date]],"mmm")</f>
        <v>Apr</v>
      </c>
      <c r="M1302" t="str">
        <f>TEXT(NetflixData[[#This Row],[date]],"mmm yyyy")</f>
        <v>Apr 2022</v>
      </c>
      <c r="N1302" t="str">
        <f t="shared" si="60"/>
        <v>Trading Day</v>
      </c>
      <c r="O1302" t="str">
        <f t="shared" si="61"/>
        <v>Positive</v>
      </c>
      <c r="P1302" t="str">
        <f t="shared" si="62"/>
        <v>Positive</v>
      </c>
    </row>
    <row r="1303" spans="1:16" x14ac:dyDescent="0.3">
      <c r="A1303" s="1">
        <v>44656</v>
      </c>
      <c r="B1303">
        <v>38.01</v>
      </c>
      <c r="C1303">
        <v>42345000</v>
      </c>
      <c r="D1303">
        <v>-2.35</v>
      </c>
      <c r="E1303">
        <v>40</v>
      </c>
      <c r="F1303">
        <v>2.88</v>
      </c>
      <c r="G1303">
        <v>0.32569999999999999</v>
      </c>
      <c r="H1303">
        <v>0</v>
      </c>
      <c r="J1303">
        <v>1</v>
      </c>
      <c r="K1303">
        <f>YEAR(NetflixData[[#This Row],[date]])</f>
        <v>2022</v>
      </c>
      <c r="L1303" t="str">
        <f>TEXT(NetflixData[[#This Row],[date]],"mmm")</f>
        <v>Apr</v>
      </c>
      <c r="M1303" t="str">
        <f>TEXT(NetflixData[[#This Row],[date]],"mmm yyyy")</f>
        <v>Apr 2022</v>
      </c>
      <c r="N1303" t="str">
        <f t="shared" si="60"/>
        <v>Trading Day</v>
      </c>
      <c r="O1303" t="str">
        <f t="shared" si="61"/>
        <v>Negative</v>
      </c>
      <c r="P1303" t="str">
        <f t="shared" si="62"/>
        <v>Positive</v>
      </c>
    </row>
    <row r="1304" spans="1:16" x14ac:dyDescent="0.3">
      <c r="A1304" s="1">
        <v>44657</v>
      </c>
      <c r="B1304">
        <v>36.83</v>
      </c>
      <c r="C1304">
        <v>43549000</v>
      </c>
      <c r="D1304">
        <v>-1.55</v>
      </c>
      <c r="E1304">
        <v>40</v>
      </c>
      <c r="F1304">
        <v>2.9</v>
      </c>
      <c r="G1304">
        <v>0.3115</v>
      </c>
      <c r="H1304">
        <v>0</v>
      </c>
      <c r="J1304">
        <v>1</v>
      </c>
      <c r="K1304">
        <f>YEAR(NetflixData[[#This Row],[date]])</f>
        <v>2022</v>
      </c>
      <c r="L1304" t="str">
        <f>TEXT(NetflixData[[#This Row],[date]],"mmm")</f>
        <v>Apr</v>
      </c>
      <c r="M1304" t="str">
        <f>TEXT(NetflixData[[#This Row],[date]],"mmm yyyy")</f>
        <v>Apr 2022</v>
      </c>
      <c r="N1304" t="str">
        <f t="shared" si="60"/>
        <v>Trading Day</v>
      </c>
      <c r="O1304" t="str">
        <f t="shared" si="61"/>
        <v>Negative</v>
      </c>
      <c r="P1304" t="str">
        <f t="shared" si="62"/>
        <v>Positive</v>
      </c>
    </row>
    <row r="1305" spans="1:16" x14ac:dyDescent="0.3">
      <c r="A1305" s="1">
        <v>44658</v>
      </c>
      <c r="B1305">
        <v>36.22</v>
      </c>
      <c r="C1305">
        <v>49489000</v>
      </c>
      <c r="D1305">
        <v>-0.78100000000000003</v>
      </c>
      <c r="E1305">
        <v>33</v>
      </c>
      <c r="F1305">
        <v>2.94</v>
      </c>
      <c r="G1305">
        <v>0.24629999999999999</v>
      </c>
      <c r="H1305">
        <v>0</v>
      </c>
      <c r="J1305">
        <v>1</v>
      </c>
      <c r="K1305">
        <f>YEAR(NetflixData[[#This Row],[date]])</f>
        <v>2022</v>
      </c>
      <c r="L1305" t="str">
        <f>TEXT(NetflixData[[#This Row],[date]],"mmm")</f>
        <v>Apr</v>
      </c>
      <c r="M1305" t="str">
        <f>TEXT(NetflixData[[#This Row],[date]],"mmm yyyy")</f>
        <v>Apr 2022</v>
      </c>
      <c r="N1305" t="str">
        <f t="shared" si="60"/>
        <v>Trading Day</v>
      </c>
      <c r="O1305" t="str">
        <f t="shared" si="61"/>
        <v>Negative</v>
      </c>
      <c r="P1305" t="str">
        <f t="shared" si="62"/>
        <v>Positive</v>
      </c>
    </row>
    <row r="1306" spans="1:16" x14ac:dyDescent="0.3">
      <c r="A1306" s="1">
        <v>44659</v>
      </c>
      <c r="B1306">
        <v>35.590000000000003</v>
      </c>
      <c r="C1306">
        <v>40252000</v>
      </c>
      <c r="D1306">
        <v>-1.68</v>
      </c>
      <c r="E1306">
        <v>33</v>
      </c>
      <c r="F1306">
        <v>2.82</v>
      </c>
      <c r="G1306">
        <v>0.15790000000000001</v>
      </c>
      <c r="H1306">
        <v>0</v>
      </c>
      <c r="J1306">
        <v>1</v>
      </c>
      <c r="K1306">
        <f>YEAR(NetflixData[[#This Row],[date]])</f>
        <v>2022</v>
      </c>
      <c r="L1306" t="str">
        <f>TEXT(NetflixData[[#This Row],[date]],"mmm")</f>
        <v>Apr</v>
      </c>
      <c r="M1306" t="str">
        <f>TEXT(NetflixData[[#This Row],[date]],"mmm yyyy")</f>
        <v>Apr 2022</v>
      </c>
      <c r="N1306" t="str">
        <f t="shared" si="60"/>
        <v>Non-Trading Day</v>
      </c>
      <c r="O1306" t="str">
        <f t="shared" si="61"/>
        <v>Negative</v>
      </c>
      <c r="P1306" t="str">
        <f t="shared" si="62"/>
        <v>Positive</v>
      </c>
    </row>
    <row r="1307" spans="1:16" x14ac:dyDescent="0.3">
      <c r="A1307" s="1">
        <v>44660</v>
      </c>
      <c r="B1307">
        <v>35.590000000000003</v>
      </c>
      <c r="C1307">
        <v>0</v>
      </c>
      <c r="D1307">
        <v>0</v>
      </c>
      <c r="E1307">
        <v>40</v>
      </c>
      <c r="F1307">
        <v>2.5</v>
      </c>
      <c r="G1307">
        <v>0.1754</v>
      </c>
      <c r="H1307">
        <v>0</v>
      </c>
      <c r="J1307">
        <v>0</v>
      </c>
      <c r="K1307">
        <f>YEAR(NetflixData[[#This Row],[date]])</f>
        <v>2022</v>
      </c>
      <c r="L1307" t="str">
        <f>TEXT(NetflixData[[#This Row],[date]],"mmm")</f>
        <v>Apr</v>
      </c>
      <c r="M1307" t="str">
        <f>TEXT(NetflixData[[#This Row],[date]],"mmm yyyy")</f>
        <v>Apr 2022</v>
      </c>
      <c r="N1307" t="str">
        <f t="shared" si="60"/>
        <v>Non-Trading Day</v>
      </c>
      <c r="O1307" t="str">
        <f t="shared" si="61"/>
        <v>No Change</v>
      </c>
      <c r="P1307" t="str">
        <f t="shared" si="62"/>
        <v>Positive</v>
      </c>
    </row>
    <row r="1308" spans="1:16" x14ac:dyDescent="0.3">
      <c r="A1308" s="1">
        <v>44661</v>
      </c>
      <c r="B1308">
        <v>35.590000000000003</v>
      </c>
      <c r="C1308">
        <v>0</v>
      </c>
      <c r="D1308">
        <v>0</v>
      </c>
      <c r="E1308">
        <v>48</v>
      </c>
      <c r="F1308">
        <v>2.98</v>
      </c>
      <c r="G1308">
        <v>0.26529999999999998</v>
      </c>
      <c r="H1308">
        <v>0</v>
      </c>
      <c r="J1308">
        <v>0</v>
      </c>
      <c r="K1308">
        <f>YEAR(NetflixData[[#This Row],[date]])</f>
        <v>2022</v>
      </c>
      <c r="L1308" t="str">
        <f>TEXT(NetflixData[[#This Row],[date]],"mmm")</f>
        <v>Apr</v>
      </c>
      <c r="M1308" t="str">
        <f>TEXT(NetflixData[[#This Row],[date]],"mmm yyyy")</f>
        <v>Apr 2022</v>
      </c>
      <c r="N1308" t="str">
        <f t="shared" si="60"/>
        <v>Trading Day</v>
      </c>
      <c r="O1308" t="str">
        <f t="shared" si="61"/>
        <v>No Change</v>
      </c>
      <c r="P1308" t="str">
        <f t="shared" si="62"/>
        <v>Positive</v>
      </c>
    </row>
    <row r="1309" spans="1:16" x14ac:dyDescent="0.3">
      <c r="A1309" s="1">
        <v>44662</v>
      </c>
      <c r="B1309">
        <v>34.799999999999997</v>
      </c>
      <c r="C1309">
        <v>37771000</v>
      </c>
      <c r="D1309">
        <v>-0.57099999999999995</v>
      </c>
      <c r="E1309">
        <v>47</v>
      </c>
      <c r="F1309">
        <v>3.09</v>
      </c>
      <c r="G1309">
        <v>0.1794</v>
      </c>
      <c r="H1309">
        <v>0</v>
      </c>
      <c r="J1309">
        <v>1</v>
      </c>
      <c r="K1309">
        <f>YEAR(NetflixData[[#This Row],[date]])</f>
        <v>2022</v>
      </c>
      <c r="L1309" t="str">
        <f>TEXT(NetflixData[[#This Row],[date]],"mmm")</f>
        <v>Apr</v>
      </c>
      <c r="M1309" t="str">
        <f>TEXT(NetflixData[[#This Row],[date]],"mmm yyyy")</f>
        <v>Apr 2022</v>
      </c>
      <c r="N1309" t="str">
        <f t="shared" si="60"/>
        <v>Trading Day</v>
      </c>
      <c r="O1309" t="str">
        <f t="shared" si="61"/>
        <v>Negative</v>
      </c>
      <c r="P1309" t="str">
        <f t="shared" si="62"/>
        <v>Positive</v>
      </c>
    </row>
    <row r="1310" spans="1:16" x14ac:dyDescent="0.3">
      <c r="A1310" s="1">
        <v>44663</v>
      </c>
      <c r="B1310">
        <v>34.409999999999997</v>
      </c>
      <c r="C1310">
        <v>38243000</v>
      </c>
      <c r="D1310">
        <v>-3.3180000000000001</v>
      </c>
      <c r="E1310">
        <v>42</v>
      </c>
      <c r="F1310">
        <v>2.86</v>
      </c>
      <c r="G1310">
        <v>0.20830000000000001</v>
      </c>
      <c r="H1310">
        <v>0</v>
      </c>
      <c r="J1310">
        <v>1</v>
      </c>
      <c r="K1310">
        <f>YEAR(NetflixData[[#This Row],[date]])</f>
        <v>2022</v>
      </c>
      <c r="L1310" t="str">
        <f>TEXT(NetflixData[[#This Row],[date]],"mmm")</f>
        <v>Apr</v>
      </c>
      <c r="M1310" t="str">
        <f>TEXT(NetflixData[[#This Row],[date]],"mmm yyyy")</f>
        <v>Apr 2022</v>
      </c>
      <c r="N1310" t="str">
        <f t="shared" si="60"/>
        <v>Trading Day</v>
      </c>
      <c r="O1310" t="str">
        <f t="shared" si="61"/>
        <v>Negative</v>
      </c>
      <c r="P1310" t="str">
        <f t="shared" si="62"/>
        <v>Positive</v>
      </c>
    </row>
    <row r="1311" spans="1:16" x14ac:dyDescent="0.3">
      <c r="A1311" s="1">
        <v>44664</v>
      </c>
      <c r="B1311">
        <v>35.04</v>
      </c>
      <c r="C1311">
        <v>32310000</v>
      </c>
      <c r="D1311">
        <v>1.893</v>
      </c>
      <c r="E1311">
        <v>37</v>
      </c>
      <c r="F1311">
        <v>2.65</v>
      </c>
      <c r="G1311">
        <v>0.15790000000000001</v>
      </c>
      <c r="H1311">
        <v>0</v>
      </c>
      <c r="J1311">
        <v>1</v>
      </c>
      <c r="K1311">
        <f>YEAR(NetflixData[[#This Row],[date]])</f>
        <v>2022</v>
      </c>
      <c r="L1311" t="str">
        <f>TEXT(NetflixData[[#This Row],[date]],"mmm")</f>
        <v>Apr</v>
      </c>
      <c r="M1311" t="str">
        <f>TEXT(NetflixData[[#This Row],[date]],"mmm yyyy")</f>
        <v>Apr 2022</v>
      </c>
      <c r="N1311" t="str">
        <f t="shared" si="60"/>
        <v>Trading Day</v>
      </c>
      <c r="O1311" t="str">
        <f t="shared" si="61"/>
        <v>Positive</v>
      </c>
      <c r="P1311" t="str">
        <f t="shared" si="62"/>
        <v>Positive</v>
      </c>
    </row>
    <row r="1312" spans="1:16" x14ac:dyDescent="0.3">
      <c r="A1312" s="1">
        <v>44665</v>
      </c>
      <c r="B1312">
        <v>34.11</v>
      </c>
      <c r="C1312">
        <v>43438000</v>
      </c>
      <c r="D1312">
        <v>-2.798</v>
      </c>
      <c r="E1312">
        <v>26</v>
      </c>
      <c r="F1312">
        <v>2.96</v>
      </c>
      <c r="G1312">
        <v>0.26290000000000002</v>
      </c>
      <c r="H1312">
        <v>0</v>
      </c>
      <c r="J1312">
        <v>1</v>
      </c>
      <c r="K1312">
        <f>YEAR(NetflixData[[#This Row],[date]])</f>
        <v>2022</v>
      </c>
      <c r="L1312" t="str">
        <f>TEXT(NetflixData[[#This Row],[date]],"mmm")</f>
        <v>Apr</v>
      </c>
      <c r="M1312" t="str">
        <f>TEXT(NetflixData[[#This Row],[date]],"mmm yyyy")</f>
        <v>Apr 2022</v>
      </c>
      <c r="N1312" t="str">
        <f t="shared" si="60"/>
        <v>Non-Trading Day</v>
      </c>
      <c r="O1312" t="str">
        <f t="shared" si="61"/>
        <v>Negative</v>
      </c>
      <c r="P1312" t="str">
        <f t="shared" si="62"/>
        <v>Positive</v>
      </c>
    </row>
    <row r="1313" spans="1:16" x14ac:dyDescent="0.3">
      <c r="A1313" s="1">
        <v>44666</v>
      </c>
      <c r="B1313">
        <v>34.11</v>
      </c>
      <c r="C1313">
        <v>0</v>
      </c>
      <c r="D1313">
        <v>0</v>
      </c>
      <c r="E1313">
        <v>52</v>
      </c>
      <c r="F1313">
        <v>3.02</v>
      </c>
      <c r="G1313">
        <v>0.21149999999999999</v>
      </c>
      <c r="H1313">
        <v>0</v>
      </c>
      <c r="J1313">
        <v>0</v>
      </c>
      <c r="K1313">
        <f>YEAR(NetflixData[[#This Row],[date]])</f>
        <v>2022</v>
      </c>
      <c r="L1313" t="str">
        <f>TEXT(NetflixData[[#This Row],[date]],"mmm")</f>
        <v>Apr</v>
      </c>
      <c r="M1313" t="str">
        <f>TEXT(NetflixData[[#This Row],[date]],"mmm yyyy")</f>
        <v>Apr 2022</v>
      </c>
      <c r="N1313" t="str">
        <f t="shared" si="60"/>
        <v>Non-Trading Day</v>
      </c>
      <c r="O1313" t="str">
        <f t="shared" si="61"/>
        <v>No Change</v>
      </c>
      <c r="P1313" t="str">
        <f t="shared" si="62"/>
        <v>Positive</v>
      </c>
    </row>
    <row r="1314" spans="1:16" x14ac:dyDescent="0.3">
      <c r="A1314" s="1">
        <v>44667</v>
      </c>
      <c r="B1314">
        <v>34.11</v>
      </c>
      <c r="C1314">
        <v>0</v>
      </c>
      <c r="D1314">
        <v>0</v>
      </c>
      <c r="E1314">
        <v>43</v>
      </c>
      <c r="F1314">
        <v>3.7</v>
      </c>
      <c r="G1314">
        <v>0.44790000000000002</v>
      </c>
      <c r="H1314">
        <v>0</v>
      </c>
      <c r="J1314">
        <v>0</v>
      </c>
      <c r="K1314">
        <f>YEAR(NetflixData[[#This Row],[date]])</f>
        <v>2022</v>
      </c>
      <c r="L1314" t="str">
        <f>TEXT(NetflixData[[#This Row],[date]],"mmm")</f>
        <v>Apr</v>
      </c>
      <c r="M1314" t="str">
        <f>TEXT(NetflixData[[#This Row],[date]],"mmm yyyy")</f>
        <v>Apr 2022</v>
      </c>
      <c r="N1314" t="str">
        <f t="shared" si="60"/>
        <v>Non-Trading Day</v>
      </c>
      <c r="O1314" t="str">
        <f t="shared" si="61"/>
        <v>No Change</v>
      </c>
      <c r="P1314" t="str">
        <f t="shared" si="62"/>
        <v>Positive</v>
      </c>
    </row>
    <row r="1315" spans="1:16" x14ac:dyDescent="0.3">
      <c r="A1315" s="1">
        <v>44668</v>
      </c>
      <c r="B1315">
        <v>34.11</v>
      </c>
      <c r="C1315">
        <v>0</v>
      </c>
      <c r="D1315">
        <v>0</v>
      </c>
      <c r="E1315">
        <v>39</v>
      </c>
      <c r="F1315">
        <v>2.59</v>
      </c>
      <c r="G1315">
        <v>0.154</v>
      </c>
      <c r="H1315">
        <v>0</v>
      </c>
      <c r="J1315">
        <v>0</v>
      </c>
      <c r="K1315">
        <f>YEAR(NetflixData[[#This Row],[date]])</f>
        <v>2022</v>
      </c>
      <c r="L1315" t="str">
        <f>TEXT(NetflixData[[#This Row],[date]],"mmm")</f>
        <v>Apr</v>
      </c>
      <c r="M1315" t="str">
        <f>TEXT(NetflixData[[#This Row],[date]],"mmm yyyy")</f>
        <v>Apr 2022</v>
      </c>
      <c r="N1315" t="str">
        <f t="shared" si="60"/>
        <v>Trading Day</v>
      </c>
      <c r="O1315" t="str">
        <f t="shared" si="61"/>
        <v>No Change</v>
      </c>
      <c r="P1315" t="str">
        <f t="shared" si="62"/>
        <v>Positive</v>
      </c>
    </row>
    <row r="1316" spans="1:16" x14ac:dyDescent="0.3">
      <c r="A1316" s="1">
        <v>44669</v>
      </c>
      <c r="B1316">
        <v>33.79</v>
      </c>
      <c r="C1316">
        <v>51050000</v>
      </c>
      <c r="D1316">
        <v>-0.629</v>
      </c>
      <c r="E1316">
        <v>38</v>
      </c>
      <c r="F1316">
        <v>2.84</v>
      </c>
      <c r="G1316">
        <v>0.255</v>
      </c>
      <c r="H1316">
        <v>0</v>
      </c>
      <c r="J1316">
        <v>1</v>
      </c>
      <c r="K1316">
        <f>YEAR(NetflixData[[#This Row],[date]])</f>
        <v>2022</v>
      </c>
      <c r="L1316" t="str">
        <f>TEXT(NetflixData[[#This Row],[date]],"mmm")</f>
        <v>Apr</v>
      </c>
      <c r="M1316" t="str">
        <f>TEXT(NetflixData[[#This Row],[date]],"mmm yyyy")</f>
        <v>Apr 2022</v>
      </c>
      <c r="N1316" t="str">
        <f t="shared" si="60"/>
        <v>Trading Day</v>
      </c>
      <c r="O1316" t="str">
        <f t="shared" si="61"/>
        <v>Negative</v>
      </c>
      <c r="P1316" t="str">
        <f t="shared" si="62"/>
        <v>Positive</v>
      </c>
    </row>
    <row r="1317" spans="1:16" x14ac:dyDescent="0.3">
      <c r="A1317" s="1">
        <v>44670</v>
      </c>
      <c r="B1317">
        <v>34.86</v>
      </c>
      <c r="C1317">
        <v>209069000</v>
      </c>
      <c r="D1317">
        <v>4.6189999999999998</v>
      </c>
      <c r="E1317">
        <v>52</v>
      </c>
      <c r="F1317">
        <v>2.65</v>
      </c>
      <c r="G1317">
        <v>0.20699999999999999</v>
      </c>
      <c r="H1317">
        <v>0</v>
      </c>
      <c r="J1317">
        <v>1</v>
      </c>
      <c r="K1317">
        <f>YEAR(NetflixData[[#This Row],[date]])</f>
        <v>2022</v>
      </c>
      <c r="L1317" t="str">
        <f>TEXT(NetflixData[[#This Row],[date]],"mmm")</f>
        <v>Apr</v>
      </c>
      <c r="M1317" t="str">
        <f>TEXT(NetflixData[[#This Row],[date]],"mmm yyyy")</f>
        <v>Apr 2022</v>
      </c>
      <c r="N1317" t="str">
        <f t="shared" si="60"/>
        <v>Trading Day</v>
      </c>
      <c r="O1317" t="str">
        <f t="shared" si="61"/>
        <v>Positive</v>
      </c>
      <c r="P1317" t="str">
        <f t="shared" si="62"/>
        <v>Positive</v>
      </c>
    </row>
    <row r="1318" spans="1:16" x14ac:dyDescent="0.3">
      <c r="A1318" s="1">
        <v>44671</v>
      </c>
      <c r="B1318">
        <v>22.62</v>
      </c>
      <c r="C1318">
        <v>1333875000</v>
      </c>
      <c r="D1318">
        <v>-7.7530000000000001</v>
      </c>
      <c r="E1318">
        <v>67</v>
      </c>
      <c r="F1318">
        <v>2.69</v>
      </c>
      <c r="G1318">
        <v>0.18690000000000001</v>
      </c>
      <c r="H1318">
        <v>0</v>
      </c>
      <c r="J1318">
        <v>1</v>
      </c>
      <c r="K1318">
        <f>YEAR(NetflixData[[#This Row],[date]])</f>
        <v>2022</v>
      </c>
      <c r="L1318" t="str">
        <f>TEXT(NetflixData[[#This Row],[date]],"mmm")</f>
        <v>Apr</v>
      </c>
      <c r="M1318" t="str">
        <f>TEXT(NetflixData[[#This Row],[date]],"mmm yyyy")</f>
        <v>Apr 2022</v>
      </c>
      <c r="N1318" t="str">
        <f t="shared" si="60"/>
        <v>Trading Day</v>
      </c>
      <c r="O1318" t="str">
        <f t="shared" si="61"/>
        <v>Negative</v>
      </c>
      <c r="P1318" t="str">
        <f t="shared" si="62"/>
        <v>Positive</v>
      </c>
    </row>
    <row r="1319" spans="1:16" x14ac:dyDescent="0.3">
      <c r="A1319" s="1">
        <v>44672</v>
      </c>
      <c r="B1319">
        <v>21.82</v>
      </c>
      <c r="C1319">
        <v>535016000</v>
      </c>
      <c r="D1319">
        <v>-0.80900000000000005</v>
      </c>
      <c r="E1319">
        <v>56</v>
      </c>
      <c r="F1319">
        <v>2.64</v>
      </c>
      <c r="G1319">
        <v>0.26960000000000001</v>
      </c>
      <c r="H1319">
        <v>0</v>
      </c>
      <c r="J1319">
        <v>1</v>
      </c>
      <c r="K1319">
        <f>YEAR(NetflixData[[#This Row],[date]])</f>
        <v>2022</v>
      </c>
      <c r="L1319" t="str">
        <f>TEXT(NetflixData[[#This Row],[date]],"mmm")</f>
        <v>Apr</v>
      </c>
      <c r="M1319" t="str">
        <f>TEXT(NetflixData[[#This Row],[date]],"mmm yyyy")</f>
        <v>Apr 2022</v>
      </c>
      <c r="N1319" t="str">
        <f t="shared" si="60"/>
        <v>Trading Day</v>
      </c>
      <c r="O1319" t="str">
        <f t="shared" si="61"/>
        <v>Negative</v>
      </c>
      <c r="P1319" t="str">
        <f t="shared" si="62"/>
        <v>Positive</v>
      </c>
    </row>
    <row r="1320" spans="1:16" x14ac:dyDescent="0.3">
      <c r="A1320" s="1">
        <v>44673</v>
      </c>
      <c r="B1320">
        <v>21.55</v>
      </c>
      <c r="C1320">
        <v>375151000</v>
      </c>
      <c r="D1320">
        <v>-2.1160000000000001</v>
      </c>
      <c r="E1320">
        <v>37</v>
      </c>
      <c r="F1320">
        <v>2.4300000000000002</v>
      </c>
      <c r="G1320">
        <v>0.22819999999999999</v>
      </c>
      <c r="H1320">
        <v>0</v>
      </c>
      <c r="J1320">
        <v>1</v>
      </c>
      <c r="K1320">
        <f>YEAR(NetflixData[[#This Row],[date]])</f>
        <v>2022</v>
      </c>
      <c r="L1320" t="str">
        <f>TEXT(NetflixData[[#This Row],[date]],"mmm")</f>
        <v>Apr</v>
      </c>
      <c r="M1320" t="str">
        <f>TEXT(NetflixData[[#This Row],[date]],"mmm yyyy")</f>
        <v>Apr 2022</v>
      </c>
      <c r="N1320" t="str">
        <f t="shared" si="60"/>
        <v>Non-Trading Day</v>
      </c>
      <c r="O1320" t="str">
        <f t="shared" si="61"/>
        <v>Negative</v>
      </c>
      <c r="P1320" t="str">
        <f t="shared" si="62"/>
        <v>Positive</v>
      </c>
    </row>
    <row r="1321" spans="1:16" x14ac:dyDescent="0.3">
      <c r="A1321" s="1">
        <v>44674</v>
      </c>
      <c r="B1321">
        <v>21.55</v>
      </c>
      <c r="C1321">
        <v>0</v>
      </c>
      <c r="D1321">
        <v>0</v>
      </c>
      <c r="E1321">
        <v>51</v>
      </c>
      <c r="F1321">
        <v>2.39</v>
      </c>
      <c r="G1321">
        <v>0.1396</v>
      </c>
      <c r="H1321">
        <v>0</v>
      </c>
      <c r="J1321">
        <v>0</v>
      </c>
      <c r="K1321">
        <f>YEAR(NetflixData[[#This Row],[date]])</f>
        <v>2022</v>
      </c>
      <c r="L1321" t="str">
        <f>TEXT(NetflixData[[#This Row],[date]],"mmm")</f>
        <v>Apr</v>
      </c>
      <c r="M1321" t="str">
        <f>TEXT(NetflixData[[#This Row],[date]],"mmm yyyy")</f>
        <v>Apr 2022</v>
      </c>
      <c r="N1321" t="str">
        <f t="shared" si="60"/>
        <v>Non-Trading Day</v>
      </c>
      <c r="O1321" t="str">
        <f t="shared" si="61"/>
        <v>No Change</v>
      </c>
      <c r="P1321" t="str">
        <f t="shared" si="62"/>
        <v>Positive</v>
      </c>
    </row>
    <row r="1322" spans="1:16" x14ac:dyDescent="0.3">
      <c r="A1322" s="1">
        <v>44675</v>
      </c>
      <c r="B1322">
        <v>21.55</v>
      </c>
      <c r="C1322">
        <v>0</v>
      </c>
      <c r="D1322">
        <v>0</v>
      </c>
      <c r="E1322">
        <v>60</v>
      </c>
      <c r="F1322">
        <v>2.5299999999999998</v>
      </c>
      <c r="G1322">
        <v>0.15240000000000001</v>
      </c>
      <c r="H1322">
        <v>0</v>
      </c>
      <c r="J1322">
        <v>0</v>
      </c>
      <c r="K1322">
        <f>YEAR(NetflixData[[#This Row],[date]])</f>
        <v>2022</v>
      </c>
      <c r="L1322" t="str">
        <f>TEXT(NetflixData[[#This Row],[date]],"mmm")</f>
        <v>Apr</v>
      </c>
      <c r="M1322" t="str">
        <f>TEXT(NetflixData[[#This Row],[date]],"mmm yyyy")</f>
        <v>Apr 2022</v>
      </c>
      <c r="N1322" t="str">
        <f t="shared" si="60"/>
        <v>Trading Day</v>
      </c>
      <c r="O1322" t="str">
        <f t="shared" si="61"/>
        <v>No Change</v>
      </c>
      <c r="P1322" t="str">
        <f t="shared" si="62"/>
        <v>Positive</v>
      </c>
    </row>
    <row r="1323" spans="1:16" x14ac:dyDescent="0.3">
      <c r="A1323" s="1">
        <v>44676</v>
      </c>
      <c r="B1323">
        <v>20.99</v>
      </c>
      <c r="C1323">
        <v>281520000</v>
      </c>
      <c r="D1323">
        <v>-1.8240000000000001</v>
      </c>
      <c r="E1323">
        <v>45</v>
      </c>
      <c r="F1323">
        <v>2.13</v>
      </c>
      <c r="G1323">
        <v>0.14180000000000001</v>
      </c>
      <c r="H1323">
        <v>0</v>
      </c>
      <c r="J1323">
        <v>1</v>
      </c>
      <c r="K1323">
        <f>YEAR(NetflixData[[#This Row],[date]])</f>
        <v>2022</v>
      </c>
      <c r="L1323" t="str">
        <f>TEXT(NetflixData[[#This Row],[date]],"mmm")</f>
        <v>Apr</v>
      </c>
      <c r="M1323" t="str">
        <f>TEXT(NetflixData[[#This Row],[date]],"mmm yyyy")</f>
        <v>Apr 2022</v>
      </c>
      <c r="N1323" t="str">
        <f t="shared" si="60"/>
        <v>Trading Day</v>
      </c>
      <c r="O1323" t="str">
        <f t="shared" si="61"/>
        <v>Negative</v>
      </c>
      <c r="P1323" t="str">
        <f t="shared" si="62"/>
        <v>Positive</v>
      </c>
    </row>
    <row r="1324" spans="1:16" x14ac:dyDescent="0.3">
      <c r="A1324" s="1">
        <v>44677</v>
      </c>
      <c r="B1324">
        <v>19.84</v>
      </c>
      <c r="C1324">
        <v>203181000</v>
      </c>
      <c r="D1324">
        <v>-4.9809999999999999</v>
      </c>
      <c r="E1324">
        <v>40</v>
      </c>
      <c r="F1324">
        <v>2.2200000000000002</v>
      </c>
      <c r="G1324">
        <v>0.12909999999999999</v>
      </c>
      <c r="H1324">
        <v>0</v>
      </c>
      <c r="J1324">
        <v>1</v>
      </c>
      <c r="K1324">
        <f>YEAR(NetflixData[[#This Row],[date]])</f>
        <v>2022</v>
      </c>
      <c r="L1324" t="str">
        <f>TEXT(NetflixData[[#This Row],[date]],"mmm")</f>
        <v>Apr</v>
      </c>
      <c r="M1324" t="str">
        <f>TEXT(NetflixData[[#This Row],[date]],"mmm yyyy")</f>
        <v>Apr 2022</v>
      </c>
      <c r="N1324" t="str">
        <f t="shared" si="60"/>
        <v>Trading Day</v>
      </c>
      <c r="O1324" t="str">
        <f t="shared" si="61"/>
        <v>Negative</v>
      </c>
      <c r="P1324" t="str">
        <f t="shared" si="62"/>
        <v>Positive</v>
      </c>
    </row>
    <row r="1325" spans="1:16" x14ac:dyDescent="0.3">
      <c r="A1325" s="1">
        <v>44678</v>
      </c>
      <c r="B1325">
        <v>18.850000000000001</v>
      </c>
      <c r="C1325">
        <v>222984000</v>
      </c>
      <c r="D1325">
        <v>-2.819</v>
      </c>
      <c r="E1325">
        <v>38</v>
      </c>
      <c r="F1325">
        <v>3.03</v>
      </c>
      <c r="G1325">
        <v>0.21440000000000001</v>
      </c>
      <c r="H1325">
        <v>0</v>
      </c>
      <c r="J1325">
        <v>1</v>
      </c>
      <c r="K1325">
        <f>YEAR(NetflixData[[#This Row],[date]])</f>
        <v>2022</v>
      </c>
      <c r="L1325" t="str">
        <f>TEXT(NetflixData[[#This Row],[date]],"mmm")</f>
        <v>Apr</v>
      </c>
      <c r="M1325" t="str">
        <f>TEXT(NetflixData[[#This Row],[date]],"mmm yyyy")</f>
        <v>Apr 2022</v>
      </c>
      <c r="N1325" t="str">
        <f t="shared" si="60"/>
        <v>Trading Day</v>
      </c>
      <c r="O1325" t="str">
        <f t="shared" si="61"/>
        <v>Negative</v>
      </c>
      <c r="P1325" t="str">
        <f t="shared" si="62"/>
        <v>Positive</v>
      </c>
    </row>
    <row r="1326" spans="1:16" x14ac:dyDescent="0.3">
      <c r="A1326" s="1">
        <v>44679</v>
      </c>
      <c r="B1326">
        <v>19.95</v>
      </c>
      <c r="C1326">
        <v>213632000</v>
      </c>
      <c r="D1326">
        <v>4.1550000000000002</v>
      </c>
      <c r="E1326">
        <v>30</v>
      </c>
      <c r="F1326">
        <v>2.4700000000000002</v>
      </c>
      <c r="G1326">
        <v>0.16839999999999999</v>
      </c>
      <c r="H1326">
        <v>0</v>
      </c>
      <c r="J1326">
        <v>1</v>
      </c>
      <c r="K1326">
        <f>YEAR(NetflixData[[#This Row],[date]])</f>
        <v>2022</v>
      </c>
      <c r="L1326" t="str">
        <f>TEXT(NetflixData[[#This Row],[date]],"mmm")</f>
        <v>Apr</v>
      </c>
      <c r="M1326" t="str">
        <f>TEXT(NetflixData[[#This Row],[date]],"mmm yyyy")</f>
        <v>Apr 2022</v>
      </c>
      <c r="N1326" t="str">
        <f t="shared" si="60"/>
        <v>Trading Day</v>
      </c>
      <c r="O1326" t="str">
        <f t="shared" si="61"/>
        <v>Positive</v>
      </c>
      <c r="P1326" t="str">
        <f t="shared" si="62"/>
        <v>Positive</v>
      </c>
    </row>
    <row r="1327" spans="1:16" x14ac:dyDescent="0.3">
      <c r="A1327" s="1">
        <v>44680</v>
      </c>
      <c r="B1327">
        <v>19.04</v>
      </c>
      <c r="C1327">
        <v>163919000</v>
      </c>
      <c r="D1327">
        <v>-4.1879999999999997</v>
      </c>
      <c r="E1327">
        <v>33</v>
      </c>
      <c r="F1327">
        <v>2.79</v>
      </c>
      <c r="G1327">
        <v>0.1502</v>
      </c>
      <c r="H1327">
        <v>0</v>
      </c>
      <c r="J1327">
        <v>1</v>
      </c>
      <c r="K1327">
        <f>YEAR(NetflixData[[#This Row],[date]])</f>
        <v>2022</v>
      </c>
      <c r="L1327" t="str">
        <f>TEXT(NetflixData[[#This Row],[date]],"mmm")</f>
        <v>Apr</v>
      </c>
      <c r="M1327" t="str">
        <f>TEXT(NetflixData[[#This Row],[date]],"mmm yyyy")</f>
        <v>Apr 2022</v>
      </c>
      <c r="N1327" t="str">
        <f t="shared" si="60"/>
        <v>Non-Trading Day</v>
      </c>
      <c r="O1327" t="str">
        <f t="shared" si="61"/>
        <v>Negative</v>
      </c>
      <c r="P1327" t="str">
        <f t="shared" si="62"/>
        <v>Positive</v>
      </c>
    </row>
    <row r="1328" spans="1:16" x14ac:dyDescent="0.3">
      <c r="A1328" s="1">
        <v>44681</v>
      </c>
      <c r="B1328">
        <v>19.04</v>
      </c>
      <c r="C1328">
        <v>0</v>
      </c>
      <c r="D1328">
        <v>0</v>
      </c>
      <c r="E1328">
        <v>38</v>
      </c>
      <c r="F1328">
        <v>2.66</v>
      </c>
      <c r="G1328">
        <v>8.9700000000000002E-2</v>
      </c>
      <c r="H1328">
        <v>0</v>
      </c>
      <c r="J1328">
        <v>0</v>
      </c>
      <c r="K1328">
        <f>YEAR(NetflixData[[#This Row],[date]])</f>
        <v>2022</v>
      </c>
      <c r="L1328" t="str">
        <f>TEXT(NetflixData[[#This Row],[date]],"mmm")</f>
        <v>Apr</v>
      </c>
      <c r="M1328" t="str">
        <f>TEXT(NetflixData[[#This Row],[date]],"mmm yyyy")</f>
        <v>Apr 2022</v>
      </c>
      <c r="N1328" t="str">
        <f t="shared" si="60"/>
        <v>Non-Trading Day</v>
      </c>
      <c r="O1328" t="str">
        <f t="shared" si="61"/>
        <v>No Change</v>
      </c>
      <c r="P1328" t="str">
        <f t="shared" si="62"/>
        <v>Neutral</v>
      </c>
    </row>
    <row r="1329" spans="1:16" x14ac:dyDescent="0.3">
      <c r="A1329" s="1">
        <v>44682</v>
      </c>
      <c r="B1329">
        <v>19.04</v>
      </c>
      <c r="C1329">
        <v>0</v>
      </c>
      <c r="D1329">
        <v>0</v>
      </c>
      <c r="E1329">
        <v>40</v>
      </c>
      <c r="F1329">
        <v>2.78</v>
      </c>
      <c r="G1329">
        <v>0.27729999999999999</v>
      </c>
      <c r="H1329">
        <v>0</v>
      </c>
      <c r="J1329">
        <v>0</v>
      </c>
      <c r="K1329">
        <f>YEAR(NetflixData[[#This Row],[date]])</f>
        <v>2022</v>
      </c>
      <c r="L1329" t="str">
        <f>TEXT(NetflixData[[#This Row],[date]],"mmm")</f>
        <v>May</v>
      </c>
      <c r="M1329" t="str">
        <f>TEXT(NetflixData[[#This Row],[date]],"mmm yyyy")</f>
        <v>May 2022</v>
      </c>
      <c r="N1329" t="str">
        <f t="shared" si="60"/>
        <v>Trading Day</v>
      </c>
      <c r="O1329" t="str">
        <f t="shared" si="61"/>
        <v>No Change</v>
      </c>
      <c r="P1329" t="str">
        <f t="shared" si="62"/>
        <v>Positive</v>
      </c>
    </row>
    <row r="1330" spans="1:16" x14ac:dyDescent="0.3">
      <c r="A1330" s="1">
        <v>44683</v>
      </c>
      <c r="B1330">
        <v>19.95</v>
      </c>
      <c r="C1330">
        <v>145916000</v>
      </c>
      <c r="D1330">
        <v>4.0430000000000001</v>
      </c>
      <c r="E1330">
        <v>49</v>
      </c>
      <c r="F1330">
        <v>2.63</v>
      </c>
      <c r="G1330">
        <v>0.1255</v>
      </c>
      <c r="H1330">
        <v>0</v>
      </c>
      <c r="J1330">
        <v>1</v>
      </c>
      <c r="K1330">
        <f>YEAR(NetflixData[[#This Row],[date]])</f>
        <v>2022</v>
      </c>
      <c r="L1330" t="str">
        <f>TEXT(NetflixData[[#This Row],[date]],"mmm")</f>
        <v>May</v>
      </c>
      <c r="M1330" t="str">
        <f>TEXT(NetflixData[[#This Row],[date]],"mmm yyyy")</f>
        <v>May 2022</v>
      </c>
      <c r="N1330" t="str">
        <f t="shared" si="60"/>
        <v>Trading Day</v>
      </c>
      <c r="O1330" t="str">
        <f t="shared" si="61"/>
        <v>Positive</v>
      </c>
      <c r="P1330" t="str">
        <f t="shared" si="62"/>
        <v>Positive</v>
      </c>
    </row>
    <row r="1331" spans="1:16" x14ac:dyDescent="0.3">
      <c r="A1331" s="1">
        <v>44684</v>
      </c>
      <c r="B1331">
        <v>19.989999999999998</v>
      </c>
      <c r="C1331">
        <v>118394000</v>
      </c>
      <c r="D1331">
        <v>0.79700000000000004</v>
      </c>
      <c r="E1331">
        <v>37</v>
      </c>
      <c r="F1331">
        <v>2.86</v>
      </c>
      <c r="G1331">
        <v>0.20150000000000001</v>
      </c>
      <c r="H1331">
        <v>0</v>
      </c>
      <c r="J1331">
        <v>1</v>
      </c>
      <c r="K1331">
        <f>YEAR(NetflixData[[#This Row],[date]])</f>
        <v>2022</v>
      </c>
      <c r="L1331" t="str">
        <f>TEXT(NetflixData[[#This Row],[date]],"mmm")</f>
        <v>May</v>
      </c>
      <c r="M1331" t="str">
        <f>TEXT(NetflixData[[#This Row],[date]],"mmm yyyy")</f>
        <v>May 2022</v>
      </c>
      <c r="N1331" t="str">
        <f t="shared" si="60"/>
        <v>Trading Day</v>
      </c>
      <c r="O1331" t="str">
        <f t="shared" si="61"/>
        <v>Positive</v>
      </c>
      <c r="P1331" t="str">
        <f t="shared" si="62"/>
        <v>Positive</v>
      </c>
    </row>
    <row r="1332" spans="1:16" x14ac:dyDescent="0.3">
      <c r="A1332" s="1">
        <v>44685</v>
      </c>
      <c r="B1332">
        <v>20.399999999999999</v>
      </c>
      <c r="C1332">
        <v>122188000</v>
      </c>
      <c r="D1332">
        <v>3.218</v>
      </c>
      <c r="E1332">
        <v>34</v>
      </c>
      <c r="F1332">
        <v>3.03</v>
      </c>
      <c r="G1332">
        <v>0.27160000000000001</v>
      </c>
      <c r="H1332">
        <v>0</v>
      </c>
      <c r="J1332">
        <v>1</v>
      </c>
      <c r="K1332">
        <f>YEAR(NetflixData[[#This Row],[date]])</f>
        <v>2022</v>
      </c>
      <c r="L1332" t="str">
        <f>TEXT(NetflixData[[#This Row],[date]],"mmm")</f>
        <v>May</v>
      </c>
      <c r="M1332" t="str">
        <f>TEXT(NetflixData[[#This Row],[date]],"mmm yyyy")</f>
        <v>May 2022</v>
      </c>
      <c r="N1332" t="str">
        <f t="shared" si="60"/>
        <v>Trading Day</v>
      </c>
      <c r="O1332" t="str">
        <f t="shared" si="61"/>
        <v>Positive</v>
      </c>
      <c r="P1332" t="str">
        <f t="shared" si="62"/>
        <v>Positive</v>
      </c>
    </row>
    <row r="1333" spans="1:16" x14ac:dyDescent="0.3">
      <c r="A1333" s="1">
        <v>44686</v>
      </c>
      <c r="B1333">
        <v>18.829999999999998</v>
      </c>
      <c r="C1333">
        <v>139713000</v>
      </c>
      <c r="D1333">
        <v>-6.0510000000000002</v>
      </c>
      <c r="E1333">
        <v>44</v>
      </c>
      <c r="F1333">
        <v>2.75</v>
      </c>
      <c r="G1333">
        <v>0.36059999999999998</v>
      </c>
      <c r="H1333">
        <v>0</v>
      </c>
      <c r="J1333">
        <v>1</v>
      </c>
      <c r="K1333">
        <f>YEAR(NetflixData[[#This Row],[date]])</f>
        <v>2022</v>
      </c>
      <c r="L1333" t="str">
        <f>TEXT(NetflixData[[#This Row],[date]],"mmm")</f>
        <v>May</v>
      </c>
      <c r="M1333" t="str">
        <f>TEXT(NetflixData[[#This Row],[date]],"mmm yyyy")</f>
        <v>May 2022</v>
      </c>
      <c r="N1333" t="str">
        <f t="shared" si="60"/>
        <v>Trading Day</v>
      </c>
      <c r="O1333" t="str">
        <f t="shared" si="61"/>
        <v>Negative</v>
      </c>
      <c r="P1333" t="str">
        <f t="shared" si="62"/>
        <v>Positive</v>
      </c>
    </row>
    <row r="1334" spans="1:16" x14ac:dyDescent="0.3">
      <c r="A1334" s="1">
        <v>44687</v>
      </c>
      <c r="B1334">
        <v>18.100000000000001</v>
      </c>
      <c r="C1334">
        <v>171855000</v>
      </c>
      <c r="D1334">
        <v>-3.0950000000000002</v>
      </c>
      <c r="E1334">
        <v>29</v>
      </c>
      <c r="F1334">
        <v>2.97</v>
      </c>
      <c r="G1334">
        <v>0.31640000000000001</v>
      </c>
      <c r="H1334">
        <v>0</v>
      </c>
      <c r="J1334">
        <v>1</v>
      </c>
      <c r="K1334">
        <f>YEAR(NetflixData[[#This Row],[date]])</f>
        <v>2022</v>
      </c>
      <c r="L1334" t="str">
        <f>TEXT(NetflixData[[#This Row],[date]],"mmm")</f>
        <v>May</v>
      </c>
      <c r="M1334" t="str">
        <f>TEXT(NetflixData[[#This Row],[date]],"mmm yyyy")</f>
        <v>May 2022</v>
      </c>
      <c r="N1334" t="str">
        <f t="shared" si="60"/>
        <v>Non-Trading Day</v>
      </c>
      <c r="O1334" t="str">
        <f t="shared" si="61"/>
        <v>Negative</v>
      </c>
      <c r="P1334" t="str">
        <f t="shared" si="62"/>
        <v>Positive</v>
      </c>
    </row>
    <row r="1335" spans="1:16" x14ac:dyDescent="0.3">
      <c r="A1335" s="1">
        <v>44688</v>
      </c>
      <c r="B1335">
        <v>18.100000000000001</v>
      </c>
      <c r="C1335">
        <v>0</v>
      </c>
      <c r="D1335">
        <v>0</v>
      </c>
      <c r="E1335">
        <v>47</v>
      </c>
      <c r="F1335">
        <v>2.38</v>
      </c>
      <c r="G1335">
        <v>0.1817</v>
      </c>
      <c r="H1335">
        <v>0</v>
      </c>
      <c r="J1335">
        <v>0</v>
      </c>
      <c r="K1335">
        <f>YEAR(NetflixData[[#This Row],[date]])</f>
        <v>2022</v>
      </c>
      <c r="L1335" t="str">
        <f>TEXT(NetflixData[[#This Row],[date]],"mmm")</f>
        <v>May</v>
      </c>
      <c r="M1335" t="str">
        <f>TEXT(NetflixData[[#This Row],[date]],"mmm yyyy")</f>
        <v>May 2022</v>
      </c>
      <c r="N1335" t="str">
        <f t="shared" si="60"/>
        <v>Non-Trading Day</v>
      </c>
      <c r="O1335" t="str">
        <f t="shared" si="61"/>
        <v>No Change</v>
      </c>
      <c r="P1335" t="str">
        <f t="shared" si="62"/>
        <v>Positive</v>
      </c>
    </row>
    <row r="1336" spans="1:16" x14ac:dyDescent="0.3">
      <c r="A1336" s="1">
        <v>44689</v>
      </c>
      <c r="B1336">
        <v>18.100000000000001</v>
      </c>
      <c r="C1336">
        <v>0</v>
      </c>
      <c r="D1336">
        <v>0</v>
      </c>
      <c r="E1336">
        <v>45</v>
      </c>
      <c r="F1336">
        <v>2.27</v>
      </c>
      <c r="G1336">
        <v>0.18</v>
      </c>
      <c r="H1336">
        <v>0</v>
      </c>
      <c r="J1336">
        <v>0</v>
      </c>
      <c r="K1336">
        <f>YEAR(NetflixData[[#This Row],[date]])</f>
        <v>2022</v>
      </c>
      <c r="L1336" t="str">
        <f>TEXT(NetflixData[[#This Row],[date]],"mmm")</f>
        <v>May</v>
      </c>
      <c r="M1336" t="str">
        <f>TEXT(NetflixData[[#This Row],[date]],"mmm yyyy")</f>
        <v>May 2022</v>
      </c>
      <c r="N1336" t="str">
        <f t="shared" si="60"/>
        <v>Trading Day</v>
      </c>
      <c r="O1336" t="str">
        <f t="shared" si="61"/>
        <v>No Change</v>
      </c>
      <c r="P1336" t="str">
        <f t="shared" si="62"/>
        <v>Positive</v>
      </c>
    </row>
    <row r="1337" spans="1:16" x14ac:dyDescent="0.3">
      <c r="A1337" s="1">
        <v>44690</v>
      </c>
      <c r="B1337">
        <v>17.309999999999999</v>
      </c>
      <c r="C1337">
        <v>140313000</v>
      </c>
      <c r="D1337">
        <v>-2.5670000000000002</v>
      </c>
      <c r="E1337">
        <v>32</v>
      </c>
      <c r="F1337">
        <v>3.06</v>
      </c>
      <c r="G1337">
        <v>0.1799</v>
      </c>
      <c r="H1337">
        <v>0</v>
      </c>
      <c r="J1337">
        <v>1</v>
      </c>
      <c r="K1337">
        <f>YEAR(NetflixData[[#This Row],[date]])</f>
        <v>2022</v>
      </c>
      <c r="L1337" t="str">
        <f>TEXT(NetflixData[[#This Row],[date]],"mmm")</f>
        <v>May</v>
      </c>
      <c r="M1337" t="str">
        <f>TEXT(NetflixData[[#This Row],[date]],"mmm yyyy")</f>
        <v>May 2022</v>
      </c>
      <c r="N1337" t="str">
        <f t="shared" si="60"/>
        <v>Trading Day</v>
      </c>
      <c r="O1337" t="str">
        <f t="shared" si="61"/>
        <v>Negative</v>
      </c>
      <c r="P1337" t="str">
        <f t="shared" si="62"/>
        <v>Positive</v>
      </c>
    </row>
    <row r="1338" spans="1:16" x14ac:dyDescent="0.3">
      <c r="A1338" s="1">
        <v>44691</v>
      </c>
      <c r="B1338">
        <v>17.77</v>
      </c>
      <c r="C1338">
        <v>138839000</v>
      </c>
      <c r="D1338">
        <v>0.93700000000000006</v>
      </c>
      <c r="E1338">
        <v>33</v>
      </c>
      <c r="F1338">
        <v>2.33</v>
      </c>
      <c r="G1338">
        <v>0.1212</v>
      </c>
      <c r="H1338">
        <v>0</v>
      </c>
      <c r="J1338">
        <v>1</v>
      </c>
      <c r="K1338">
        <f>YEAR(NetflixData[[#This Row],[date]])</f>
        <v>2022</v>
      </c>
      <c r="L1338" t="str">
        <f>TEXT(NetflixData[[#This Row],[date]],"mmm")</f>
        <v>May</v>
      </c>
      <c r="M1338" t="str">
        <f>TEXT(NetflixData[[#This Row],[date]],"mmm yyyy")</f>
        <v>May 2022</v>
      </c>
      <c r="N1338" t="str">
        <f t="shared" si="60"/>
        <v>Trading Day</v>
      </c>
      <c r="O1338" t="str">
        <f t="shared" si="61"/>
        <v>Positive</v>
      </c>
      <c r="P1338" t="str">
        <f t="shared" si="62"/>
        <v>Positive</v>
      </c>
    </row>
    <row r="1339" spans="1:16" x14ac:dyDescent="0.3">
      <c r="A1339" s="1">
        <v>44692</v>
      </c>
      <c r="B1339">
        <v>16.64</v>
      </c>
      <c r="C1339">
        <v>126655000</v>
      </c>
      <c r="D1339">
        <v>-5.52</v>
      </c>
      <c r="E1339">
        <v>45</v>
      </c>
      <c r="F1339">
        <v>2.64</v>
      </c>
      <c r="G1339">
        <v>6.9000000000000006E-2</v>
      </c>
      <c r="H1339">
        <v>0</v>
      </c>
      <c r="J1339">
        <v>1</v>
      </c>
      <c r="K1339">
        <f>YEAR(NetflixData[[#This Row],[date]])</f>
        <v>2022</v>
      </c>
      <c r="L1339" t="str">
        <f>TEXT(NetflixData[[#This Row],[date]],"mmm")</f>
        <v>May</v>
      </c>
      <c r="M1339" t="str">
        <f>TEXT(NetflixData[[#This Row],[date]],"mmm yyyy")</f>
        <v>May 2022</v>
      </c>
      <c r="N1339" t="str">
        <f t="shared" si="60"/>
        <v>Trading Day</v>
      </c>
      <c r="O1339" t="str">
        <f t="shared" si="61"/>
        <v>Negative</v>
      </c>
      <c r="P1339" t="str">
        <f t="shared" si="62"/>
        <v>Neutral</v>
      </c>
    </row>
    <row r="1340" spans="1:16" x14ac:dyDescent="0.3">
      <c r="A1340" s="1">
        <v>44693</v>
      </c>
      <c r="B1340">
        <v>17.43</v>
      </c>
      <c r="C1340">
        <v>176621000</v>
      </c>
      <c r="D1340">
        <v>6.3129999999999997</v>
      </c>
      <c r="E1340">
        <v>46</v>
      </c>
      <c r="F1340">
        <v>2.78</v>
      </c>
      <c r="G1340">
        <v>0.17469999999999999</v>
      </c>
      <c r="H1340">
        <v>0</v>
      </c>
      <c r="J1340">
        <v>1</v>
      </c>
      <c r="K1340">
        <f>YEAR(NetflixData[[#This Row],[date]])</f>
        <v>2022</v>
      </c>
      <c r="L1340" t="str">
        <f>TEXT(NetflixData[[#This Row],[date]],"mmm")</f>
        <v>May</v>
      </c>
      <c r="M1340" t="str">
        <f>TEXT(NetflixData[[#This Row],[date]],"mmm yyyy")</f>
        <v>May 2022</v>
      </c>
      <c r="N1340" t="str">
        <f t="shared" si="60"/>
        <v>Trading Day</v>
      </c>
      <c r="O1340" t="str">
        <f t="shared" si="61"/>
        <v>Positive</v>
      </c>
      <c r="P1340" t="str">
        <f t="shared" si="62"/>
        <v>Positive</v>
      </c>
    </row>
    <row r="1341" spans="1:16" x14ac:dyDescent="0.3">
      <c r="A1341" s="1">
        <v>44694</v>
      </c>
      <c r="B1341">
        <v>18.760000000000002</v>
      </c>
      <c r="C1341">
        <v>131363000</v>
      </c>
      <c r="D1341">
        <v>5.9160000000000004</v>
      </c>
      <c r="E1341">
        <v>37</v>
      </c>
      <c r="F1341">
        <v>2.78</v>
      </c>
      <c r="G1341">
        <v>0.21990000000000001</v>
      </c>
      <c r="H1341">
        <v>0</v>
      </c>
      <c r="J1341">
        <v>1</v>
      </c>
      <c r="K1341">
        <f>YEAR(NetflixData[[#This Row],[date]])</f>
        <v>2022</v>
      </c>
      <c r="L1341" t="str">
        <f>TEXT(NetflixData[[#This Row],[date]],"mmm")</f>
        <v>May</v>
      </c>
      <c r="M1341" t="str">
        <f>TEXT(NetflixData[[#This Row],[date]],"mmm yyyy")</f>
        <v>May 2022</v>
      </c>
      <c r="N1341" t="str">
        <f t="shared" si="60"/>
        <v>Non-Trading Day</v>
      </c>
      <c r="O1341" t="str">
        <f t="shared" si="61"/>
        <v>Positive</v>
      </c>
      <c r="P1341" t="str">
        <f t="shared" si="62"/>
        <v>Positive</v>
      </c>
    </row>
    <row r="1342" spans="1:16" x14ac:dyDescent="0.3">
      <c r="A1342" s="1">
        <v>44695</v>
      </c>
      <c r="B1342">
        <v>18.760000000000002</v>
      </c>
      <c r="C1342">
        <v>0</v>
      </c>
      <c r="D1342">
        <v>0</v>
      </c>
      <c r="E1342">
        <v>43</v>
      </c>
      <c r="F1342">
        <v>3.14</v>
      </c>
      <c r="G1342">
        <v>0.2278</v>
      </c>
      <c r="H1342">
        <v>0</v>
      </c>
      <c r="J1342">
        <v>0</v>
      </c>
      <c r="K1342">
        <f>YEAR(NetflixData[[#This Row],[date]])</f>
        <v>2022</v>
      </c>
      <c r="L1342" t="str">
        <f>TEXT(NetflixData[[#This Row],[date]],"mmm")</f>
        <v>May</v>
      </c>
      <c r="M1342" t="str">
        <f>TEXT(NetflixData[[#This Row],[date]],"mmm yyyy")</f>
        <v>May 2022</v>
      </c>
      <c r="N1342" t="str">
        <f t="shared" si="60"/>
        <v>Non-Trading Day</v>
      </c>
      <c r="O1342" t="str">
        <f t="shared" si="61"/>
        <v>No Change</v>
      </c>
      <c r="P1342" t="str">
        <f t="shared" si="62"/>
        <v>Positive</v>
      </c>
    </row>
    <row r="1343" spans="1:16" x14ac:dyDescent="0.3">
      <c r="A1343" s="1">
        <v>44696</v>
      </c>
      <c r="B1343">
        <v>18.760000000000002</v>
      </c>
      <c r="C1343">
        <v>0</v>
      </c>
      <c r="D1343">
        <v>0</v>
      </c>
      <c r="E1343">
        <v>56</v>
      </c>
      <c r="F1343">
        <v>2.77</v>
      </c>
      <c r="G1343">
        <v>0.19450000000000001</v>
      </c>
      <c r="H1343">
        <v>0</v>
      </c>
      <c r="J1343">
        <v>0</v>
      </c>
      <c r="K1343">
        <f>YEAR(NetflixData[[#This Row],[date]])</f>
        <v>2022</v>
      </c>
      <c r="L1343" t="str">
        <f>TEXT(NetflixData[[#This Row],[date]],"mmm")</f>
        <v>May</v>
      </c>
      <c r="M1343" t="str">
        <f>TEXT(NetflixData[[#This Row],[date]],"mmm yyyy")</f>
        <v>May 2022</v>
      </c>
      <c r="N1343" t="str">
        <f t="shared" si="60"/>
        <v>Trading Day</v>
      </c>
      <c r="O1343" t="str">
        <f t="shared" si="61"/>
        <v>No Change</v>
      </c>
      <c r="P1343" t="str">
        <f t="shared" si="62"/>
        <v>Positive</v>
      </c>
    </row>
    <row r="1344" spans="1:16" x14ac:dyDescent="0.3">
      <c r="A1344" s="1">
        <v>44697</v>
      </c>
      <c r="B1344">
        <v>18.649999999999999</v>
      </c>
      <c r="C1344">
        <v>161450000</v>
      </c>
      <c r="D1344">
        <v>-3.5129999999999999</v>
      </c>
      <c r="E1344">
        <v>35</v>
      </c>
      <c r="F1344">
        <v>2.4900000000000002</v>
      </c>
      <c r="G1344">
        <v>0.1187</v>
      </c>
      <c r="H1344">
        <v>0</v>
      </c>
      <c r="J1344">
        <v>1</v>
      </c>
      <c r="K1344">
        <f>YEAR(NetflixData[[#This Row],[date]])</f>
        <v>2022</v>
      </c>
      <c r="L1344" t="str">
        <f>TEXT(NetflixData[[#This Row],[date]],"mmm")</f>
        <v>May</v>
      </c>
      <c r="M1344" t="str">
        <f>TEXT(NetflixData[[#This Row],[date]],"mmm yyyy")</f>
        <v>May 2022</v>
      </c>
      <c r="N1344" t="str">
        <f t="shared" si="60"/>
        <v>Trading Day</v>
      </c>
      <c r="O1344" t="str">
        <f t="shared" si="61"/>
        <v>Negative</v>
      </c>
      <c r="P1344" t="str">
        <f t="shared" si="62"/>
        <v>Positive</v>
      </c>
    </row>
    <row r="1345" spans="1:16" x14ac:dyDescent="0.3">
      <c r="A1345" s="1">
        <v>44698</v>
      </c>
      <c r="B1345">
        <v>19.059999999999999</v>
      </c>
      <c r="C1345">
        <v>98767000</v>
      </c>
      <c r="D1345">
        <v>0.73499999999999999</v>
      </c>
      <c r="E1345">
        <v>40</v>
      </c>
      <c r="F1345">
        <v>3.12</v>
      </c>
      <c r="G1345">
        <v>0.1812</v>
      </c>
      <c r="H1345">
        <v>0</v>
      </c>
      <c r="J1345">
        <v>1</v>
      </c>
      <c r="K1345">
        <f>YEAR(NetflixData[[#This Row],[date]])</f>
        <v>2022</v>
      </c>
      <c r="L1345" t="str">
        <f>TEXT(NetflixData[[#This Row],[date]],"mmm")</f>
        <v>May</v>
      </c>
      <c r="M1345" t="str">
        <f>TEXT(NetflixData[[#This Row],[date]],"mmm yyyy")</f>
        <v>May 2022</v>
      </c>
      <c r="N1345" t="str">
        <f t="shared" si="60"/>
        <v>Trading Day</v>
      </c>
      <c r="O1345" t="str">
        <f t="shared" si="61"/>
        <v>Positive</v>
      </c>
      <c r="P1345" t="str">
        <f t="shared" si="62"/>
        <v>Positive</v>
      </c>
    </row>
    <row r="1346" spans="1:16" x14ac:dyDescent="0.3">
      <c r="A1346" s="1">
        <v>44699</v>
      </c>
      <c r="B1346">
        <v>17.72</v>
      </c>
      <c r="C1346">
        <v>96656000</v>
      </c>
      <c r="D1346">
        <v>-5.1040000000000001</v>
      </c>
      <c r="E1346">
        <v>26</v>
      </c>
      <c r="F1346">
        <v>2.65</v>
      </c>
      <c r="G1346">
        <v>0.21290000000000001</v>
      </c>
      <c r="H1346">
        <v>0</v>
      </c>
      <c r="J1346">
        <v>1</v>
      </c>
      <c r="K1346">
        <f>YEAR(NetflixData[[#This Row],[date]])</f>
        <v>2022</v>
      </c>
      <c r="L1346" t="str">
        <f>TEXT(NetflixData[[#This Row],[date]],"mmm")</f>
        <v>May</v>
      </c>
      <c r="M1346" t="str">
        <f>TEXT(NetflixData[[#This Row],[date]],"mmm yyyy")</f>
        <v>May 2022</v>
      </c>
      <c r="N1346" t="str">
        <f t="shared" ref="N1346:N1409" si="63">IF(J1347=1,"Trading Day","Non-Trading Day")</f>
        <v>Trading Day</v>
      </c>
      <c r="O1346" t="str">
        <f t="shared" ref="O1346:O1409" si="64">IF(D1346&gt;0,"Positive",IF(D1346&lt;0,"Negative","No Change"))</f>
        <v>Negative</v>
      </c>
      <c r="P1346" t="str">
        <f t="shared" ref="P1346:P1409" si="65">IF(G1346&gt;0.1,"Positive",IF(G1346&lt;-0.1,"Negative","Neutral"))</f>
        <v>Positive</v>
      </c>
    </row>
    <row r="1347" spans="1:16" x14ac:dyDescent="0.3">
      <c r="A1347" s="1">
        <v>44700</v>
      </c>
      <c r="B1347">
        <v>18.350000000000001</v>
      </c>
      <c r="C1347">
        <v>104485000</v>
      </c>
      <c r="D1347">
        <v>3.05</v>
      </c>
      <c r="E1347">
        <v>32</v>
      </c>
      <c r="F1347">
        <v>2.69</v>
      </c>
      <c r="G1347">
        <v>0.1071</v>
      </c>
      <c r="H1347">
        <v>0</v>
      </c>
      <c r="J1347">
        <v>1</v>
      </c>
      <c r="K1347">
        <f>YEAR(NetflixData[[#This Row],[date]])</f>
        <v>2022</v>
      </c>
      <c r="L1347" t="str">
        <f>TEXT(NetflixData[[#This Row],[date]],"mmm")</f>
        <v>May</v>
      </c>
      <c r="M1347" t="str">
        <f>TEXT(NetflixData[[#This Row],[date]],"mmm yyyy")</f>
        <v>May 2022</v>
      </c>
      <c r="N1347" t="str">
        <f t="shared" si="63"/>
        <v>Trading Day</v>
      </c>
      <c r="O1347" t="str">
        <f t="shared" si="64"/>
        <v>Positive</v>
      </c>
      <c r="P1347" t="str">
        <f t="shared" si="65"/>
        <v>Positive</v>
      </c>
    </row>
    <row r="1348" spans="1:16" x14ac:dyDescent="0.3">
      <c r="A1348" s="1">
        <v>44701</v>
      </c>
      <c r="B1348">
        <v>18.64</v>
      </c>
      <c r="C1348">
        <v>104294000</v>
      </c>
      <c r="D1348">
        <v>0.25800000000000001</v>
      </c>
      <c r="E1348">
        <v>31</v>
      </c>
      <c r="F1348">
        <v>2.4500000000000002</v>
      </c>
      <c r="G1348">
        <v>0.1409</v>
      </c>
      <c r="H1348">
        <v>0</v>
      </c>
      <c r="J1348">
        <v>1</v>
      </c>
      <c r="K1348">
        <f>YEAR(NetflixData[[#This Row],[date]])</f>
        <v>2022</v>
      </c>
      <c r="L1348" t="str">
        <f>TEXT(NetflixData[[#This Row],[date]],"mmm")</f>
        <v>May</v>
      </c>
      <c r="M1348" t="str">
        <f>TEXT(NetflixData[[#This Row],[date]],"mmm yyyy")</f>
        <v>May 2022</v>
      </c>
      <c r="N1348" t="str">
        <f t="shared" si="63"/>
        <v>Non-Trading Day</v>
      </c>
      <c r="O1348" t="str">
        <f t="shared" si="64"/>
        <v>Positive</v>
      </c>
      <c r="P1348" t="str">
        <f t="shared" si="65"/>
        <v>Positive</v>
      </c>
    </row>
    <row r="1349" spans="1:16" x14ac:dyDescent="0.3">
      <c r="A1349" s="1">
        <v>44702</v>
      </c>
      <c r="B1349">
        <v>18.64</v>
      </c>
      <c r="C1349">
        <v>0</v>
      </c>
      <c r="D1349">
        <v>0</v>
      </c>
      <c r="E1349">
        <v>47</v>
      </c>
      <c r="F1349">
        <v>2.85</v>
      </c>
      <c r="G1349">
        <v>0.2253</v>
      </c>
      <c r="H1349">
        <v>0</v>
      </c>
      <c r="J1349">
        <v>0</v>
      </c>
      <c r="K1349">
        <f>YEAR(NetflixData[[#This Row],[date]])</f>
        <v>2022</v>
      </c>
      <c r="L1349" t="str">
        <f>TEXT(NetflixData[[#This Row],[date]],"mmm")</f>
        <v>May</v>
      </c>
      <c r="M1349" t="str">
        <f>TEXT(NetflixData[[#This Row],[date]],"mmm yyyy")</f>
        <v>May 2022</v>
      </c>
      <c r="N1349" t="str">
        <f t="shared" si="63"/>
        <v>Non-Trading Day</v>
      </c>
      <c r="O1349" t="str">
        <f t="shared" si="64"/>
        <v>No Change</v>
      </c>
      <c r="P1349" t="str">
        <f t="shared" si="65"/>
        <v>Positive</v>
      </c>
    </row>
    <row r="1350" spans="1:16" x14ac:dyDescent="0.3">
      <c r="A1350" s="1">
        <v>44703</v>
      </c>
      <c r="B1350">
        <v>18.64</v>
      </c>
      <c r="C1350">
        <v>0</v>
      </c>
      <c r="D1350">
        <v>0</v>
      </c>
      <c r="E1350">
        <v>45</v>
      </c>
      <c r="F1350">
        <v>2.38</v>
      </c>
      <c r="G1350">
        <v>0.1731</v>
      </c>
      <c r="H1350">
        <v>0</v>
      </c>
      <c r="J1350">
        <v>0</v>
      </c>
      <c r="K1350">
        <f>YEAR(NetflixData[[#This Row],[date]])</f>
        <v>2022</v>
      </c>
      <c r="L1350" t="str">
        <f>TEXT(NetflixData[[#This Row],[date]],"mmm")</f>
        <v>May</v>
      </c>
      <c r="M1350" t="str">
        <f>TEXT(NetflixData[[#This Row],[date]],"mmm yyyy")</f>
        <v>May 2022</v>
      </c>
      <c r="N1350" t="str">
        <f t="shared" si="63"/>
        <v>Trading Day</v>
      </c>
      <c r="O1350" t="str">
        <f t="shared" si="64"/>
        <v>No Change</v>
      </c>
      <c r="P1350" t="str">
        <f t="shared" si="65"/>
        <v>Positive</v>
      </c>
    </row>
    <row r="1351" spans="1:16" x14ac:dyDescent="0.3">
      <c r="A1351" s="1">
        <v>44704</v>
      </c>
      <c r="B1351">
        <v>18.739999999999998</v>
      </c>
      <c r="C1351">
        <v>96020000</v>
      </c>
      <c r="D1351">
        <v>0.69299999999999995</v>
      </c>
      <c r="E1351">
        <v>38</v>
      </c>
      <c r="F1351">
        <v>2.66</v>
      </c>
      <c r="G1351">
        <v>0.10009999999999999</v>
      </c>
      <c r="H1351">
        <v>0</v>
      </c>
      <c r="J1351">
        <v>1</v>
      </c>
      <c r="K1351">
        <f>YEAR(NetflixData[[#This Row],[date]])</f>
        <v>2022</v>
      </c>
      <c r="L1351" t="str">
        <f>TEXT(NetflixData[[#This Row],[date]],"mmm")</f>
        <v>May</v>
      </c>
      <c r="M1351" t="str">
        <f>TEXT(NetflixData[[#This Row],[date]],"mmm yyyy")</f>
        <v>May 2022</v>
      </c>
      <c r="N1351" t="str">
        <f t="shared" si="63"/>
        <v>Trading Day</v>
      </c>
      <c r="O1351" t="str">
        <f t="shared" si="64"/>
        <v>Positive</v>
      </c>
      <c r="P1351" t="str">
        <f t="shared" si="65"/>
        <v>Positive</v>
      </c>
    </row>
    <row r="1352" spans="1:16" x14ac:dyDescent="0.3">
      <c r="A1352" s="1">
        <v>44705</v>
      </c>
      <c r="B1352">
        <v>18.03</v>
      </c>
      <c r="C1352">
        <v>77064000</v>
      </c>
      <c r="D1352">
        <v>-0.91200000000000003</v>
      </c>
      <c r="E1352">
        <v>37</v>
      </c>
      <c r="F1352">
        <v>2.3199999999999998</v>
      </c>
      <c r="G1352">
        <v>0.14149999999999999</v>
      </c>
      <c r="H1352">
        <v>0</v>
      </c>
      <c r="J1352">
        <v>1</v>
      </c>
      <c r="K1352">
        <f>YEAR(NetflixData[[#This Row],[date]])</f>
        <v>2022</v>
      </c>
      <c r="L1352" t="str">
        <f>TEXT(NetflixData[[#This Row],[date]],"mmm")</f>
        <v>May</v>
      </c>
      <c r="M1352" t="str">
        <f>TEXT(NetflixData[[#This Row],[date]],"mmm yyyy")</f>
        <v>May 2022</v>
      </c>
      <c r="N1352" t="str">
        <f t="shared" si="63"/>
        <v>Trading Day</v>
      </c>
      <c r="O1352" t="str">
        <f t="shared" si="64"/>
        <v>Negative</v>
      </c>
      <c r="P1352" t="str">
        <f t="shared" si="65"/>
        <v>Positive</v>
      </c>
    </row>
    <row r="1353" spans="1:16" x14ac:dyDescent="0.3">
      <c r="A1353" s="1">
        <v>44706</v>
      </c>
      <c r="B1353">
        <v>18.78</v>
      </c>
      <c r="C1353">
        <v>85221000</v>
      </c>
      <c r="D1353">
        <v>4.1879999999999997</v>
      </c>
      <c r="E1353">
        <v>36</v>
      </c>
      <c r="F1353">
        <v>3</v>
      </c>
      <c r="G1353">
        <v>0.23319999999999999</v>
      </c>
      <c r="H1353">
        <v>0</v>
      </c>
      <c r="J1353">
        <v>1</v>
      </c>
      <c r="K1353">
        <f>YEAR(NetflixData[[#This Row],[date]])</f>
        <v>2022</v>
      </c>
      <c r="L1353" t="str">
        <f>TEXT(NetflixData[[#This Row],[date]],"mmm")</f>
        <v>May</v>
      </c>
      <c r="M1353" t="str">
        <f>TEXT(NetflixData[[#This Row],[date]],"mmm yyyy")</f>
        <v>May 2022</v>
      </c>
      <c r="N1353" t="str">
        <f t="shared" si="63"/>
        <v>Trading Day</v>
      </c>
      <c r="O1353" t="str">
        <f t="shared" si="64"/>
        <v>Positive</v>
      </c>
      <c r="P1353" t="str">
        <f t="shared" si="65"/>
        <v>Positive</v>
      </c>
    </row>
    <row r="1354" spans="1:16" x14ac:dyDescent="0.3">
      <c r="A1354" s="1">
        <v>44707</v>
      </c>
      <c r="B1354">
        <v>19.14</v>
      </c>
      <c r="C1354">
        <v>80499000</v>
      </c>
      <c r="D1354">
        <v>2.633</v>
      </c>
      <c r="E1354">
        <v>46</v>
      </c>
      <c r="F1354">
        <v>2.83</v>
      </c>
      <c r="G1354">
        <v>8.5300000000000001E-2</v>
      </c>
      <c r="H1354">
        <v>0</v>
      </c>
      <c r="J1354">
        <v>1</v>
      </c>
      <c r="K1354">
        <f>YEAR(NetflixData[[#This Row],[date]])</f>
        <v>2022</v>
      </c>
      <c r="L1354" t="str">
        <f>TEXT(NetflixData[[#This Row],[date]],"mmm")</f>
        <v>May</v>
      </c>
      <c r="M1354" t="str">
        <f>TEXT(NetflixData[[#This Row],[date]],"mmm yyyy")</f>
        <v>May 2022</v>
      </c>
      <c r="N1354" t="str">
        <f t="shared" si="63"/>
        <v>Trading Day</v>
      </c>
      <c r="O1354" t="str">
        <f t="shared" si="64"/>
        <v>Positive</v>
      </c>
      <c r="P1354" t="str">
        <f t="shared" si="65"/>
        <v>Neutral</v>
      </c>
    </row>
    <row r="1355" spans="1:16" x14ac:dyDescent="0.3">
      <c r="A1355" s="1">
        <v>44708</v>
      </c>
      <c r="B1355">
        <v>19.52</v>
      </c>
      <c r="C1355">
        <v>85860000</v>
      </c>
      <c r="D1355">
        <v>1.0349999999999999</v>
      </c>
      <c r="E1355">
        <v>39</v>
      </c>
      <c r="F1355">
        <v>2.54</v>
      </c>
      <c r="G1355">
        <v>0.18770000000000001</v>
      </c>
      <c r="H1355">
        <v>0</v>
      </c>
      <c r="J1355">
        <v>1</v>
      </c>
      <c r="K1355">
        <f>YEAR(NetflixData[[#This Row],[date]])</f>
        <v>2022</v>
      </c>
      <c r="L1355" t="str">
        <f>TEXT(NetflixData[[#This Row],[date]],"mmm")</f>
        <v>May</v>
      </c>
      <c r="M1355" t="str">
        <f>TEXT(NetflixData[[#This Row],[date]],"mmm yyyy")</f>
        <v>May 2022</v>
      </c>
      <c r="N1355" t="str">
        <f t="shared" si="63"/>
        <v>Non-Trading Day</v>
      </c>
      <c r="O1355" t="str">
        <f t="shared" si="64"/>
        <v>Positive</v>
      </c>
      <c r="P1355" t="str">
        <f t="shared" si="65"/>
        <v>Positive</v>
      </c>
    </row>
    <row r="1356" spans="1:16" x14ac:dyDescent="0.3">
      <c r="A1356" s="1">
        <v>44709</v>
      </c>
      <c r="B1356">
        <v>19.52</v>
      </c>
      <c r="C1356">
        <v>0</v>
      </c>
      <c r="D1356">
        <v>0</v>
      </c>
      <c r="E1356">
        <v>70</v>
      </c>
      <c r="F1356">
        <v>2.5099999999999998</v>
      </c>
      <c r="G1356">
        <v>8.6599999999999996E-2</v>
      </c>
      <c r="H1356">
        <v>0</v>
      </c>
      <c r="J1356">
        <v>0</v>
      </c>
      <c r="K1356">
        <f>YEAR(NetflixData[[#This Row],[date]])</f>
        <v>2022</v>
      </c>
      <c r="L1356" t="str">
        <f>TEXT(NetflixData[[#This Row],[date]],"mmm")</f>
        <v>May</v>
      </c>
      <c r="M1356" t="str">
        <f>TEXT(NetflixData[[#This Row],[date]],"mmm yyyy")</f>
        <v>May 2022</v>
      </c>
      <c r="N1356" t="str">
        <f t="shared" si="63"/>
        <v>Non-Trading Day</v>
      </c>
      <c r="O1356" t="str">
        <f t="shared" si="64"/>
        <v>No Change</v>
      </c>
      <c r="P1356" t="str">
        <f t="shared" si="65"/>
        <v>Neutral</v>
      </c>
    </row>
    <row r="1357" spans="1:16" x14ac:dyDescent="0.3">
      <c r="A1357" s="1">
        <v>44710</v>
      </c>
      <c r="B1357">
        <v>19.52</v>
      </c>
      <c r="C1357">
        <v>0</v>
      </c>
      <c r="D1357">
        <v>0</v>
      </c>
      <c r="E1357">
        <v>50</v>
      </c>
      <c r="F1357">
        <v>3.06</v>
      </c>
      <c r="G1357">
        <v>0.11310000000000001</v>
      </c>
      <c r="H1357">
        <v>0</v>
      </c>
      <c r="J1357">
        <v>0</v>
      </c>
      <c r="K1357">
        <f>YEAR(NetflixData[[#This Row],[date]])</f>
        <v>2022</v>
      </c>
      <c r="L1357" t="str">
        <f>TEXT(NetflixData[[#This Row],[date]],"mmm")</f>
        <v>May</v>
      </c>
      <c r="M1357" t="str">
        <f>TEXT(NetflixData[[#This Row],[date]],"mmm yyyy")</f>
        <v>May 2022</v>
      </c>
      <c r="N1357" t="str">
        <f t="shared" si="63"/>
        <v>Non-Trading Day</v>
      </c>
      <c r="O1357" t="str">
        <f t="shared" si="64"/>
        <v>No Change</v>
      </c>
      <c r="P1357" t="str">
        <f t="shared" si="65"/>
        <v>Positive</v>
      </c>
    </row>
    <row r="1358" spans="1:16" x14ac:dyDescent="0.3">
      <c r="A1358" s="1">
        <v>44711</v>
      </c>
      <c r="B1358">
        <v>19.52</v>
      </c>
      <c r="C1358">
        <v>0</v>
      </c>
      <c r="D1358">
        <v>0</v>
      </c>
      <c r="E1358">
        <v>41</v>
      </c>
      <c r="F1358">
        <v>2.29</v>
      </c>
      <c r="G1358">
        <v>0.1658</v>
      </c>
      <c r="H1358">
        <v>0</v>
      </c>
      <c r="J1358">
        <v>0</v>
      </c>
      <c r="K1358">
        <f>YEAR(NetflixData[[#This Row],[date]])</f>
        <v>2022</v>
      </c>
      <c r="L1358" t="str">
        <f>TEXT(NetflixData[[#This Row],[date]],"mmm")</f>
        <v>May</v>
      </c>
      <c r="M1358" t="str">
        <f>TEXT(NetflixData[[#This Row],[date]],"mmm yyyy")</f>
        <v>May 2022</v>
      </c>
      <c r="N1358" t="str">
        <f t="shared" si="63"/>
        <v>Trading Day</v>
      </c>
      <c r="O1358" t="str">
        <f t="shared" si="64"/>
        <v>No Change</v>
      </c>
      <c r="P1358" t="str">
        <f t="shared" si="65"/>
        <v>Positive</v>
      </c>
    </row>
    <row r="1359" spans="1:16" x14ac:dyDescent="0.3">
      <c r="A1359" s="1">
        <v>44712</v>
      </c>
      <c r="B1359">
        <v>19.739999999999998</v>
      </c>
      <c r="C1359">
        <v>113985000</v>
      </c>
      <c r="D1359">
        <v>0.64200000000000002</v>
      </c>
      <c r="E1359">
        <v>43</v>
      </c>
      <c r="F1359">
        <v>2.74</v>
      </c>
      <c r="G1359">
        <v>0.15579999999999999</v>
      </c>
      <c r="H1359">
        <v>0</v>
      </c>
      <c r="J1359">
        <v>1</v>
      </c>
      <c r="K1359">
        <f>YEAR(NetflixData[[#This Row],[date]])</f>
        <v>2022</v>
      </c>
      <c r="L1359" t="str">
        <f>TEXT(NetflixData[[#This Row],[date]],"mmm")</f>
        <v>May</v>
      </c>
      <c r="M1359" t="str">
        <f>TEXT(NetflixData[[#This Row],[date]],"mmm yyyy")</f>
        <v>May 2022</v>
      </c>
      <c r="N1359" t="str">
        <f t="shared" si="63"/>
        <v>Trading Day</v>
      </c>
      <c r="O1359" t="str">
        <f t="shared" si="64"/>
        <v>Positive</v>
      </c>
      <c r="P1359" t="str">
        <f t="shared" si="65"/>
        <v>Positive</v>
      </c>
    </row>
    <row r="1360" spans="1:16" x14ac:dyDescent="0.3">
      <c r="A1360" s="1">
        <v>44713</v>
      </c>
      <c r="B1360">
        <v>19.29</v>
      </c>
      <c r="C1360">
        <v>84162000</v>
      </c>
      <c r="D1360">
        <v>-2.9140000000000001</v>
      </c>
      <c r="E1360">
        <v>53</v>
      </c>
      <c r="F1360">
        <v>2.81</v>
      </c>
      <c r="G1360">
        <v>0.24249999999999999</v>
      </c>
      <c r="H1360">
        <v>0</v>
      </c>
      <c r="J1360">
        <v>1</v>
      </c>
      <c r="K1360">
        <f>YEAR(NetflixData[[#This Row],[date]])</f>
        <v>2022</v>
      </c>
      <c r="L1360" t="str">
        <f>TEXT(NetflixData[[#This Row],[date]],"mmm")</f>
        <v>Jun</v>
      </c>
      <c r="M1360" t="str">
        <f>TEXT(NetflixData[[#This Row],[date]],"mmm yyyy")</f>
        <v>Jun 2022</v>
      </c>
      <c r="N1360" t="str">
        <f t="shared" si="63"/>
        <v>Trading Day</v>
      </c>
      <c r="O1360" t="str">
        <f t="shared" si="64"/>
        <v>Negative</v>
      </c>
      <c r="P1360" t="str">
        <f t="shared" si="65"/>
        <v>Positive</v>
      </c>
    </row>
    <row r="1361" spans="1:16" x14ac:dyDescent="0.3">
      <c r="A1361" s="1">
        <v>44714</v>
      </c>
      <c r="B1361">
        <v>20.51</v>
      </c>
      <c r="C1361">
        <v>96231000</v>
      </c>
      <c r="D1361">
        <v>6.8070000000000004</v>
      </c>
      <c r="E1361">
        <v>68</v>
      </c>
      <c r="F1361">
        <v>3.1</v>
      </c>
      <c r="G1361">
        <v>0.14480000000000001</v>
      </c>
      <c r="H1361">
        <v>0</v>
      </c>
      <c r="J1361">
        <v>1</v>
      </c>
      <c r="K1361">
        <f>YEAR(NetflixData[[#This Row],[date]])</f>
        <v>2022</v>
      </c>
      <c r="L1361" t="str">
        <f>TEXT(NetflixData[[#This Row],[date]],"mmm")</f>
        <v>Jun</v>
      </c>
      <c r="M1361" t="str">
        <f>TEXT(NetflixData[[#This Row],[date]],"mmm yyyy")</f>
        <v>Jun 2022</v>
      </c>
      <c r="N1361" t="str">
        <f t="shared" si="63"/>
        <v>Trading Day</v>
      </c>
      <c r="O1361" t="str">
        <f t="shared" si="64"/>
        <v>Positive</v>
      </c>
      <c r="P1361" t="str">
        <f t="shared" si="65"/>
        <v>Positive</v>
      </c>
    </row>
    <row r="1362" spans="1:16" x14ac:dyDescent="0.3">
      <c r="A1362" s="1">
        <v>44715</v>
      </c>
      <c r="B1362">
        <v>19.899999999999999</v>
      </c>
      <c r="C1362">
        <v>71918000</v>
      </c>
      <c r="D1362">
        <v>-0.57999999999999996</v>
      </c>
      <c r="E1362">
        <v>37</v>
      </c>
      <c r="F1362">
        <v>2.81</v>
      </c>
      <c r="G1362">
        <v>0.1951</v>
      </c>
      <c r="H1362">
        <v>0</v>
      </c>
      <c r="J1362">
        <v>1</v>
      </c>
      <c r="K1362">
        <f>YEAR(NetflixData[[#This Row],[date]])</f>
        <v>2022</v>
      </c>
      <c r="L1362" t="str">
        <f>TEXT(NetflixData[[#This Row],[date]],"mmm")</f>
        <v>Jun</v>
      </c>
      <c r="M1362" t="str">
        <f>TEXT(NetflixData[[#This Row],[date]],"mmm yyyy")</f>
        <v>Jun 2022</v>
      </c>
      <c r="N1362" t="str">
        <f t="shared" si="63"/>
        <v>Non-Trading Day</v>
      </c>
      <c r="O1362" t="str">
        <f t="shared" si="64"/>
        <v>Negative</v>
      </c>
      <c r="P1362" t="str">
        <f t="shared" si="65"/>
        <v>Positive</v>
      </c>
    </row>
    <row r="1363" spans="1:16" x14ac:dyDescent="0.3">
      <c r="A1363" s="1">
        <v>44716</v>
      </c>
      <c r="B1363">
        <v>19.899999999999999</v>
      </c>
      <c r="C1363">
        <v>0</v>
      </c>
      <c r="D1363">
        <v>0</v>
      </c>
      <c r="E1363">
        <v>35</v>
      </c>
      <c r="F1363">
        <v>2.86</v>
      </c>
      <c r="G1363">
        <v>0.22720000000000001</v>
      </c>
      <c r="H1363">
        <v>0</v>
      </c>
      <c r="J1363">
        <v>0</v>
      </c>
      <c r="K1363">
        <f>YEAR(NetflixData[[#This Row],[date]])</f>
        <v>2022</v>
      </c>
      <c r="L1363" t="str">
        <f>TEXT(NetflixData[[#This Row],[date]],"mmm")</f>
        <v>Jun</v>
      </c>
      <c r="M1363" t="str">
        <f>TEXT(NetflixData[[#This Row],[date]],"mmm yyyy")</f>
        <v>Jun 2022</v>
      </c>
      <c r="N1363" t="str">
        <f t="shared" si="63"/>
        <v>Non-Trading Day</v>
      </c>
      <c r="O1363" t="str">
        <f t="shared" si="64"/>
        <v>No Change</v>
      </c>
      <c r="P1363" t="str">
        <f t="shared" si="65"/>
        <v>Positive</v>
      </c>
    </row>
    <row r="1364" spans="1:16" x14ac:dyDescent="0.3">
      <c r="A1364" s="1">
        <v>44717</v>
      </c>
      <c r="B1364">
        <v>19.899999999999999</v>
      </c>
      <c r="C1364">
        <v>0</v>
      </c>
      <c r="D1364">
        <v>0</v>
      </c>
      <c r="E1364">
        <v>53</v>
      </c>
      <c r="F1364">
        <v>3.11</v>
      </c>
      <c r="G1364">
        <v>0.19889999999999999</v>
      </c>
      <c r="H1364">
        <v>0</v>
      </c>
      <c r="J1364">
        <v>0</v>
      </c>
      <c r="K1364">
        <f>YEAR(NetflixData[[#This Row],[date]])</f>
        <v>2022</v>
      </c>
      <c r="L1364" t="str">
        <f>TEXT(NetflixData[[#This Row],[date]],"mmm")</f>
        <v>Jun</v>
      </c>
      <c r="M1364" t="str">
        <f>TEXT(NetflixData[[#This Row],[date]],"mmm yyyy")</f>
        <v>Jun 2022</v>
      </c>
      <c r="N1364" t="str">
        <f t="shared" si="63"/>
        <v>Trading Day</v>
      </c>
      <c r="O1364" t="str">
        <f t="shared" si="64"/>
        <v>No Change</v>
      </c>
      <c r="P1364" t="str">
        <f t="shared" si="65"/>
        <v>Positive</v>
      </c>
    </row>
    <row r="1365" spans="1:16" x14ac:dyDescent="0.3">
      <c r="A1365" s="1">
        <v>44718</v>
      </c>
      <c r="B1365">
        <v>19.71</v>
      </c>
      <c r="C1365">
        <v>53720000</v>
      </c>
      <c r="D1365">
        <v>-2.4489999999999998</v>
      </c>
      <c r="E1365">
        <v>33</v>
      </c>
      <c r="F1365">
        <v>3.21</v>
      </c>
      <c r="G1365">
        <v>0.22140000000000001</v>
      </c>
      <c r="H1365">
        <v>0</v>
      </c>
      <c r="J1365">
        <v>1</v>
      </c>
      <c r="K1365">
        <f>YEAR(NetflixData[[#This Row],[date]])</f>
        <v>2022</v>
      </c>
      <c r="L1365" t="str">
        <f>TEXT(NetflixData[[#This Row],[date]],"mmm")</f>
        <v>Jun</v>
      </c>
      <c r="M1365" t="str">
        <f>TEXT(NetflixData[[#This Row],[date]],"mmm yyyy")</f>
        <v>Jun 2022</v>
      </c>
      <c r="N1365" t="str">
        <f t="shared" si="63"/>
        <v>Trading Day</v>
      </c>
      <c r="O1365" t="str">
        <f t="shared" si="64"/>
        <v>Negative</v>
      </c>
      <c r="P1365" t="str">
        <f t="shared" si="65"/>
        <v>Positive</v>
      </c>
    </row>
    <row r="1366" spans="1:16" x14ac:dyDescent="0.3">
      <c r="A1366" s="1">
        <v>44719</v>
      </c>
      <c r="B1366">
        <v>19.86</v>
      </c>
      <c r="C1366">
        <v>48395000</v>
      </c>
      <c r="D1366">
        <v>1.919</v>
      </c>
      <c r="E1366">
        <v>47</v>
      </c>
      <c r="F1366">
        <v>2.77</v>
      </c>
      <c r="G1366">
        <v>0.1469</v>
      </c>
      <c r="H1366">
        <v>0</v>
      </c>
      <c r="J1366">
        <v>1</v>
      </c>
      <c r="K1366">
        <f>YEAR(NetflixData[[#This Row],[date]])</f>
        <v>2022</v>
      </c>
      <c r="L1366" t="str">
        <f>TEXT(NetflixData[[#This Row],[date]],"mmm")</f>
        <v>Jun</v>
      </c>
      <c r="M1366" t="str">
        <f>TEXT(NetflixData[[#This Row],[date]],"mmm yyyy")</f>
        <v>Jun 2022</v>
      </c>
      <c r="N1366" t="str">
        <f t="shared" si="63"/>
        <v>Trading Day</v>
      </c>
      <c r="O1366" t="str">
        <f t="shared" si="64"/>
        <v>Positive</v>
      </c>
      <c r="P1366" t="str">
        <f t="shared" si="65"/>
        <v>Positive</v>
      </c>
    </row>
    <row r="1367" spans="1:16" x14ac:dyDescent="0.3">
      <c r="A1367" s="1">
        <v>44720</v>
      </c>
      <c r="B1367">
        <v>20.28</v>
      </c>
      <c r="C1367">
        <v>72441000</v>
      </c>
      <c r="D1367">
        <v>2.4649999999999999</v>
      </c>
      <c r="E1367">
        <v>35</v>
      </c>
      <c r="F1367">
        <v>2.4</v>
      </c>
      <c r="G1367">
        <v>0.1837</v>
      </c>
      <c r="H1367">
        <v>0</v>
      </c>
      <c r="J1367">
        <v>1</v>
      </c>
      <c r="K1367">
        <f>YEAR(NetflixData[[#This Row],[date]])</f>
        <v>2022</v>
      </c>
      <c r="L1367" t="str">
        <f>TEXT(NetflixData[[#This Row],[date]],"mmm")</f>
        <v>Jun</v>
      </c>
      <c r="M1367" t="str">
        <f>TEXT(NetflixData[[#This Row],[date]],"mmm yyyy")</f>
        <v>Jun 2022</v>
      </c>
      <c r="N1367" t="str">
        <f t="shared" si="63"/>
        <v>Trading Day</v>
      </c>
      <c r="O1367" t="str">
        <f t="shared" si="64"/>
        <v>Positive</v>
      </c>
      <c r="P1367" t="str">
        <f t="shared" si="65"/>
        <v>Positive</v>
      </c>
    </row>
    <row r="1368" spans="1:16" x14ac:dyDescent="0.3">
      <c r="A1368" s="1">
        <v>44721</v>
      </c>
      <c r="B1368">
        <v>19.28</v>
      </c>
      <c r="C1368">
        <v>69490000</v>
      </c>
      <c r="D1368">
        <v>-3.927</v>
      </c>
      <c r="E1368">
        <v>29</v>
      </c>
      <c r="F1368">
        <v>2.86</v>
      </c>
      <c r="G1368">
        <v>0.2</v>
      </c>
      <c r="H1368">
        <v>0</v>
      </c>
      <c r="J1368">
        <v>1</v>
      </c>
      <c r="K1368">
        <f>YEAR(NetflixData[[#This Row],[date]])</f>
        <v>2022</v>
      </c>
      <c r="L1368" t="str">
        <f>TEXT(NetflixData[[#This Row],[date]],"mmm")</f>
        <v>Jun</v>
      </c>
      <c r="M1368" t="str">
        <f>TEXT(NetflixData[[#This Row],[date]],"mmm yyyy")</f>
        <v>Jun 2022</v>
      </c>
      <c r="N1368" t="str">
        <f t="shared" si="63"/>
        <v>Trading Day</v>
      </c>
      <c r="O1368" t="str">
        <f t="shared" si="64"/>
        <v>Negative</v>
      </c>
      <c r="P1368" t="str">
        <f t="shared" si="65"/>
        <v>Positive</v>
      </c>
    </row>
    <row r="1369" spans="1:16" x14ac:dyDescent="0.3">
      <c r="A1369" s="1">
        <v>44722</v>
      </c>
      <c r="B1369">
        <v>18.29</v>
      </c>
      <c r="C1369">
        <v>130656000</v>
      </c>
      <c r="D1369">
        <v>0.16400000000000001</v>
      </c>
      <c r="E1369">
        <v>30</v>
      </c>
      <c r="F1369">
        <v>3.27</v>
      </c>
      <c r="G1369">
        <v>0.29820000000000002</v>
      </c>
      <c r="H1369">
        <v>0</v>
      </c>
      <c r="J1369">
        <v>1</v>
      </c>
      <c r="K1369">
        <f>YEAR(NetflixData[[#This Row],[date]])</f>
        <v>2022</v>
      </c>
      <c r="L1369" t="str">
        <f>TEXT(NetflixData[[#This Row],[date]],"mmm")</f>
        <v>Jun</v>
      </c>
      <c r="M1369" t="str">
        <f>TEXT(NetflixData[[#This Row],[date]],"mmm yyyy")</f>
        <v>Jun 2022</v>
      </c>
      <c r="N1369" t="str">
        <f t="shared" si="63"/>
        <v>Non-Trading Day</v>
      </c>
      <c r="O1369" t="str">
        <f t="shared" si="64"/>
        <v>Positive</v>
      </c>
      <c r="P1369" t="str">
        <f t="shared" si="65"/>
        <v>Positive</v>
      </c>
    </row>
    <row r="1370" spans="1:16" x14ac:dyDescent="0.3">
      <c r="A1370" s="1">
        <v>44723</v>
      </c>
      <c r="B1370">
        <v>18.29</v>
      </c>
      <c r="C1370">
        <v>0</v>
      </c>
      <c r="D1370">
        <v>0</v>
      </c>
      <c r="E1370">
        <v>42</v>
      </c>
      <c r="F1370">
        <v>2.93</v>
      </c>
      <c r="G1370">
        <v>0.30830000000000002</v>
      </c>
      <c r="H1370">
        <v>0</v>
      </c>
      <c r="J1370">
        <v>0</v>
      </c>
      <c r="K1370">
        <f>YEAR(NetflixData[[#This Row],[date]])</f>
        <v>2022</v>
      </c>
      <c r="L1370" t="str">
        <f>TEXT(NetflixData[[#This Row],[date]],"mmm")</f>
        <v>Jun</v>
      </c>
      <c r="M1370" t="str">
        <f>TEXT(NetflixData[[#This Row],[date]],"mmm yyyy")</f>
        <v>Jun 2022</v>
      </c>
      <c r="N1370" t="str">
        <f t="shared" si="63"/>
        <v>Non-Trading Day</v>
      </c>
      <c r="O1370" t="str">
        <f t="shared" si="64"/>
        <v>No Change</v>
      </c>
      <c r="P1370" t="str">
        <f t="shared" si="65"/>
        <v>Positive</v>
      </c>
    </row>
    <row r="1371" spans="1:16" x14ac:dyDescent="0.3">
      <c r="A1371" s="1">
        <v>44724</v>
      </c>
      <c r="B1371">
        <v>18.29</v>
      </c>
      <c r="C1371">
        <v>0</v>
      </c>
      <c r="D1371">
        <v>0</v>
      </c>
      <c r="E1371">
        <v>35</v>
      </c>
      <c r="F1371">
        <v>2.77</v>
      </c>
      <c r="G1371">
        <v>0.2984</v>
      </c>
      <c r="H1371">
        <v>0</v>
      </c>
      <c r="J1371">
        <v>0</v>
      </c>
      <c r="K1371">
        <f>YEAR(NetflixData[[#This Row],[date]])</f>
        <v>2022</v>
      </c>
      <c r="L1371" t="str">
        <f>TEXT(NetflixData[[#This Row],[date]],"mmm")</f>
        <v>Jun</v>
      </c>
      <c r="M1371" t="str">
        <f>TEXT(NetflixData[[#This Row],[date]],"mmm yyyy")</f>
        <v>Jun 2022</v>
      </c>
      <c r="N1371" t="str">
        <f t="shared" si="63"/>
        <v>Trading Day</v>
      </c>
      <c r="O1371" t="str">
        <f t="shared" si="64"/>
        <v>No Change</v>
      </c>
      <c r="P1371" t="str">
        <f t="shared" si="65"/>
        <v>Positive</v>
      </c>
    </row>
    <row r="1372" spans="1:16" x14ac:dyDescent="0.3">
      <c r="A1372" s="1">
        <v>44725</v>
      </c>
      <c r="B1372">
        <v>16.97</v>
      </c>
      <c r="C1372">
        <v>102224000</v>
      </c>
      <c r="D1372">
        <v>-4.1680000000000001</v>
      </c>
      <c r="E1372">
        <v>36</v>
      </c>
      <c r="F1372">
        <v>2.75</v>
      </c>
      <c r="G1372">
        <v>0.17469999999999999</v>
      </c>
      <c r="H1372">
        <v>0</v>
      </c>
      <c r="J1372">
        <v>1</v>
      </c>
      <c r="K1372">
        <f>YEAR(NetflixData[[#This Row],[date]])</f>
        <v>2022</v>
      </c>
      <c r="L1372" t="str">
        <f>TEXT(NetflixData[[#This Row],[date]],"mmm")</f>
        <v>Jun</v>
      </c>
      <c r="M1372" t="str">
        <f>TEXT(NetflixData[[#This Row],[date]],"mmm yyyy")</f>
        <v>Jun 2022</v>
      </c>
      <c r="N1372" t="str">
        <f t="shared" si="63"/>
        <v>Trading Day</v>
      </c>
      <c r="O1372" t="str">
        <f t="shared" si="64"/>
        <v>Negative</v>
      </c>
      <c r="P1372" t="str">
        <f t="shared" si="65"/>
        <v>Positive</v>
      </c>
    </row>
    <row r="1373" spans="1:16" x14ac:dyDescent="0.3">
      <c r="A1373" s="1">
        <v>44726</v>
      </c>
      <c r="B1373">
        <v>16.75</v>
      </c>
      <c r="C1373">
        <v>115553000</v>
      </c>
      <c r="D1373">
        <v>-1.302</v>
      </c>
      <c r="E1373">
        <v>38</v>
      </c>
      <c r="F1373">
        <v>2.5</v>
      </c>
      <c r="G1373">
        <v>0.19089999999999999</v>
      </c>
      <c r="H1373">
        <v>0</v>
      </c>
      <c r="J1373">
        <v>1</v>
      </c>
      <c r="K1373">
        <f>YEAR(NetflixData[[#This Row],[date]])</f>
        <v>2022</v>
      </c>
      <c r="L1373" t="str">
        <f>TEXT(NetflixData[[#This Row],[date]],"mmm")</f>
        <v>Jun</v>
      </c>
      <c r="M1373" t="str">
        <f>TEXT(NetflixData[[#This Row],[date]],"mmm yyyy")</f>
        <v>Jun 2022</v>
      </c>
      <c r="N1373" t="str">
        <f t="shared" si="63"/>
        <v>Trading Day</v>
      </c>
      <c r="O1373" t="str">
        <f t="shared" si="64"/>
        <v>Negative</v>
      </c>
      <c r="P1373" t="str">
        <f t="shared" si="65"/>
        <v>Positive</v>
      </c>
    </row>
    <row r="1374" spans="1:16" x14ac:dyDescent="0.3">
      <c r="A1374" s="1">
        <v>44727</v>
      </c>
      <c r="B1374">
        <v>18.010000000000002</v>
      </c>
      <c r="C1374">
        <v>123960000</v>
      </c>
      <c r="D1374">
        <v>6.41</v>
      </c>
      <c r="E1374">
        <v>34</v>
      </c>
      <c r="F1374">
        <v>2.82</v>
      </c>
      <c r="G1374">
        <v>0.2606</v>
      </c>
      <c r="H1374">
        <v>0</v>
      </c>
      <c r="J1374">
        <v>1</v>
      </c>
      <c r="K1374">
        <f>YEAR(NetflixData[[#This Row],[date]])</f>
        <v>2022</v>
      </c>
      <c r="L1374" t="str">
        <f>TEXT(NetflixData[[#This Row],[date]],"mmm")</f>
        <v>Jun</v>
      </c>
      <c r="M1374" t="str">
        <f>TEXT(NetflixData[[#This Row],[date]],"mmm yyyy")</f>
        <v>Jun 2022</v>
      </c>
      <c r="N1374" t="str">
        <f t="shared" si="63"/>
        <v>Trading Day</v>
      </c>
      <c r="O1374" t="str">
        <f t="shared" si="64"/>
        <v>Positive</v>
      </c>
      <c r="P1374" t="str">
        <f t="shared" si="65"/>
        <v>Positive</v>
      </c>
    </row>
    <row r="1375" spans="1:16" x14ac:dyDescent="0.3">
      <c r="A1375" s="1">
        <v>44728</v>
      </c>
      <c r="B1375">
        <v>17.329999999999998</v>
      </c>
      <c r="C1375">
        <v>82013000</v>
      </c>
      <c r="D1375">
        <v>-0.374</v>
      </c>
      <c r="E1375">
        <v>25</v>
      </c>
      <c r="F1375">
        <v>3.28</v>
      </c>
      <c r="G1375">
        <v>0.19589999999999999</v>
      </c>
      <c r="H1375">
        <v>0</v>
      </c>
      <c r="J1375">
        <v>1</v>
      </c>
      <c r="K1375">
        <f>YEAR(NetflixData[[#This Row],[date]])</f>
        <v>2022</v>
      </c>
      <c r="L1375" t="str">
        <f>TEXT(NetflixData[[#This Row],[date]],"mmm")</f>
        <v>Jun</v>
      </c>
      <c r="M1375" t="str">
        <f>TEXT(NetflixData[[#This Row],[date]],"mmm yyyy")</f>
        <v>Jun 2022</v>
      </c>
      <c r="N1375" t="str">
        <f t="shared" si="63"/>
        <v>Trading Day</v>
      </c>
      <c r="O1375" t="str">
        <f t="shared" si="64"/>
        <v>Negative</v>
      </c>
      <c r="P1375" t="str">
        <f t="shared" si="65"/>
        <v>Positive</v>
      </c>
    </row>
    <row r="1376" spans="1:16" x14ac:dyDescent="0.3">
      <c r="A1376" s="1">
        <v>44729</v>
      </c>
      <c r="B1376">
        <v>17.55</v>
      </c>
      <c r="C1376">
        <v>121334000</v>
      </c>
      <c r="D1376">
        <v>1.083</v>
      </c>
      <c r="E1376">
        <v>41</v>
      </c>
      <c r="F1376">
        <v>2.2000000000000002</v>
      </c>
      <c r="G1376">
        <v>8.0799999999999997E-2</v>
      </c>
      <c r="H1376">
        <v>0</v>
      </c>
      <c r="J1376">
        <v>1</v>
      </c>
      <c r="K1376">
        <f>YEAR(NetflixData[[#This Row],[date]])</f>
        <v>2022</v>
      </c>
      <c r="L1376" t="str">
        <f>TEXT(NetflixData[[#This Row],[date]],"mmm")</f>
        <v>Jun</v>
      </c>
      <c r="M1376" t="str">
        <f>TEXT(NetflixData[[#This Row],[date]],"mmm yyyy")</f>
        <v>Jun 2022</v>
      </c>
      <c r="N1376" t="str">
        <f t="shared" si="63"/>
        <v>Non-Trading Day</v>
      </c>
      <c r="O1376" t="str">
        <f t="shared" si="64"/>
        <v>Positive</v>
      </c>
      <c r="P1376" t="str">
        <f t="shared" si="65"/>
        <v>Neutral</v>
      </c>
    </row>
    <row r="1377" spans="1:16" x14ac:dyDescent="0.3">
      <c r="A1377" s="1">
        <v>44730</v>
      </c>
      <c r="B1377">
        <v>17.55</v>
      </c>
      <c r="C1377">
        <v>0</v>
      </c>
      <c r="D1377">
        <v>0</v>
      </c>
      <c r="E1377">
        <v>37</v>
      </c>
      <c r="F1377">
        <v>2.65</v>
      </c>
      <c r="G1377">
        <v>0.249</v>
      </c>
      <c r="H1377">
        <v>0</v>
      </c>
      <c r="J1377">
        <v>0</v>
      </c>
      <c r="K1377">
        <f>YEAR(NetflixData[[#This Row],[date]])</f>
        <v>2022</v>
      </c>
      <c r="L1377" t="str">
        <f>TEXT(NetflixData[[#This Row],[date]],"mmm")</f>
        <v>Jun</v>
      </c>
      <c r="M1377" t="str">
        <f>TEXT(NetflixData[[#This Row],[date]],"mmm yyyy")</f>
        <v>Jun 2022</v>
      </c>
      <c r="N1377" t="str">
        <f t="shared" si="63"/>
        <v>Non-Trading Day</v>
      </c>
      <c r="O1377" t="str">
        <f t="shared" si="64"/>
        <v>No Change</v>
      </c>
      <c r="P1377" t="str">
        <f t="shared" si="65"/>
        <v>Positive</v>
      </c>
    </row>
    <row r="1378" spans="1:16" x14ac:dyDescent="0.3">
      <c r="A1378" s="1">
        <v>44731</v>
      </c>
      <c r="B1378">
        <v>17.55</v>
      </c>
      <c r="C1378">
        <v>0</v>
      </c>
      <c r="D1378">
        <v>0</v>
      </c>
      <c r="E1378">
        <v>39</v>
      </c>
      <c r="F1378">
        <v>2.72</v>
      </c>
      <c r="G1378">
        <v>0.1431</v>
      </c>
      <c r="H1378">
        <v>0</v>
      </c>
      <c r="J1378">
        <v>0</v>
      </c>
      <c r="K1378">
        <f>YEAR(NetflixData[[#This Row],[date]])</f>
        <v>2022</v>
      </c>
      <c r="L1378" t="str">
        <f>TEXT(NetflixData[[#This Row],[date]],"mmm")</f>
        <v>Jun</v>
      </c>
      <c r="M1378" t="str">
        <f>TEXT(NetflixData[[#This Row],[date]],"mmm yyyy")</f>
        <v>Jun 2022</v>
      </c>
      <c r="N1378" t="str">
        <f t="shared" si="63"/>
        <v>Non-Trading Day</v>
      </c>
      <c r="O1378" t="str">
        <f t="shared" si="64"/>
        <v>No Change</v>
      </c>
      <c r="P1378" t="str">
        <f t="shared" si="65"/>
        <v>Positive</v>
      </c>
    </row>
    <row r="1379" spans="1:16" x14ac:dyDescent="0.3">
      <c r="A1379" s="1">
        <v>44732</v>
      </c>
      <c r="B1379">
        <v>17.55</v>
      </c>
      <c r="C1379">
        <v>0</v>
      </c>
      <c r="D1379">
        <v>0</v>
      </c>
      <c r="E1379">
        <v>47</v>
      </c>
      <c r="F1379">
        <v>3.15</v>
      </c>
      <c r="G1379">
        <v>0.27860000000000001</v>
      </c>
      <c r="H1379">
        <v>0</v>
      </c>
      <c r="J1379">
        <v>0</v>
      </c>
      <c r="K1379">
        <f>YEAR(NetflixData[[#This Row],[date]])</f>
        <v>2022</v>
      </c>
      <c r="L1379" t="str">
        <f>TEXT(NetflixData[[#This Row],[date]],"mmm")</f>
        <v>Jun</v>
      </c>
      <c r="M1379" t="str">
        <f>TEXT(NetflixData[[#This Row],[date]],"mmm yyyy")</f>
        <v>Jun 2022</v>
      </c>
      <c r="N1379" t="str">
        <f t="shared" si="63"/>
        <v>Trading Day</v>
      </c>
      <c r="O1379" t="str">
        <f t="shared" si="64"/>
        <v>No Change</v>
      </c>
      <c r="P1379" t="str">
        <f t="shared" si="65"/>
        <v>Positive</v>
      </c>
    </row>
    <row r="1380" spans="1:16" x14ac:dyDescent="0.3">
      <c r="A1380" s="1">
        <v>44733</v>
      </c>
      <c r="B1380">
        <v>17.09</v>
      </c>
      <c r="C1380">
        <v>121776000</v>
      </c>
      <c r="D1380">
        <v>-3.7669999999999999</v>
      </c>
      <c r="E1380">
        <v>40</v>
      </c>
      <c r="F1380">
        <v>3.05</v>
      </c>
      <c r="G1380">
        <v>0.26500000000000001</v>
      </c>
      <c r="H1380">
        <v>0</v>
      </c>
      <c r="J1380">
        <v>1</v>
      </c>
      <c r="K1380">
        <f>YEAR(NetflixData[[#This Row],[date]])</f>
        <v>2022</v>
      </c>
      <c r="L1380" t="str">
        <f>TEXT(NetflixData[[#This Row],[date]],"mmm")</f>
        <v>Jun</v>
      </c>
      <c r="M1380" t="str">
        <f>TEXT(NetflixData[[#This Row],[date]],"mmm yyyy")</f>
        <v>Jun 2022</v>
      </c>
      <c r="N1380" t="str">
        <f t="shared" si="63"/>
        <v>Trading Day</v>
      </c>
      <c r="O1380" t="str">
        <f t="shared" si="64"/>
        <v>Negative</v>
      </c>
      <c r="P1380" t="str">
        <f t="shared" si="65"/>
        <v>Positive</v>
      </c>
    </row>
    <row r="1381" spans="1:16" x14ac:dyDescent="0.3">
      <c r="A1381" s="1">
        <v>44734</v>
      </c>
      <c r="B1381">
        <v>17.89</v>
      </c>
      <c r="C1381">
        <v>119924000</v>
      </c>
      <c r="D1381">
        <v>4.7670000000000003</v>
      </c>
      <c r="E1381">
        <v>32</v>
      </c>
      <c r="F1381">
        <v>2.5299999999999998</v>
      </c>
      <c r="G1381">
        <v>9.6299999999999997E-2</v>
      </c>
      <c r="H1381">
        <v>0</v>
      </c>
      <c r="J1381">
        <v>1</v>
      </c>
      <c r="K1381">
        <f>YEAR(NetflixData[[#This Row],[date]])</f>
        <v>2022</v>
      </c>
      <c r="L1381" t="str">
        <f>TEXT(NetflixData[[#This Row],[date]],"mmm")</f>
        <v>Jun</v>
      </c>
      <c r="M1381" t="str">
        <f>TEXT(NetflixData[[#This Row],[date]],"mmm yyyy")</f>
        <v>Jun 2022</v>
      </c>
      <c r="N1381" t="str">
        <f t="shared" si="63"/>
        <v>Trading Day</v>
      </c>
      <c r="O1381" t="str">
        <f t="shared" si="64"/>
        <v>Positive</v>
      </c>
      <c r="P1381" t="str">
        <f t="shared" si="65"/>
        <v>Neutral</v>
      </c>
    </row>
    <row r="1382" spans="1:16" x14ac:dyDescent="0.3">
      <c r="A1382" s="1">
        <v>44735</v>
      </c>
      <c r="B1382">
        <v>18.170000000000002</v>
      </c>
      <c r="C1382">
        <v>95382000</v>
      </c>
      <c r="D1382">
        <v>0.67</v>
      </c>
      <c r="E1382">
        <v>43</v>
      </c>
      <c r="F1382">
        <v>3.07</v>
      </c>
      <c r="G1382">
        <v>0.31030000000000002</v>
      </c>
      <c r="H1382">
        <v>0</v>
      </c>
      <c r="J1382">
        <v>1</v>
      </c>
      <c r="K1382">
        <f>YEAR(NetflixData[[#This Row],[date]])</f>
        <v>2022</v>
      </c>
      <c r="L1382" t="str">
        <f>TEXT(NetflixData[[#This Row],[date]],"mmm")</f>
        <v>Jun</v>
      </c>
      <c r="M1382" t="str">
        <f>TEXT(NetflixData[[#This Row],[date]],"mmm yyyy")</f>
        <v>Jun 2022</v>
      </c>
      <c r="N1382" t="str">
        <f t="shared" si="63"/>
        <v>Trading Day</v>
      </c>
      <c r="O1382" t="str">
        <f t="shared" si="64"/>
        <v>Positive</v>
      </c>
      <c r="P1382" t="str">
        <f t="shared" si="65"/>
        <v>Positive</v>
      </c>
    </row>
    <row r="1383" spans="1:16" x14ac:dyDescent="0.3">
      <c r="A1383" s="1">
        <v>44736</v>
      </c>
      <c r="B1383">
        <v>19.079999999999998</v>
      </c>
      <c r="C1383">
        <v>124240000</v>
      </c>
      <c r="D1383">
        <v>4.0049999999999999</v>
      </c>
      <c r="E1383">
        <v>39</v>
      </c>
      <c r="F1383">
        <v>2.69</v>
      </c>
      <c r="G1383">
        <v>0.21740000000000001</v>
      </c>
      <c r="H1383">
        <v>0</v>
      </c>
      <c r="J1383">
        <v>1</v>
      </c>
      <c r="K1383">
        <f>YEAR(NetflixData[[#This Row],[date]])</f>
        <v>2022</v>
      </c>
      <c r="L1383" t="str">
        <f>TEXT(NetflixData[[#This Row],[date]],"mmm")</f>
        <v>Jun</v>
      </c>
      <c r="M1383" t="str">
        <f>TEXT(NetflixData[[#This Row],[date]],"mmm yyyy")</f>
        <v>Jun 2022</v>
      </c>
      <c r="N1383" t="str">
        <f t="shared" si="63"/>
        <v>Non-Trading Day</v>
      </c>
      <c r="O1383" t="str">
        <f t="shared" si="64"/>
        <v>Positive</v>
      </c>
      <c r="P1383" t="str">
        <f t="shared" si="65"/>
        <v>Positive</v>
      </c>
    </row>
    <row r="1384" spans="1:16" x14ac:dyDescent="0.3">
      <c r="A1384" s="1">
        <v>44737</v>
      </c>
      <c r="B1384">
        <v>19.079999999999998</v>
      </c>
      <c r="C1384">
        <v>0</v>
      </c>
      <c r="D1384">
        <v>0</v>
      </c>
      <c r="E1384">
        <v>40</v>
      </c>
      <c r="F1384">
        <v>3.05</v>
      </c>
      <c r="G1384">
        <v>0.253</v>
      </c>
      <c r="H1384">
        <v>0</v>
      </c>
      <c r="J1384">
        <v>0</v>
      </c>
      <c r="K1384">
        <f>YEAR(NetflixData[[#This Row],[date]])</f>
        <v>2022</v>
      </c>
      <c r="L1384" t="str">
        <f>TEXT(NetflixData[[#This Row],[date]],"mmm")</f>
        <v>Jun</v>
      </c>
      <c r="M1384" t="str">
        <f>TEXT(NetflixData[[#This Row],[date]],"mmm yyyy")</f>
        <v>Jun 2022</v>
      </c>
      <c r="N1384" t="str">
        <f t="shared" si="63"/>
        <v>Non-Trading Day</v>
      </c>
      <c r="O1384" t="str">
        <f t="shared" si="64"/>
        <v>No Change</v>
      </c>
      <c r="P1384" t="str">
        <f t="shared" si="65"/>
        <v>Positive</v>
      </c>
    </row>
    <row r="1385" spans="1:16" x14ac:dyDescent="0.3">
      <c r="A1385" s="1">
        <v>44738</v>
      </c>
      <c r="B1385">
        <v>19.079999999999998</v>
      </c>
      <c r="C1385">
        <v>0</v>
      </c>
      <c r="D1385">
        <v>0</v>
      </c>
      <c r="E1385">
        <v>54</v>
      </c>
      <c r="F1385">
        <v>2.98</v>
      </c>
      <c r="G1385">
        <v>0.3513</v>
      </c>
      <c r="H1385">
        <v>0</v>
      </c>
      <c r="J1385">
        <v>0</v>
      </c>
      <c r="K1385">
        <f>YEAR(NetflixData[[#This Row],[date]])</f>
        <v>2022</v>
      </c>
      <c r="L1385" t="str">
        <f>TEXT(NetflixData[[#This Row],[date]],"mmm")</f>
        <v>Jun</v>
      </c>
      <c r="M1385" t="str">
        <f>TEXT(NetflixData[[#This Row],[date]],"mmm yyyy")</f>
        <v>Jun 2022</v>
      </c>
      <c r="N1385" t="str">
        <f t="shared" si="63"/>
        <v>Trading Day</v>
      </c>
      <c r="O1385" t="str">
        <f t="shared" si="64"/>
        <v>No Change</v>
      </c>
      <c r="P1385" t="str">
        <f t="shared" si="65"/>
        <v>Positive</v>
      </c>
    </row>
    <row r="1386" spans="1:16" x14ac:dyDescent="0.3">
      <c r="A1386" s="1">
        <v>44739</v>
      </c>
      <c r="B1386">
        <v>18.91</v>
      </c>
      <c r="C1386">
        <v>83639000</v>
      </c>
      <c r="D1386">
        <v>-1.371</v>
      </c>
      <c r="E1386">
        <v>32</v>
      </c>
      <c r="F1386">
        <v>2.69</v>
      </c>
      <c r="G1386">
        <v>0.23769999999999999</v>
      </c>
      <c r="H1386">
        <v>0</v>
      </c>
      <c r="J1386">
        <v>1</v>
      </c>
      <c r="K1386">
        <f>YEAR(NetflixData[[#This Row],[date]])</f>
        <v>2022</v>
      </c>
      <c r="L1386" t="str">
        <f>TEXT(NetflixData[[#This Row],[date]],"mmm")</f>
        <v>Jun</v>
      </c>
      <c r="M1386" t="str">
        <f>TEXT(NetflixData[[#This Row],[date]],"mmm yyyy")</f>
        <v>Jun 2022</v>
      </c>
      <c r="N1386" t="str">
        <f t="shared" si="63"/>
        <v>Trading Day</v>
      </c>
      <c r="O1386" t="str">
        <f t="shared" si="64"/>
        <v>Negative</v>
      </c>
      <c r="P1386" t="str">
        <f t="shared" si="65"/>
        <v>Positive</v>
      </c>
    </row>
    <row r="1387" spans="1:16" x14ac:dyDescent="0.3">
      <c r="A1387" s="1">
        <v>44740</v>
      </c>
      <c r="B1387">
        <v>17.96</v>
      </c>
      <c r="C1387">
        <v>71854000</v>
      </c>
      <c r="D1387">
        <v>-5.0739999999999998</v>
      </c>
      <c r="E1387">
        <v>45</v>
      </c>
      <c r="F1387">
        <v>2.5099999999999998</v>
      </c>
      <c r="G1387">
        <v>0.11700000000000001</v>
      </c>
      <c r="H1387">
        <v>0</v>
      </c>
      <c r="J1387">
        <v>1</v>
      </c>
      <c r="K1387">
        <f>YEAR(NetflixData[[#This Row],[date]])</f>
        <v>2022</v>
      </c>
      <c r="L1387" t="str">
        <f>TEXT(NetflixData[[#This Row],[date]],"mmm")</f>
        <v>Jun</v>
      </c>
      <c r="M1387" t="str">
        <f>TEXT(NetflixData[[#This Row],[date]],"mmm yyyy")</f>
        <v>Jun 2022</v>
      </c>
      <c r="N1387" t="str">
        <f t="shared" si="63"/>
        <v>Trading Day</v>
      </c>
      <c r="O1387" t="str">
        <f t="shared" si="64"/>
        <v>Negative</v>
      </c>
      <c r="P1387" t="str">
        <f t="shared" si="65"/>
        <v>Positive</v>
      </c>
    </row>
    <row r="1388" spans="1:16" x14ac:dyDescent="0.3">
      <c r="A1388" s="1">
        <v>44741</v>
      </c>
      <c r="B1388">
        <v>17.84</v>
      </c>
      <c r="C1388">
        <v>57668000</v>
      </c>
      <c r="D1388">
        <v>-0.66300000000000003</v>
      </c>
      <c r="E1388">
        <v>38</v>
      </c>
      <c r="F1388">
        <v>3.13</v>
      </c>
      <c r="G1388">
        <v>8.7900000000000006E-2</v>
      </c>
      <c r="H1388">
        <v>0</v>
      </c>
      <c r="J1388">
        <v>1</v>
      </c>
      <c r="K1388">
        <f>YEAR(NetflixData[[#This Row],[date]])</f>
        <v>2022</v>
      </c>
      <c r="L1388" t="str">
        <f>TEXT(NetflixData[[#This Row],[date]],"mmm")</f>
        <v>Jun</v>
      </c>
      <c r="M1388" t="str">
        <f>TEXT(NetflixData[[#This Row],[date]],"mmm yyyy")</f>
        <v>Jun 2022</v>
      </c>
      <c r="N1388" t="str">
        <f t="shared" si="63"/>
        <v>Trading Day</v>
      </c>
      <c r="O1388" t="str">
        <f t="shared" si="64"/>
        <v>Negative</v>
      </c>
      <c r="P1388" t="str">
        <f t="shared" si="65"/>
        <v>Neutral</v>
      </c>
    </row>
    <row r="1389" spans="1:16" x14ac:dyDescent="0.3">
      <c r="A1389" s="1">
        <v>44742</v>
      </c>
      <c r="B1389">
        <v>17.489999999999998</v>
      </c>
      <c r="C1389">
        <v>78947000</v>
      </c>
      <c r="D1389">
        <v>-1.242</v>
      </c>
      <c r="E1389">
        <v>44</v>
      </c>
      <c r="F1389">
        <v>3.14</v>
      </c>
      <c r="G1389">
        <v>0.4088</v>
      </c>
      <c r="H1389">
        <v>0</v>
      </c>
      <c r="J1389">
        <v>1</v>
      </c>
      <c r="K1389">
        <f>YEAR(NetflixData[[#This Row],[date]])</f>
        <v>2022</v>
      </c>
      <c r="L1389" t="str">
        <f>TEXT(NetflixData[[#This Row],[date]],"mmm")</f>
        <v>Jun</v>
      </c>
      <c r="M1389" t="str">
        <f>TEXT(NetflixData[[#This Row],[date]],"mmm yyyy")</f>
        <v>Jun 2022</v>
      </c>
      <c r="N1389" t="str">
        <f t="shared" si="63"/>
        <v>Trading Day</v>
      </c>
      <c r="O1389" t="str">
        <f t="shared" si="64"/>
        <v>Negative</v>
      </c>
      <c r="P1389" t="str">
        <f t="shared" si="65"/>
        <v>Positive</v>
      </c>
    </row>
    <row r="1390" spans="1:16" x14ac:dyDescent="0.3">
      <c r="A1390" s="1">
        <v>44743</v>
      </c>
      <c r="B1390">
        <v>18</v>
      </c>
      <c r="C1390">
        <v>52016000</v>
      </c>
      <c r="D1390">
        <v>1.96</v>
      </c>
      <c r="E1390">
        <v>45</v>
      </c>
      <c r="F1390">
        <v>2.62</v>
      </c>
      <c r="G1390">
        <v>0.2072</v>
      </c>
      <c r="H1390">
        <v>0</v>
      </c>
      <c r="J1390">
        <v>1</v>
      </c>
      <c r="K1390">
        <f>YEAR(NetflixData[[#This Row],[date]])</f>
        <v>2022</v>
      </c>
      <c r="L1390" t="str">
        <f>TEXT(NetflixData[[#This Row],[date]],"mmm")</f>
        <v>Jul</v>
      </c>
      <c r="M1390" t="str">
        <f>TEXT(NetflixData[[#This Row],[date]],"mmm yyyy")</f>
        <v>Jul 2022</v>
      </c>
      <c r="N1390" t="str">
        <f t="shared" si="63"/>
        <v>Non-Trading Day</v>
      </c>
      <c r="O1390" t="str">
        <f t="shared" si="64"/>
        <v>Positive</v>
      </c>
      <c r="P1390" t="str">
        <f t="shared" si="65"/>
        <v>Positive</v>
      </c>
    </row>
    <row r="1391" spans="1:16" x14ac:dyDescent="0.3">
      <c r="A1391" s="1">
        <v>44744</v>
      </c>
      <c r="B1391">
        <v>18</v>
      </c>
      <c r="C1391">
        <v>0</v>
      </c>
      <c r="D1391">
        <v>0</v>
      </c>
      <c r="E1391">
        <v>52</v>
      </c>
      <c r="F1391">
        <v>2.94</v>
      </c>
      <c r="G1391">
        <v>0.34210000000000002</v>
      </c>
      <c r="H1391">
        <v>0</v>
      </c>
      <c r="J1391">
        <v>0</v>
      </c>
      <c r="K1391">
        <f>YEAR(NetflixData[[#This Row],[date]])</f>
        <v>2022</v>
      </c>
      <c r="L1391" t="str">
        <f>TEXT(NetflixData[[#This Row],[date]],"mmm")</f>
        <v>Jul</v>
      </c>
      <c r="M1391" t="str">
        <f>TEXT(NetflixData[[#This Row],[date]],"mmm yyyy")</f>
        <v>Jul 2022</v>
      </c>
      <c r="N1391" t="str">
        <f t="shared" si="63"/>
        <v>Non-Trading Day</v>
      </c>
      <c r="O1391" t="str">
        <f t="shared" si="64"/>
        <v>No Change</v>
      </c>
      <c r="P1391" t="str">
        <f t="shared" si="65"/>
        <v>Positive</v>
      </c>
    </row>
    <row r="1392" spans="1:16" x14ac:dyDescent="0.3">
      <c r="A1392" s="1">
        <v>44745</v>
      </c>
      <c r="B1392">
        <v>18</v>
      </c>
      <c r="C1392">
        <v>0</v>
      </c>
      <c r="D1392">
        <v>0</v>
      </c>
      <c r="E1392">
        <v>34</v>
      </c>
      <c r="F1392">
        <v>2.74</v>
      </c>
      <c r="G1392">
        <v>0.12889999999999999</v>
      </c>
      <c r="H1392">
        <v>0</v>
      </c>
      <c r="J1392">
        <v>0</v>
      </c>
      <c r="K1392">
        <f>YEAR(NetflixData[[#This Row],[date]])</f>
        <v>2022</v>
      </c>
      <c r="L1392" t="str">
        <f>TEXT(NetflixData[[#This Row],[date]],"mmm")</f>
        <v>Jul</v>
      </c>
      <c r="M1392" t="str">
        <f>TEXT(NetflixData[[#This Row],[date]],"mmm yyyy")</f>
        <v>Jul 2022</v>
      </c>
      <c r="N1392" t="str">
        <f t="shared" si="63"/>
        <v>Non-Trading Day</v>
      </c>
      <c r="O1392" t="str">
        <f t="shared" si="64"/>
        <v>No Change</v>
      </c>
      <c r="P1392" t="str">
        <f t="shared" si="65"/>
        <v>Positive</v>
      </c>
    </row>
    <row r="1393" spans="1:16" x14ac:dyDescent="0.3">
      <c r="A1393" s="1">
        <v>44746</v>
      </c>
      <c r="B1393">
        <v>18</v>
      </c>
      <c r="C1393">
        <v>0</v>
      </c>
      <c r="D1393">
        <v>0</v>
      </c>
      <c r="E1393">
        <v>39</v>
      </c>
      <c r="F1393">
        <v>3.21</v>
      </c>
      <c r="G1393">
        <v>0.20100000000000001</v>
      </c>
      <c r="H1393">
        <v>0</v>
      </c>
      <c r="J1393">
        <v>0</v>
      </c>
      <c r="K1393">
        <f>YEAR(NetflixData[[#This Row],[date]])</f>
        <v>2022</v>
      </c>
      <c r="L1393" t="str">
        <f>TEXT(NetflixData[[#This Row],[date]],"mmm")</f>
        <v>Jul</v>
      </c>
      <c r="M1393" t="str">
        <f>TEXT(NetflixData[[#This Row],[date]],"mmm yyyy")</f>
        <v>Jul 2022</v>
      </c>
      <c r="N1393" t="str">
        <f t="shared" si="63"/>
        <v>Trading Day</v>
      </c>
      <c r="O1393" t="str">
        <f t="shared" si="64"/>
        <v>No Change</v>
      </c>
      <c r="P1393" t="str">
        <f t="shared" si="65"/>
        <v>Positive</v>
      </c>
    </row>
    <row r="1394" spans="1:16" x14ac:dyDescent="0.3">
      <c r="A1394" s="1">
        <v>44747</v>
      </c>
      <c r="B1394">
        <v>18.59</v>
      </c>
      <c r="C1394">
        <v>73343000</v>
      </c>
      <c r="D1394">
        <v>5.4459999999999997</v>
      </c>
      <c r="E1394">
        <v>22</v>
      </c>
      <c r="F1394">
        <v>2.73</v>
      </c>
      <c r="G1394">
        <v>0.29680000000000001</v>
      </c>
      <c r="H1394">
        <v>0</v>
      </c>
      <c r="J1394">
        <v>1</v>
      </c>
      <c r="K1394">
        <f>YEAR(NetflixData[[#This Row],[date]])</f>
        <v>2022</v>
      </c>
      <c r="L1394" t="str">
        <f>TEXT(NetflixData[[#This Row],[date]],"mmm")</f>
        <v>Jul</v>
      </c>
      <c r="M1394" t="str">
        <f>TEXT(NetflixData[[#This Row],[date]],"mmm yyyy")</f>
        <v>Jul 2022</v>
      </c>
      <c r="N1394" t="str">
        <f t="shared" si="63"/>
        <v>Trading Day</v>
      </c>
      <c r="O1394" t="str">
        <f t="shared" si="64"/>
        <v>Positive</v>
      </c>
      <c r="P1394" t="str">
        <f t="shared" si="65"/>
        <v>Positive</v>
      </c>
    </row>
    <row r="1395" spans="1:16" x14ac:dyDescent="0.3">
      <c r="A1395" s="1">
        <v>44748</v>
      </c>
      <c r="B1395">
        <v>18.41</v>
      </c>
      <c r="C1395">
        <v>57534000</v>
      </c>
      <c r="D1395">
        <v>-0.61599999999999999</v>
      </c>
      <c r="E1395">
        <v>47</v>
      </c>
      <c r="F1395">
        <v>2.72</v>
      </c>
      <c r="G1395">
        <v>0.1537</v>
      </c>
      <c r="H1395">
        <v>0</v>
      </c>
      <c r="J1395">
        <v>1</v>
      </c>
      <c r="K1395">
        <f>YEAR(NetflixData[[#This Row],[date]])</f>
        <v>2022</v>
      </c>
      <c r="L1395" t="str">
        <f>TEXT(NetflixData[[#This Row],[date]],"mmm")</f>
        <v>Jul</v>
      </c>
      <c r="M1395" t="str">
        <f>TEXT(NetflixData[[#This Row],[date]],"mmm yyyy")</f>
        <v>Jul 2022</v>
      </c>
      <c r="N1395" t="str">
        <f t="shared" si="63"/>
        <v>Trading Day</v>
      </c>
      <c r="O1395" t="str">
        <f t="shared" si="64"/>
        <v>Negative</v>
      </c>
      <c r="P1395" t="str">
        <f t="shared" si="65"/>
        <v>Positive</v>
      </c>
    </row>
    <row r="1396" spans="1:16" x14ac:dyDescent="0.3">
      <c r="A1396" s="1">
        <v>44749</v>
      </c>
      <c r="B1396">
        <v>18.93</v>
      </c>
      <c r="C1396">
        <v>63345000</v>
      </c>
      <c r="D1396">
        <v>2.7130000000000001</v>
      </c>
      <c r="E1396">
        <v>27</v>
      </c>
      <c r="F1396">
        <v>2.67</v>
      </c>
      <c r="G1396">
        <v>0.1744</v>
      </c>
      <c r="H1396">
        <v>0</v>
      </c>
      <c r="J1396">
        <v>1</v>
      </c>
      <c r="K1396">
        <f>YEAR(NetflixData[[#This Row],[date]])</f>
        <v>2022</v>
      </c>
      <c r="L1396" t="str">
        <f>TEXT(NetflixData[[#This Row],[date]],"mmm")</f>
        <v>Jul</v>
      </c>
      <c r="M1396" t="str">
        <f>TEXT(NetflixData[[#This Row],[date]],"mmm yyyy")</f>
        <v>Jul 2022</v>
      </c>
      <c r="N1396" t="str">
        <f t="shared" si="63"/>
        <v>Trading Day</v>
      </c>
      <c r="O1396" t="str">
        <f t="shared" si="64"/>
        <v>Positive</v>
      </c>
      <c r="P1396" t="str">
        <f t="shared" si="65"/>
        <v>Positive</v>
      </c>
    </row>
    <row r="1397" spans="1:16" x14ac:dyDescent="0.3">
      <c r="A1397" s="1">
        <v>44750</v>
      </c>
      <c r="B1397">
        <v>18.7</v>
      </c>
      <c r="C1397">
        <v>58357000</v>
      </c>
      <c r="D1397">
        <v>0.51600000000000001</v>
      </c>
      <c r="E1397">
        <v>51</v>
      </c>
      <c r="F1397">
        <v>2.82</v>
      </c>
      <c r="G1397">
        <v>0.18340000000000001</v>
      </c>
      <c r="H1397">
        <v>0</v>
      </c>
      <c r="J1397">
        <v>1</v>
      </c>
      <c r="K1397">
        <f>YEAR(NetflixData[[#This Row],[date]])</f>
        <v>2022</v>
      </c>
      <c r="L1397" t="str">
        <f>TEXT(NetflixData[[#This Row],[date]],"mmm")</f>
        <v>Jul</v>
      </c>
      <c r="M1397" t="str">
        <f>TEXT(NetflixData[[#This Row],[date]],"mmm yyyy")</f>
        <v>Jul 2022</v>
      </c>
      <c r="N1397" t="str">
        <f t="shared" si="63"/>
        <v>Non-Trading Day</v>
      </c>
      <c r="O1397" t="str">
        <f t="shared" si="64"/>
        <v>Positive</v>
      </c>
      <c r="P1397" t="str">
        <f t="shared" si="65"/>
        <v>Positive</v>
      </c>
    </row>
    <row r="1398" spans="1:16" x14ac:dyDescent="0.3">
      <c r="A1398" s="1">
        <v>44751</v>
      </c>
      <c r="B1398">
        <v>18.7</v>
      </c>
      <c r="C1398">
        <v>0</v>
      </c>
      <c r="D1398">
        <v>0</v>
      </c>
      <c r="E1398">
        <v>38</v>
      </c>
      <c r="F1398">
        <v>3.39</v>
      </c>
      <c r="G1398">
        <v>0.2863</v>
      </c>
      <c r="H1398">
        <v>0</v>
      </c>
      <c r="J1398">
        <v>0</v>
      </c>
      <c r="K1398">
        <f>YEAR(NetflixData[[#This Row],[date]])</f>
        <v>2022</v>
      </c>
      <c r="L1398" t="str">
        <f>TEXT(NetflixData[[#This Row],[date]],"mmm")</f>
        <v>Jul</v>
      </c>
      <c r="M1398" t="str">
        <f>TEXT(NetflixData[[#This Row],[date]],"mmm yyyy")</f>
        <v>Jul 2022</v>
      </c>
      <c r="N1398" t="str">
        <f t="shared" si="63"/>
        <v>Non-Trading Day</v>
      </c>
      <c r="O1398" t="str">
        <f t="shared" si="64"/>
        <v>No Change</v>
      </c>
      <c r="P1398" t="str">
        <f t="shared" si="65"/>
        <v>Positive</v>
      </c>
    </row>
    <row r="1399" spans="1:16" x14ac:dyDescent="0.3">
      <c r="A1399" s="1">
        <v>44752</v>
      </c>
      <c r="B1399">
        <v>18.7</v>
      </c>
      <c r="C1399">
        <v>0</v>
      </c>
      <c r="D1399">
        <v>0</v>
      </c>
      <c r="E1399">
        <v>35</v>
      </c>
      <c r="F1399">
        <v>2.89</v>
      </c>
      <c r="G1399">
        <v>0.16769999999999999</v>
      </c>
      <c r="H1399">
        <v>0</v>
      </c>
      <c r="J1399">
        <v>0</v>
      </c>
      <c r="K1399">
        <f>YEAR(NetflixData[[#This Row],[date]])</f>
        <v>2022</v>
      </c>
      <c r="L1399" t="str">
        <f>TEXT(NetflixData[[#This Row],[date]],"mmm")</f>
        <v>Jul</v>
      </c>
      <c r="M1399" t="str">
        <f>TEXT(NetflixData[[#This Row],[date]],"mmm yyyy")</f>
        <v>Jul 2022</v>
      </c>
      <c r="N1399" t="str">
        <f t="shared" si="63"/>
        <v>Trading Day</v>
      </c>
      <c r="O1399" t="str">
        <f t="shared" si="64"/>
        <v>No Change</v>
      </c>
      <c r="P1399" t="str">
        <f t="shared" si="65"/>
        <v>Positive</v>
      </c>
    </row>
    <row r="1400" spans="1:16" x14ac:dyDescent="0.3">
      <c r="A1400" s="1">
        <v>44753</v>
      </c>
      <c r="B1400">
        <v>17.73</v>
      </c>
      <c r="C1400">
        <v>60388000</v>
      </c>
      <c r="D1400">
        <v>-4</v>
      </c>
      <c r="E1400">
        <v>87</v>
      </c>
      <c r="F1400">
        <v>2.4300000000000002</v>
      </c>
      <c r="G1400">
        <v>0.2041</v>
      </c>
      <c r="H1400">
        <v>0</v>
      </c>
      <c r="J1400">
        <v>1</v>
      </c>
      <c r="K1400">
        <f>YEAR(NetflixData[[#This Row],[date]])</f>
        <v>2022</v>
      </c>
      <c r="L1400" t="str">
        <f>TEXT(NetflixData[[#This Row],[date]],"mmm")</f>
        <v>Jul</v>
      </c>
      <c r="M1400" t="str">
        <f>TEXT(NetflixData[[#This Row],[date]],"mmm yyyy")</f>
        <v>Jul 2022</v>
      </c>
      <c r="N1400" t="str">
        <f t="shared" si="63"/>
        <v>Trading Day</v>
      </c>
      <c r="O1400" t="str">
        <f t="shared" si="64"/>
        <v>Negative</v>
      </c>
      <c r="P1400" t="str">
        <f t="shared" si="65"/>
        <v>Positive</v>
      </c>
    </row>
    <row r="1401" spans="1:16" x14ac:dyDescent="0.3">
      <c r="A1401" s="1">
        <v>44754</v>
      </c>
      <c r="B1401">
        <v>17.440000000000001</v>
      </c>
      <c r="C1401">
        <v>68453000</v>
      </c>
      <c r="D1401">
        <v>-1.6240000000000001</v>
      </c>
      <c r="E1401">
        <v>39</v>
      </c>
      <c r="F1401">
        <v>2.92</v>
      </c>
      <c r="G1401">
        <v>0.26169999999999999</v>
      </c>
      <c r="H1401">
        <v>0</v>
      </c>
      <c r="J1401">
        <v>1</v>
      </c>
      <c r="K1401">
        <f>YEAR(NetflixData[[#This Row],[date]])</f>
        <v>2022</v>
      </c>
      <c r="L1401" t="str">
        <f>TEXT(NetflixData[[#This Row],[date]],"mmm")</f>
        <v>Jul</v>
      </c>
      <c r="M1401" t="str">
        <f>TEXT(NetflixData[[#This Row],[date]],"mmm yyyy")</f>
        <v>Jul 2022</v>
      </c>
      <c r="N1401" t="str">
        <f t="shared" si="63"/>
        <v>Trading Day</v>
      </c>
      <c r="O1401" t="str">
        <f t="shared" si="64"/>
        <v>Negative</v>
      </c>
      <c r="P1401" t="str">
        <f t="shared" si="65"/>
        <v>Positive</v>
      </c>
    </row>
    <row r="1402" spans="1:16" x14ac:dyDescent="0.3">
      <c r="A1402" s="1">
        <v>44755</v>
      </c>
      <c r="B1402">
        <v>17.66</v>
      </c>
      <c r="C1402">
        <v>127344000</v>
      </c>
      <c r="D1402">
        <v>3.5539999999999998</v>
      </c>
      <c r="E1402">
        <v>77</v>
      </c>
      <c r="F1402">
        <v>3.39</v>
      </c>
      <c r="G1402">
        <v>0.31819999999999998</v>
      </c>
      <c r="H1402">
        <v>0</v>
      </c>
      <c r="J1402">
        <v>1</v>
      </c>
      <c r="K1402">
        <f>YEAR(NetflixData[[#This Row],[date]])</f>
        <v>2022</v>
      </c>
      <c r="L1402" t="str">
        <f>TEXT(NetflixData[[#This Row],[date]],"mmm")</f>
        <v>Jul</v>
      </c>
      <c r="M1402" t="str">
        <f>TEXT(NetflixData[[#This Row],[date]],"mmm yyyy")</f>
        <v>Jul 2022</v>
      </c>
      <c r="N1402" t="str">
        <f t="shared" si="63"/>
        <v>Trading Day</v>
      </c>
      <c r="O1402" t="str">
        <f t="shared" si="64"/>
        <v>Positive</v>
      </c>
      <c r="P1402" t="str">
        <f t="shared" si="65"/>
        <v>Positive</v>
      </c>
    </row>
    <row r="1403" spans="1:16" x14ac:dyDescent="0.3">
      <c r="A1403" s="1">
        <v>44756</v>
      </c>
      <c r="B1403">
        <v>17.48</v>
      </c>
      <c r="C1403">
        <v>90395000</v>
      </c>
      <c r="D1403">
        <v>-0.44400000000000001</v>
      </c>
      <c r="E1403">
        <v>51</v>
      </c>
      <c r="F1403">
        <v>3.14</v>
      </c>
      <c r="G1403">
        <v>0.2676</v>
      </c>
      <c r="H1403">
        <v>0</v>
      </c>
      <c r="J1403">
        <v>1</v>
      </c>
      <c r="K1403">
        <f>YEAR(NetflixData[[#This Row],[date]])</f>
        <v>2022</v>
      </c>
      <c r="L1403" t="str">
        <f>TEXT(NetflixData[[#This Row],[date]],"mmm")</f>
        <v>Jul</v>
      </c>
      <c r="M1403" t="str">
        <f>TEXT(NetflixData[[#This Row],[date]],"mmm yyyy")</f>
        <v>Jul 2022</v>
      </c>
      <c r="N1403" t="str">
        <f t="shared" si="63"/>
        <v>Trading Day</v>
      </c>
      <c r="O1403" t="str">
        <f t="shared" si="64"/>
        <v>Negative</v>
      </c>
      <c r="P1403" t="str">
        <f t="shared" si="65"/>
        <v>Positive</v>
      </c>
    </row>
    <row r="1404" spans="1:16" x14ac:dyDescent="0.3">
      <c r="A1404" s="1">
        <v>44757</v>
      </c>
      <c r="B1404">
        <v>18.91</v>
      </c>
      <c r="C1404">
        <v>163191000</v>
      </c>
      <c r="D1404">
        <v>7.7060000000000004</v>
      </c>
      <c r="E1404">
        <v>55</v>
      </c>
      <c r="F1404">
        <v>2.84</v>
      </c>
      <c r="G1404">
        <v>0.24879999999999999</v>
      </c>
      <c r="H1404">
        <v>0</v>
      </c>
      <c r="J1404">
        <v>1</v>
      </c>
      <c r="K1404">
        <f>YEAR(NetflixData[[#This Row],[date]])</f>
        <v>2022</v>
      </c>
      <c r="L1404" t="str">
        <f>TEXT(NetflixData[[#This Row],[date]],"mmm")</f>
        <v>Jul</v>
      </c>
      <c r="M1404" t="str">
        <f>TEXT(NetflixData[[#This Row],[date]],"mmm yyyy")</f>
        <v>Jul 2022</v>
      </c>
      <c r="N1404" t="str">
        <f t="shared" si="63"/>
        <v>Non-Trading Day</v>
      </c>
      <c r="O1404" t="str">
        <f t="shared" si="64"/>
        <v>Positive</v>
      </c>
      <c r="P1404" t="str">
        <f t="shared" si="65"/>
        <v>Positive</v>
      </c>
    </row>
    <row r="1405" spans="1:16" x14ac:dyDescent="0.3">
      <c r="A1405" s="1">
        <v>44758</v>
      </c>
      <c r="B1405">
        <v>18.91</v>
      </c>
      <c r="C1405">
        <v>0</v>
      </c>
      <c r="D1405">
        <v>0</v>
      </c>
      <c r="E1405">
        <v>37</v>
      </c>
      <c r="F1405">
        <v>2.97</v>
      </c>
      <c r="G1405">
        <v>0.31659999999999999</v>
      </c>
      <c r="H1405">
        <v>0</v>
      </c>
      <c r="J1405">
        <v>0</v>
      </c>
      <c r="K1405">
        <f>YEAR(NetflixData[[#This Row],[date]])</f>
        <v>2022</v>
      </c>
      <c r="L1405" t="str">
        <f>TEXT(NetflixData[[#This Row],[date]],"mmm")</f>
        <v>Jul</v>
      </c>
      <c r="M1405" t="str">
        <f>TEXT(NetflixData[[#This Row],[date]],"mmm yyyy")</f>
        <v>Jul 2022</v>
      </c>
      <c r="N1405" t="str">
        <f t="shared" si="63"/>
        <v>Non-Trading Day</v>
      </c>
      <c r="O1405" t="str">
        <f t="shared" si="64"/>
        <v>No Change</v>
      </c>
      <c r="P1405" t="str">
        <f t="shared" si="65"/>
        <v>Positive</v>
      </c>
    </row>
    <row r="1406" spans="1:16" x14ac:dyDescent="0.3">
      <c r="A1406" s="1">
        <v>44759</v>
      </c>
      <c r="B1406">
        <v>18.91</v>
      </c>
      <c r="C1406">
        <v>0</v>
      </c>
      <c r="D1406">
        <v>0</v>
      </c>
      <c r="E1406">
        <v>46</v>
      </c>
      <c r="F1406">
        <v>3.43</v>
      </c>
      <c r="G1406">
        <v>0.39960000000000001</v>
      </c>
      <c r="H1406">
        <v>0</v>
      </c>
      <c r="J1406">
        <v>0</v>
      </c>
      <c r="K1406">
        <f>YEAR(NetflixData[[#This Row],[date]])</f>
        <v>2022</v>
      </c>
      <c r="L1406" t="str">
        <f>TEXT(NetflixData[[#This Row],[date]],"mmm")</f>
        <v>Jul</v>
      </c>
      <c r="M1406" t="str">
        <f>TEXT(NetflixData[[#This Row],[date]],"mmm yyyy")</f>
        <v>Jul 2022</v>
      </c>
      <c r="N1406" t="str">
        <f t="shared" si="63"/>
        <v>Trading Day</v>
      </c>
      <c r="O1406" t="str">
        <f t="shared" si="64"/>
        <v>No Change</v>
      </c>
      <c r="P1406" t="str">
        <f t="shared" si="65"/>
        <v>Positive</v>
      </c>
    </row>
    <row r="1407" spans="1:16" x14ac:dyDescent="0.3">
      <c r="A1407" s="1">
        <v>44760</v>
      </c>
      <c r="B1407">
        <v>19.09</v>
      </c>
      <c r="C1407">
        <v>163228000</v>
      </c>
      <c r="D1407">
        <v>-0.82099999999999995</v>
      </c>
      <c r="E1407">
        <v>50</v>
      </c>
      <c r="F1407">
        <v>3.2</v>
      </c>
      <c r="G1407">
        <v>0.35970000000000002</v>
      </c>
      <c r="H1407">
        <v>0</v>
      </c>
      <c r="J1407">
        <v>1</v>
      </c>
      <c r="K1407">
        <f>YEAR(NetflixData[[#This Row],[date]])</f>
        <v>2022</v>
      </c>
      <c r="L1407" t="str">
        <f>TEXT(NetflixData[[#This Row],[date]],"mmm")</f>
        <v>Jul</v>
      </c>
      <c r="M1407" t="str">
        <f>TEXT(NetflixData[[#This Row],[date]],"mmm yyyy")</f>
        <v>Jul 2022</v>
      </c>
      <c r="N1407" t="str">
        <f t="shared" si="63"/>
        <v>Trading Day</v>
      </c>
      <c r="O1407" t="str">
        <f t="shared" si="64"/>
        <v>Negative</v>
      </c>
      <c r="P1407" t="str">
        <f t="shared" si="65"/>
        <v>Positive</v>
      </c>
    </row>
    <row r="1408" spans="1:16" x14ac:dyDescent="0.3">
      <c r="A1408" s="1">
        <v>44761</v>
      </c>
      <c r="B1408">
        <v>20.16</v>
      </c>
      <c r="C1408">
        <v>281787000</v>
      </c>
      <c r="D1408">
        <v>4.4610000000000003</v>
      </c>
      <c r="E1408">
        <v>69</v>
      </c>
      <c r="F1408">
        <v>3.94</v>
      </c>
      <c r="G1408">
        <v>0.39689999999999998</v>
      </c>
      <c r="H1408">
        <v>0</v>
      </c>
      <c r="J1408">
        <v>1</v>
      </c>
      <c r="K1408">
        <f>YEAR(NetflixData[[#This Row],[date]])</f>
        <v>2022</v>
      </c>
      <c r="L1408" t="str">
        <f>TEXT(NetflixData[[#This Row],[date]],"mmm")</f>
        <v>Jul</v>
      </c>
      <c r="M1408" t="str">
        <f>TEXT(NetflixData[[#This Row],[date]],"mmm yyyy")</f>
        <v>Jul 2022</v>
      </c>
      <c r="N1408" t="str">
        <f t="shared" si="63"/>
        <v>Trading Day</v>
      </c>
      <c r="O1408" t="str">
        <f t="shared" si="64"/>
        <v>Positive</v>
      </c>
      <c r="P1408" t="str">
        <f t="shared" si="65"/>
        <v>Positive</v>
      </c>
    </row>
    <row r="1409" spans="1:16" x14ac:dyDescent="0.3">
      <c r="A1409" s="1">
        <v>44762</v>
      </c>
      <c r="B1409">
        <v>21.64</v>
      </c>
      <c r="C1409">
        <v>539203000</v>
      </c>
      <c r="D1409">
        <v>3.9729999999999999</v>
      </c>
      <c r="E1409">
        <v>72</v>
      </c>
      <c r="F1409">
        <v>2.92</v>
      </c>
      <c r="G1409">
        <v>0.27089999999999997</v>
      </c>
      <c r="H1409">
        <v>0</v>
      </c>
      <c r="J1409">
        <v>1</v>
      </c>
      <c r="K1409">
        <f>YEAR(NetflixData[[#This Row],[date]])</f>
        <v>2022</v>
      </c>
      <c r="L1409" t="str">
        <f>TEXT(NetflixData[[#This Row],[date]],"mmm")</f>
        <v>Jul</v>
      </c>
      <c r="M1409" t="str">
        <f>TEXT(NetflixData[[#This Row],[date]],"mmm yyyy")</f>
        <v>Jul 2022</v>
      </c>
      <c r="N1409" t="str">
        <f t="shared" si="63"/>
        <v>Trading Day</v>
      </c>
      <c r="O1409" t="str">
        <f t="shared" si="64"/>
        <v>Positive</v>
      </c>
      <c r="P1409" t="str">
        <f t="shared" si="65"/>
        <v>Positive</v>
      </c>
    </row>
    <row r="1410" spans="1:16" x14ac:dyDescent="0.3">
      <c r="A1410" s="1">
        <v>44763</v>
      </c>
      <c r="B1410">
        <v>22.39</v>
      </c>
      <c r="C1410">
        <v>234301000</v>
      </c>
      <c r="D1410">
        <v>4.47</v>
      </c>
      <c r="E1410">
        <v>48</v>
      </c>
      <c r="F1410">
        <v>3.38</v>
      </c>
      <c r="G1410">
        <v>0.24440000000000001</v>
      </c>
      <c r="H1410">
        <v>0</v>
      </c>
      <c r="J1410">
        <v>1</v>
      </c>
      <c r="K1410">
        <f>YEAR(NetflixData[[#This Row],[date]])</f>
        <v>2022</v>
      </c>
      <c r="L1410" t="str">
        <f>TEXT(NetflixData[[#This Row],[date]],"mmm")</f>
        <v>Jul</v>
      </c>
      <c r="M1410" t="str">
        <f>TEXT(NetflixData[[#This Row],[date]],"mmm yyyy")</f>
        <v>Jul 2022</v>
      </c>
      <c r="N1410" t="str">
        <f t="shared" ref="N1410:N1473" si="66">IF(J1411=1,"Trading Day","Non-Trading Day")</f>
        <v>Trading Day</v>
      </c>
      <c r="O1410" t="str">
        <f t="shared" ref="O1410:O1473" si="67">IF(D1410&gt;0,"Positive",IF(D1410&lt;0,"Negative","No Change"))</f>
        <v>Positive</v>
      </c>
      <c r="P1410" t="str">
        <f t="shared" ref="P1410:P1473" si="68">IF(G1410&gt;0.1,"Positive",IF(G1410&lt;-0.1,"Negative","Neutral"))</f>
        <v>Positive</v>
      </c>
    </row>
    <row r="1411" spans="1:16" x14ac:dyDescent="0.3">
      <c r="A1411" s="1">
        <v>44764</v>
      </c>
      <c r="B1411">
        <v>22.04</v>
      </c>
      <c r="C1411">
        <v>178055000</v>
      </c>
      <c r="D1411">
        <v>-0.872</v>
      </c>
      <c r="E1411">
        <v>54</v>
      </c>
      <c r="F1411">
        <v>3.35</v>
      </c>
      <c r="G1411">
        <v>0.26719999999999999</v>
      </c>
      <c r="H1411">
        <v>0</v>
      </c>
      <c r="J1411">
        <v>1</v>
      </c>
      <c r="K1411">
        <f>YEAR(NetflixData[[#This Row],[date]])</f>
        <v>2022</v>
      </c>
      <c r="L1411" t="str">
        <f>TEXT(NetflixData[[#This Row],[date]],"mmm")</f>
        <v>Jul</v>
      </c>
      <c r="M1411" t="str">
        <f>TEXT(NetflixData[[#This Row],[date]],"mmm yyyy")</f>
        <v>Jul 2022</v>
      </c>
      <c r="N1411" t="str">
        <f t="shared" si="66"/>
        <v>Non-Trading Day</v>
      </c>
      <c r="O1411" t="str">
        <f t="shared" si="67"/>
        <v>Negative</v>
      </c>
      <c r="P1411" t="str">
        <f t="shared" si="68"/>
        <v>Positive</v>
      </c>
    </row>
    <row r="1412" spans="1:16" x14ac:dyDescent="0.3">
      <c r="A1412" s="1">
        <v>44765</v>
      </c>
      <c r="B1412">
        <v>22.04</v>
      </c>
      <c r="C1412">
        <v>0</v>
      </c>
      <c r="D1412">
        <v>0</v>
      </c>
      <c r="E1412">
        <v>47</v>
      </c>
      <c r="F1412">
        <v>2.89</v>
      </c>
      <c r="G1412">
        <v>0.31590000000000001</v>
      </c>
      <c r="H1412">
        <v>0</v>
      </c>
      <c r="J1412">
        <v>0</v>
      </c>
      <c r="K1412">
        <f>YEAR(NetflixData[[#This Row],[date]])</f>
        <v>2022</v>
      </c>
      <c r="L1412" t="str">
        <f>TEXT(NetflixData[[#This Row],[date]],"mmm")</f>
        <v>Jul</v>
      </c>
      <c r="M1412" t="str">
        <f>TEXT(NetflixData[[#This Row],[date]],"mmm yyyy")</f>
        <v>Jul 2022</v>
      </c>
      <c r="N1412" t="str">
        <f t="shared" si="66"/>
        <v>Non-Trading Day</v>
      </c>
      <c r="O1412" t="str">
        <f t="shared" si="67"/>
        <v>No Change</v>
      </c>
      <c r="P1412" t="str">
        <f t="shared" si="68"/>
        <v>Positive</v>
      </c>
    </row>
    <row r="1413" spans="1:16" x14ac:dyDescent="0.3">
      <c r="A1413" s="1">
        <v>44766</v>
      </c>
      <c r="B1413">
        <v>22.04</v>
      </c>
      <c r="C1413">
        <v>0</v>
      </c>
      <c r="D1413">
        <v>0</v>
      </c>
      <c r="E1413">
        <v>44</v>
      </c>
      <c r="F1413">
        <v>2.98</v>
      </c>
      <c r="G1413">
        <v>0.1056</v>
      </c>
      <c r="H1413">
        <v>0</v>
      </c>
      <c r="J1413">
        <v>0</v>
      </c>
      <c r="K1413">
        <f>YEAR(NetflixData[[#This Row],[date]])</f>
        <v>2022</v>
      </c>
      <c r="L1413" t="str">
        <f>TEXT(NetflixData[[#This Row],[date]],"mmm")</f>
        <v>Jul</v>
      </c>
      <c r="M1413" t="str">
        <f>TEXT(NetflixData[[#This Row],[date]],"mmm yyyy")</f>
        <v>Jul 2022</v>
      </c>
      <c r="N1413" t="str">
        <f t="shared" si="66"/>
        <v>Trading Day</v>
      </c>
      <c r="O1413" t="str">
        <f t="shared" si="67"/>
        <v>No Change</v>
      </c>
      <c r="P1413" t="str">
        <f t="shared" si="68"/>
        <v>Positive</v>
      </c>
    </row>
    <row r="1414" spans="1:16" x14ac:dyDescent="0.3">
      <c r="A1414" s="1">
        <v>44767</v>
      </c>
      <c r="B1414">
        <v>21.85</v>
      </c>
      <c r="C1414">
        <v>109352000</v>
      </c>
      <c r="D1414">
        <v>-1.2649999999999999</v>
      </c>
      <c r="E1414">
        <v>54</v>
      </c>
      <c r="F1414">
        <v>2.78</v>
      </c>
      <c r="G1414">
        <v>0.17530000000000001</v>
      </c>
      <c r="H1414">
        <v>0</v>
      </c>
      <c r="J1414">
        <v>1</v>
      </c>
      <c r="K1414">
        <f>YEAR(NetflixData[[#This Row],[date]])</f>
        <v>2022</v>
      </c>
      <c r="L1414" t="str">
        <f>TEXT(NetflixData[[#This Row],[date]],"mmm")</f>
        <v>Jul</v>
      </c>
      <c r="M1414" t="str">
        <f>TEXT(NetflixData[[#This Row],[date]],"mmm yyyy")</f>
        <v>Jul 2022</v>
      </c>
      <c r="N1414" t="str">
        <f t="shared" si="66"/>
        <v>Trading Day</v>
      </c>
      <c r="O1414" t="str">
        <f t="shared" si="67"/>
        <v>Negative</v>
      </c>
      <c r="P1414" t="str">
        <f t="shared" si="68"/>
        <v>Positive</v>
      </c>
    </row>
    <row r="1415" spans="1:16" x14ac:dyDescent="0.3">
      <c r="A1415" s="1">
        <v>44768</v>
      </c>
      <c r="B1415">
        <v>21.39</v>
      </c>
      <c r="C1415">
        <v>95085000</v>
      </c>
      <c r="D1415">
        <v>-1.2689999999999999</v>
      </c>
      <c r="E1415">
        <v>49</v>
      </c>
      <c r="F1415">
        <v>3.37</v>
      </c>
      <c r="G1415">
        <v>0.35010000000000002</v>
      </c>
      <c r="H1415">
        <v>0</v>
      </c>
      <c r="J1415">
        <v>1</v>
      </c>
      <c r="K1415">
        <f>YEAR(NetflixData[[#This Row],[date]])</f>
        <v>2022</v>
      </c>
      <c r="L1415" t="str">
        <f>TEXT(NetflixData[[#This Row],[date]],"mmm")</f>
        <v>Jul</v>
      </c>
      <c r="M1415" t="str">
        <f>TEXT(NetflixData[[#This Row],[date]],"mmm yyyy")</f>
        <v>Jul 2022</v>
      </c>
      <c r="N1415" t="str">
        <f t="shared" si="66"/>
        <v>Trading Day</v>
      </c>
      <c r="O1415" t="str">
        <f t="shared" si="67"/>
        <v>Negative</v>
      </c>
      <c r="P1415" t="str">
        <f t="shared" si="68"/>
        <v>Positive</v>
      </c>
    </row>
    <row r="1416" spans="1:16" x14ac:dyDescent="0.3">
      <c r="A1416" s="1">
        <v>44769</v>
      </c>
      <c r="B1416">
        <v>22.67</v>
      </c>
      <c r="C1416">
        <v>105084000</v>
      </c>
      <c r="D1416">
        <v>4.7439999999999998</v>
      </c>
      <c r="E1416">
        <v>49</v>
      </c>
      <c r="F1416">
        <v>2.96</v>
      </c>
      <c r="G1416">
        <v>0.24690000000000001</v>
      </c>
      <c r="H1416">
        <v>0</v>
      </c>
      <c r="J1416">
        <v>1</v>
      </c>
      <c r="K1416">
        <f>YEAR(NetflixData[[#This Row],[date]])</f>
        <v>2022</v>
      </c>
      <c r="L1416" t="str">
        <f>TEXT(NetflixData[[#This Row],[date]],"mmm")</f>
        <v>Jul</v>
      </c>
      <c r="M1416" t="str">
        <f>TEXT(NetflixData[[#This Row],[date]],"mmm yyyy")</f>
        <v>Jul 2022</v>
      </c>
      <c r="N1416" t="str">
        <f t="shared" si="66"/>
        <v>Trading Day</v>
      </c>
      <c r="O1416" t="str">
        <f t="shared" si="67"/>
        <v>Positive</v>
      </c>
      <c r="P1416" t="str">
        <f t="shared" si="68"/>
        <v>Positive</v>
      </c>
    </row>
    <row r="1417" spans="1:16" x14ac:dyDescent="0.3">
      <c r="A1417" s="1">
        <v>44770</v>
      </c>
      <c r="B1417">
        <v>22.6</v>
      </c>
      <c r="C1417">
        <v>89727000</v>
      </c>
      <c r="D1417">
        <v>0.63200000000000001</v>
      </c>
      <c r="E1417">
        <v>50</v>
      </c>
      <c r="F1417">
        <v>2.82</v>
      </c>
      <c r="G1417">
        <v>0.2364</v>
      </c>
      <c r="H1417">
        <v>0</v>
      </c>
      <c r="J1417">
        <v>1</v>
      </c>
      <c r="K1417">
        <f>YEAR(NetflixData[[#This Row],[date]])</f>
        <v>2022</v>
      </c>
      <c r="L1417" t="str">
        <f>TEXT(NetflixData[[#This Row],[date]],"mmm")</f>
        <v>Jul</v>
      </c>
      <c r="M1417" t="str">
        <f>TEXT(NetflixData[[#This Row],[date]],"mmm yyyy")</f>
        <v>Jul 2022</v>
      </c>
      <c r="N1417" t="str">
        <f t="shared" si="66"/>
        <v>Trading Day</v>
      </c>
      <c r="O1417" t="str">
        <f t="shared" si="67"/>
        <v>Positive</v>
      </c>
      <c r="P1417" t="str">
        <f t="shared" si="68"/>
        <v>Positive</v>
      </c>
    </row>
    <row r="1418" spans="1:16" x14ac:dyDescent="0.3">
      <c r="A1418" s="1">
        <v>44771</v>
      </c>
      <c r="B1418">
        <v>22.49</v>
      </c>
      <c r="C1418">
        <v>90649000</v>
      </c>
      <c r="D1418">
        <v>0.72099999999999997</v>
      </c>
      <c r="E1418">
        <v>55</v>
      </c>
      <c r="F1418">
        <v>2.84</v>
      </c>
      <c r="G1418">
        <v>0.14729999999999999</v>
      </c>
      <c r="H1418">
        <v>0</v>
      </c>
      <c r="J1418">
        <v>1</v>
      </c>
      <c r="K1418">
        <f>YEAR(NetflixData[[#This Row],[date]])</f>
        <v>2022</v>
      </c>
      <c r="L1418" t="str">
        <f>TEXT(NetflixData[[#This Row],[date]],"mmm")</f>
        <v>Jul</v>
      </c>
      <c r="M1418" t="str">
        <f>TEXT(NetflixData[[#This Row],[date]],"mmm yyyy")</f>
        <v>Jul 2022</v>
      </c>
      <c r="N1418" t="str">
        <f t="shared" si="66"/>
        <v>Non-Trading Day</v>
      </c>
      <c r="O1418" t="str">
        <f t="shared" si="67"/>
        <v>Positive</v>
      </c>
      <c r="P1418" t="str">
        <f t="shared" si="68"/>
        <v>Positive</v>
      </c>
    </row>
    <row r="1419" spans="1:16" x14ac:dyDescent="0.3">
      <c r="A1419" s="1">
        <v>44772</v>
      </c>
      <c r="B1419">
        <v>22.49</v>
      </c>
      <c r="C1419">
        <v>0</v>
      </c>
      <c r="D1419">
        <v>0</v>
      </c>
      <c r="E1419">
        <v>44</v>
      </c>
      <c r="F1419">
        <v>2.95</v>
      </c>
      <c r="G1419">
        <v>0.22040000000000001</v>
      </c>
      <c r="H1419">
        <v>0</v>
      </c>
      <c r="J1419">
        <v>0</v>
      </c>
      <c r="K1419">
        <f>YEAR(NetflixData[[#This Row],[date]])</f>
        <v>2022</v>
      </c>
      <c r="L1419" t="str">
        <f>TEXT(NetflixData[[#This Row],[date]],"mmm")</f>
        <v>Jul</v>
      </c>
      <c r="M1419" t="str">
        <f>TEXT(NetflixData[[#This Row],[date]],"mmm yyyy")</f>
        <v>Jul 2022</v>
      </c>
      <c r="N1419" t="str">
        <f t="shared" si="66"/>
        <v>Non-Trading Day</v>
      </c>
      <c r="O1419" t="str">
        <f t="shared" si="67"/>
        <v>No Change</v>
      </c>
      <c r="P1419" t="str">
        <f t="shared" si="68"/>
        <v>Positive</v>
      </c>
    </row>
    <row r="1420" spans="1:16" x14ac:dyDescent="0.3">
      <c r="A1420" s="1">
        <v>44773</v>
      </c>
      <c r="B1420">
        <v>22.49</v>
      </c>
      <c r="C1420">
        <v>0</v>
      </c>
      <c r="D1420">
        <v>0</v>
      </c>
      <c r="E1420">
        <v>52</v>
      </c>
      <c r="F1420">
        <v>2.73</v>
      </c>
      <c r="G1420">
        <v>0.23710000000000001</v>
      </c>
      <c r="H1420">
        <v>0</v>
      </c>
      <c r="J1420">
        <v>0</v>
      </c>
      <c r="K1420">
        <f>YEAR(NetflixData[[#This Row],[date]])</f>
        <v>2022</v>
      </c>
      <c r="L1420" t="str">
        <f>TEXT(NetflixData[[#This Row],[date]],"mmm")</f>
        <v>Jul</v>
      </c>
      <c r="M1420" t="str">
        <f>TEXT(NetflixData[[#This Row],[date]],"mmm yyyy")</f>
        <v>Jul 2022</v>
      </c>
      <c r="N1420" t="str">
        <f t="shared" si="66"/>
        <v>Trading Day</v>
      </c>
      <c r="O1420" t="str">
        <f t="shared" si="67"/>
        <v>No Change</v>
      </c>
      <c r="P1420" t="str">
        <f t="shared" si="68"/>
        <v>Positive</v>
      </c>
    </row>
    <row r="1421" spans="1:16" x14ac:dyDescent="0.3">
      <c r="A1421" s="1">
        <v>44774</v>
      </c>
      <c r="B1421">
        <v>22.62</v>
      </c>
      <c r="C1421">
        <v>55250000</v>
      </c>
      <c r="D1421">
        <v>1.3939999999999999</v>
      </c>
      <c r="E1421">
        <v>40</v>
      </c>
      <c r="F1421">
        <v>2.62</v>
      </c>
      <c r="G1421">
        <v>4.3700000000000003E-2</v>
      </c>
      <c r="H1421">
        <v>0</v>
      </c>
      <c r="J1421">
        <v>1</v>
      </c>
      <c r="K1421">
        <f>YEAR(NetflixData[[#This Row],[date]])</f>
        <v>2022</v>
      </c>
      <c r="L1421" t="str">
        <f>TEXT(NetflixData[[#This Row],[date]],"mmm")</f>
        <v>Aug</v>
      </c>
      <c r="M1421" t="str">
        <f>TEXT(NetflixData[[#This Row],[date]],"mmm yyyy")</f>
        <v>Aug 2022</v>
      </c>
      <c r="N1421" t="str">
        <f t="shared" si="66"/>
        <v>Trading Day</v>
      </c>
      <c r="O1421" t="str">
        <f t="shared" si="67"/>
        <v>Positive</v>
      </c>
      <c r="P1421" t="str">
        <f t="shared" si="68"/>
        <v>Neutral</v>
      </c>
    </row>
    <row r="1422" spans="1:16" x14ac:dyDescent="0.3">
      <c r="A1422" s="1">
        <v>44775</v>
      </c>
      <c r="B1422">
        <v>22.14</v>
      </c>
      <c r="C1422">
        <v>63613000</v>
      </c>
      <c r="D1422">
        <v>-0.60199999999999998</v>
      </c>
      <c r="E1422">
        <v>32</v>
      </c>
      <c r="F1422">
        <v>2.75</v>
      </c>
      <c r="G1422">
        <v>8.6300000000000002E-2</v>
      </c>
      <c r="H1422">
        <v>0</v>
      </c>
      <c r="J1422">
        <v>1</v>
      </c>
      <c r="K1422">
        <f>YEAR(NetflixData[[#This Row],[date]])</f>
        <v>2022</v>
      </c>
      <c r="L1422" t="str">
        <f>TEXT(NetflixData[[#This Row],[date]],"mmm")</f>
        <v>Aug</v>
      </c>
      <c r="M1422" t="str">
        <f>TEXT(NetflixData[[#This Row],[date]],"mmm yyyy")</f>
        <v>Aug 2022</v>
      </c>
      <c r="N1422" t="str">
        <f t="shared" si="66"/>
        <v>Trading Day</v>
      </c>
      <c r="O1422" t="str">
        <f t="shared" si="67"/>
        <v>Negative</v>
      </c>
      <c r="P1422" t="str">
        <f t="shared" si="68"/>
        <v>Neutral</v>
      </c>
    </row>
    <row r="1423" spans="1:16" x14ac:dyDescent="0.3">
      <c r="A1423" s="1">
        <v>44776</v>
      </c>
      <c r="B1423">
        <v>22.67</v>
      </c>
      <c r="C1423">
        <v>64007000</v>
      </c>
      <c r="D1423">
        <v>0.86299999999999999</v>
      </c>
      <c r="E1423">
        <v>49</v>
      </c>
      <c r="F1423">
        <v>2.41</v>
      </c>
      <c r="G1423">
        <v>2.4299999999999999E-2</v>
      </c>
      <c r="H1423">
        <v>0</v>
      </c>
      <c r="J1423">
        <v>1</v>
      </c>
      <c r="K1423">
        <f>YEAR(NetflixData[[#This Row],[date]])</f>
        <v>2022</v>
      </c>
      <c r="L1423" t="str">
        <f>TEXT(NetflixData[[#This Row],[date]],"mmm")</f>
        <v>Aug</v>
      </c>
      <c r="M1423" t="str">
        <f>TEXT(NetflixData[[#This Row],[date]],"mmm yyyy")</f>
        <v>Aug 2022</v>
      </c>
      <c r="N1423" t="str">
        <f t="shared" si="66"/>
        <v>Trading Day</v>
      </c>
      <c r="O1423" t="str">
        <f t="shared" si="67"/>
        <v>Positive</v>
      </c>
      <c r="P1423" t="str">
        <f t="shared" si="68"/>
        <v>Neutral</v>
      </c>
    </row>
    <row r="1424" spans="1:16" x14ac:dyDescent="0.3">
      <c r="A1424" s="1">
        <v>44777</v>
      </c>
      <c r="B1424">
        <v>22.99</v>
      </c>
      <c r="C1424">
        <v>71427000</v>
      </c>
      <c r="D1424">
        <v>0.97899999999999998</v>
      </c>
      <c r="E1424">
        <v>62</v>
      </c>
      <c r="F1424">
        <v>2.92</v>
      </c>
      <c r="G1424">
        <v>0.1701</v>
      </c>
      <c r="H1424">
        <v>0</v>
      </c>
      <c r="J1424">
        <v>1</v>
      </c>
      <c r="K1424">
        <f>YEAR(NetflixData[[#This Row],[date]])</f>
        <v>2022</v>
      </c>
      <c r="L1424" t="str">
        <f>TEXT(NetflixData[[#This Row],[date]],"mmm")</f>
        <v>Aug</v>
      </c>
      <c r="M1424" t="str">
        <f>TEXT(NetflixData[[#This Row],[date]],"mmm yyyy")</f>
        <v>Aug 2022</v>
      </c>
      <c r="N1424" t="str">
        <f t="shared" si="66"/>
        <v>Trading Day</v>
      </c>
      <c r="O1424" t="str">
        <f t="shared" si="67"/>
        <v>Positive</v>
      </c>
      <c r="P1424" t="str">
        <f t="shared" si="68"/>
        <v>Positive</v>
      </c>
    </row>
    <row r="1425" spans="1:16" x14ac:dyDescent="0.3">
      <c r="A1425" s="1">
        <v>44778</v>
      </c>
      <c r="B1425">
        <v>22.68</v>
      </c>
      <c r="C1425">
        <v>55397000</v>
      </c>
      <c r="D1425">
        <v>0.65700000000000003</v>
      </c>
      <c r="E1425">
        <v>57</v>
      </c>
      <c r="F1425">
        <v>2.7</v>
      </c>
      <c r="G1425">
        <v>0.17680000000000001</v>
      </c>
      <c r="H1425">
        <v>0</v>
      </c>
      <c r="J1425">
        <v>1</v>
      </c>
      <c r="K1425">
        <f>YEAR(NetflixData[[#This Row],[date]])</f>
        <v>2022</v>
      </c>
      <c r="L1425" t="str">
        <f>TEXT(NetflixData[[#This Row],[date]],"mmm")</f>
        <v>Aug</v>
      </c>
      <c r="M1425" t="str">
        <f>TEXT(NetflixData[[#This Row],[date]],"mmm yyyy")</f>
        <v>Aug 2022</v>
      </c>
      <c r="N1425" t="str">
        <f t="shared" si="66"/>
        <v>Non-Trading Day</v>
      </c>
      <c r="O1425" t="str">
        <f t="shared" si="67"/>
        <v>Positive</v>
      </c>
      <c r="P1425" t="str">
        <f t="shared" si="68"/>
        <v>Positive</v>
      </c>
    </row>
    <row r="1426" spans="1:16" x14ac:dyDescent="0.3">
      <c r="A1426" s="1">
        <v>44779</v>
      </c>
      <c r="B1426">
        <v>22.68</v>
      </c>
      <c r="C1426">
        <v>0</v>
      </c>
      <c r="D1426">
        <v>0</v>
      </c>
      <c r="E1426">
        <v>38</v>
      </c>
      <c r="F1426">
        <v>2.58</v>
      </c>
      <c r="G1426">
        <v>8.7400000000000005E-2</v>
      </c>
      <c r="H1426">
        <v>0</v>
      </c>
      <c r="J1426">
        <v>0</v>
      </c>
      <c r="K1426">
        <f>YEAR(NetflixData[[#This Row],[date]])</f>
        <v>2022</v>
      </c>
      <c r="L1426" t="str">
        <f>TEXT(NetflixData[[#This Row],[date]],"mmm")</f>
        <v>Aug</v>
      </c>
      <c r="M1426" t="str">
        <f>TEXT(NetflixData[[#This Row],[date]],"mmm yyyy")</f>
        <v>Aug 2022</v>
      </c>
      <c r="N1426" t="str">
        <f t="shared" si="66"/>
        <v>Non-Trading Day</v>
      </c>
      <c r="O1426" t="str">
        <f t="shared" si="67"/>
        <v>No Change</v>
      </c>
      <c r="P1426" t="str">
        <f t="shared" si="68"/>
        <v>Neutral</v>
      </c>
    </row>
    <row r="1427" spans="1:16" x14ac:dyDescent="0.3">
      <c r="A1427" s="1">
        <v>44780</v>
      </c>
      <c r="B1427">
        <v>22.68</v>
      </c>
      <c r="C1427">
        <v>0</v>
      </c>
      <c r="D1427">
        <v>0</v>
      </c>
      <c r="E1427">
        <v>35</v>
      </c>
      <c r="F1427">
        <v>2.97</v>
      </c>
      <c r="G1427">
        <v>9.7600000000000006E-2</v>
      </c>
      <c r="H1427">
        <v>0</v>
      </c>
      <c r="J1427">
        <v>0</v>
      </c>
      <c r="K1427">
        <f>YEAR(NetflixData[[#This Row],[date]])</f>
        <v>2022</v>
      </c>
      <c r="L1427" t="str">
        <f>TEXT(NetflixData[[#This Row],[date]],"mmm")</f>
        <v>Aug</v>
      </c>
      <c r="M1427" t="str">
        <f>TEXT(NetflixData[[#This Row],[date]],"mmm yyyy")</f>
        <v>Aug 2022</v>
      </c>
      <c r="N1427" t="str">
        <f t="shared" si="66"/>
        <v>Trading Day</v>
      </c>
      <c r="O1427" t="str">
        <f t="shared" si="67"/>
        <v>No Change</v>
      </c>
      <c r="P1427" t="str">
        <f t="shared" si="68"/>
        <v>Neutral</v>
      </c>
    </row>
    <row r="1428" spans="1:16" x14ac:dyDescent="0.3">
      <c r="A1428" s="1">
        <v>44781</v>
      </c>
      <c r="B1428">
        <v>23.35</v>
      </c>
      <c r="C1428">
        <v>109821000</v>
      </c>
      <c r="D1428">
        <v>2.637</v>
      </c>
      <c r="E1428">
        <v>43</v>
      </c>
      <c r="F1428">
        <v>2.86</v>
      </c>
      <c r="G1428">
        <v>0.21410000000000001</v>
      </c>
      <c r="H1428">
        <v>0</v>
      </c>
      <c r="J1428">
        <v>1</v>
      </c>
      <c r="K1428">
        <f>YEAR(NetflixData[[#This Row],[date]])</f>
        <v>2022</v>
      </c>
      <c r="L1428" t="str">
        <f>TEXT(NetflixData[[#This Row],[date]],"mmm")</f>
        <v>Aug</v>
      </c>
      <c r="M1428" t="str">
        <f>TEXT(NetflixData[[#This Row],[date]],"mmm yyyy")</f>
        <v>Aug 2022</v>
      </c>
      <c r="N1428" t="str">
        <f t="shared" si="66"/>
        <v>Trading Day</v>
      </c>
      <c r="O1428" t="str">
        <f t="shared" si="67"/>
        <v>Positive</v>
      </c>
      <c r="P1428" t="str">
        <f t="shared" si="68"/>
        <v>Positive</v>
      </c>
    </row>
    <row r="1429" spans="1:16" x14ac:dyDescent="0.3">
      <c r="A1429" s="1">
        <v>44782</v>
      </c>
      <c r="B1429">
        <v>22.99</v>
      </c>
      <c r="C1429">
        <v>61812000</v>
      </c>
      <c r="D1429">
        <v>-0.72499999999999998</v>
      </c>
      <c r="E1429">
        <v>41</v>
      </c>
      <c r="F1429">
        <v>2.85</v>
      </c>
      <c r="G1429">
        <v>0.1613</v>
      </c>
      <c r="H1429">
        <v>0</v>
      </c>
      <c r="J1429">
        <v>1</v>
      </c>
      <c r="K1429">
        <f>YEAR(NetflixData[[#This Row],[date]])</f>
        <v>2022</v>
      </c>
      <c r="L1429" t="str">
        <f>TEXT(NetflixData[[#This Row],[date]],"mmm")</f>
        <v>Aug</v>
      </c>
      <c r="M1429" t="str">
        <f>TEXT(NetflixData[[#This Row],[date]],"mmm yyyy")</f>
        <v>Aug 2022</v>
      </c>
      <c r="N1429" t="str">
        <f t="shared" si="66"/>
        <v>Trading Day</v>
      </c>
      <c r="O1429" t="str">
        <f t="shared" si="67"/>
        <v>Negative</v>
      </c>
      <c r="P1429" t="str">
        <f t="shared" si="68"/>
        <v>Positive</v>
      </c>
    </row>
    <row r="1430" spans="1:16" x14ac:dyDescent="0.3">
      <c r="A1430" s="1">
        <v>44783</v>
      </c>
      <c r="B1430">
        <v>24.41</v>
      </c>
      <c r="C1430">
        <v>92548000</v>
      </c>
      <c r="D1430">
        <v>3.004</v>
      </c>
      <c r="E1430">
        <v>36</v>
      </c>
      <c r="F1430">
        <v>2.56</v>
      </c>
      <c r="G1430">
        <v>0.27550000000000002</v>
      </c>
      <c r="H1430">
        <v>0</v>
      </c>
      <c r="J1430">
        <v>1</v>
      </c>
      <c r="K1430">
        <f>YEAR(NetflixData[[#This Row],[date]])</f>
        <v>2022</v>
      </c>
      <c r="L1430" t="str">
        <f>TEXT(NetflixData[[#This Row],[date]],"mmm")</f>
        <v>Aug</v>
      </c>
      <c r="M1430" t="str">
        <f>TEXT(NetflixData[[#This Row],[date]],"mmm yyyy")</f>
        <v>Aug 2022</v>
      </c>
      <c r="N1430" t="str">
        <f t="shared" si="66"/>
        <v>Trading Day</v>
      </c>
      <c r="O1430" t="str">
        <f t="shared" si="67"/>
        <v>Positive</v>
      </c>
      <c r="P1430" t="str">
        <f t="shared" si="68"/>
        <v>Positive</v>
      </c>
    </row>
    <row r="1431" spans="1:16" x14ac:dyDescent="0.3">
      <c r="A1431" s="1">
        <v>44784</v>
      </c>
      <c r="B1431">
        <v>24.27</v>
      </c>
      <c r="C1431">
        <v>87801000</v>
      </c>
      <c r="D1431">
        <v>-0.80900000000000005</v>
      </c>
      <c r="E1431">
        <v>47</v>
      </c>
      <c r="F1431">
        <v>2.83</v>
      </c>
      <c r="G1431">
        <v>4.3200000000000002E-2</v>
      </c>
      <c r="H1431">
        <v>0</v>
      </c>
      <c r="J1431">
        <v>1</v>
      </c>
      <c r="K1431">
        <f>YEAR(NetflixData[[#This Row],[date]])</f>
        <v>2022</v>
      </c>
      <c r="L1431" t="str">
        <f>TEXT(NetflixData[[#This Row],[date]],"mmm")</f>
        <v>Aug</v>
      </c>
      <c r="M1431" t="str">
        <f>TEXT(NetflixData[[#This Row],[date]],"mmm yyyy")</f>
        <v>Aug 2022</v>
      </c>
      <c r="N1431" t="str">
        <f t="shared" si="66"/>
        <v>Trading Day</v>
      </c>
      <c r="O1431" t="str">
        <f t="shared" si="67"/>
        <v>Negative</v>
      </c>
      <c r="P1431" t="str">
        <f t="shared" si="68"/>
        <v>Neutral</v>
      </c>
    </row>
    <row r="1432" spans="1:16" x14ac:dyDescent="0.3">
      <c r="A1432" s="1">
        <v>44785</v>
      </c>
      <c r="B1432">
        <v>24.93</v>
      </c>
      <c r="C1432">
        <v>60985000</v>
      </c>
      <c r="D1432">
        <v>1.8340000000000001</v>
      </c>
      <c r="E1432">
        <v>56</v>
      </c>
      <c r="F1432">
        <v>2.93</v>
      </c>
      <c r="G1432">
        <v>0.25869999999999999</v>
      </c>
      <c r="H1432">
        <v>0</v>
      </c>
      <c r="J1432">
        <v>1</v>
      </c>
      <c r="K1432">
        <f>YEAR(NetflixData[[#This Row],[date]])</f>
        <v>2022</v>
      </c>
      <c r="L1432" t="str">
        <f>TEXT(NetflixData[[#This Row],[date]],"mmm")</f>
        <v>Aug</v>
      </c>
      <c r="M1432" t="str">
        <f>TEXT(NetflixData[[#This Row],[date]],"mmm yyyy")</f>
        <v>Aug 2022</v>
      </c>
      <c r="N1432" t="str">
        <f t="shared" si="66"/>
        <v>Non-Trading Day</v>
      </c>
      <c r="O1432" t="str">
        <f t="shared" si="67"/>
        <v>Positive</v>
      </c>
      <c r="P1432" t="str">
        <f t="shared" si="68"/>
        <v>Positive</v>
      </c>
    </row>
    <row r="1433" spans="1:16" x14ac:dyDescent="0.3">
      <c r="A1433" s="1">
        <v>44786</v>
      </c>
      <c r="B1433">
        <v>24.93</v>
      </c>
      <c r="C1433">
        <v>0</v>
      </c>
      <c r="D1433">
        <v>0</v>
      </c>
      <c r="E1433">
        <v>39</v>
      </c>
      <c r="F1433">
        <v>3</v>
      </c>
      <c r="G1433">
        <v>0.1507</v>
      </c>
      <c r="H1433">
        <v>0</v>
      </c>
      <c r="J1433">
        <v>0</v>
      </c>
      <c r="K1433">
        <f>YEAR(NetflixData[[#This Row],[date]])</f>
        <v>2022</v>
      </c>
      <c r="L1433" t="str">
        <f>TEXT(NetflixData[[#This Row],[date]],"mmm")</f>
        <v>Aug</v>
      </c>
      <c r="M1433" t="str">
        <f>TEXT(NetflixData[[#This Row],[date]],"mmm yyyy")</f>
        <v>Aug 2022</v>
      </c>
      <c r="N1433" t="str">
        <f t="shared" si="66"/>
        <v>Non-Trading Day</v>
      </c>
      <c r="O1433" t="str">
        <f t="shared" si="67"/>
        <v>No Change</v>
      </c>
      <c r="P1433" t="str">
        <f t="shared" si="68"/>
        <v>Positive</v>
      </c>
    </row>
    <row r="1434" spans="1:16" x14ac:dyDescent="0.3">
      <c r="A1434" s="1">
        <v>44787</v>
      </c>
      <c r="B1434">
        <v>24.93</v>
      </c>
      <c r="C1434">
        <v>0</v>
      </c>
      <c r="D1434">
        <v>0</v>
      </c>
      <c r="E1434">
        <v>43</v>
      </c>
      <c r="F1434">
        <v>2.67</v>
      </c>
      <c r="G1434">
        <v>0.15540000000000001</v>
      </c>
      <c r="H1434">
        <v>0</v>
      </c>
      <c r="J1434">
        <v>0</v>
      </c>
      <c r="K1434">
        <f>YEAR(NetflixData[[#This Row],[date]])</f>
        <v>2022</v>
      </c>
      <c r="L1434" t="str">
        <f>TEXT(NetflixData[[#This Row],[date]],"mmm")</f>
        <v>Aug</v>
      </c>
      <c r="M1434" t="str">
        <f>TEXT(NetflixData[[#This Row],[date]],"mmm yyyy")</f>
        <v>Aug 2022</v>
      </c>
      <c r="N1434" t="str">
        <f t="shared" si="66"/>
        <v>Trading Day</v>
      </c>
      <c r="O1434" t="str">
        <f t="shared" si="67"/>
        <v>No Change</v>
      </c>
      <c r="P1434" t="str">
        <f t="shared" si="68"/>
        <v>Positive</v>
      </c>
    </row>
    <row r="1435" spans="1:16" x14ac:dyDescent="0.3">
      <c r="A1435" s="1">
        <v>44788</v>
      </c>
      <c r="B1435">
        <v>24.91</v>
      </c>
      <c r="C1435">
        <v>65274000</v>
      </c>
      <c r="D1435">
        <v>0.40300000000000002</v>
      </c>
      <c r="E1435">
        <v>92</v>
      </c>
      <c r="F1435">
        <v>3.72</v>
      </c>
      <c r="G1435">
        <v>0.37219999999999998</v>
      </c>
      <c r="H1435">
        <v>0</v>
      </c>
      <c r="J1435">
        <v>1</v>
      </c>
      <c r="K1435">
        <f>YEAR(NetflixData[[#This Row],[date]])</f>
        <v>2022</v>
      </c>
      <c r="L1435" t="str">
        <f>TEXT(NetflixData[[#This Row],[date]],"mmm")</f>
        <v>Aug</v>
      </c>
      <c r="M1435" t="str">
        <f>TEXT(NetflixData[[#This Row],[date]],"mmm yyyy")</f>
        <v>Aug 2022</v>
      </c>
      <c r="N1435" t="str">
        <f t="shared" si="66"/>
        <v>Trading Day</v>
      </c>
      <c r="O1435" t="str">
        <f t="shared" si="67"/>
        <v>Positive</v>
      </c>
      <c r="P1435" t="str">
        <f t="shared" si="68"/>
        <v>Positive</v>
      </c>
    </row>
    <row r="1436" spans="1:16" x14ac:dyDescent="0.3">
      <c r="A1436" s="1">
        <v>44789</v>
      </c>
      <c r="B1436">
        <v>24.57</v>
      </c>
      <c r="C1436">
        <v>51368000</v>
      </c>
      <c r="D1436">
        <v>-0.59499999999999997</v>
      </c>
      <c r="E1436">
        <v>77</v>
      </c>
      <c r="F1436">
        <v>3.16</v>
      </c>
      <c r="G1436">
        <v>0.24790000000000001</v>
      </c>
      <c r="H1436">
        <v>0</v>
      </c>
      <c r="J1436">
        <v>1</v>
      </c>
      <c r="K1436">
        <f>YEAR(NetflixData[[#This Row],[date]])</f>
        <v>2022</v>
      </c>
      <c r="L1436" t="str">
        <f>TEXT(NetflixData[[#This Row],[date]],"mmm")</f>
        <v>Aug</v>
      </c>
      <c r="M1436" t="str">
        <f>TEXT(NetflixData[[#This Row],[date]],"mmm yyyy")</f>
        <v>Aug 2022</v>
      </c>
      <c r="N1436" t="str">
        <f t="shared" si="66"/>
        <v>Trading Day</v>
      </c>
      <c r="O1436" t="str">
        <f t="shared" si="67"/>
        <v>Negative</v>
      </c>
      <c r="P1436" t="str">
        <f t="shared" si="68"/>
        <v>Positive</v>
      </c>
    </row>
    <row r="1437" spans="1:16" x14ac:dyDescent="0.3">
      <c r="A1437" s="1">
        <v>44790</v>
      </c>
      <c r="B1437">
        <v>24.11</v>
      </c>
      <c r="C1437">
        <v>56272000</v>
      </c>
      <c r="D1437">
        <v>-1.2E-2</v>
      </c>
      <c r="E1437">
        <v>55</v>
      </c>
      <c r="F1437">
        <v>2.76</v>
      </c>
      <c r="G1437">
        <v>0.25990000000000002</v>
      </c>
      <c r="H1437">
        <v>0</v>
      </c>
      <c r="J1437">
        <v>1</v>
      </c>
      <c r="K1437">
        <f>YEAR(NetflixData[[#This Row],[date]])</f>
        <v>2022</v>
      </c>
      <c r="L1437" t="str">
        <f>TEXT(NetflixData[[#This Row],[date]],"mmm")</f>
        <v>Aug</v>
      </c>
      <c r="M1437" t="str">
        <f>TEXT(NetflixData[[#This Row],[date]],"mmm yyyy")</f>
        <v>Aug 2022</v>
      </c>
      <c r="N1437" t="str">
        <f t="shared" si="66"/>
        <v>Trading Day</v>
      </c>
      <c r="O1437" t="str">
        <f t="shared" si="67"/>
        <v>Negative</v>
      </c>
      <c r="P1437" t="str">
        <f t="shared" si="68"/>
        <v>Positive</v>
      </c>
    </row>
    <row r="1438" spans="1:16" x14ac:dyDescent="0.3">
      <c r="A1438" s="1">
        <v>44791</v>
      </c>
      <c r="B1438">
        <v>24.52</v>
      </c>
      <c r="C1438">
        <v>52804000</v>
      </c>
      <c r="D1438">
        <v>1.327</v>
      </c>
      <c r="E1438">
        <v>52</v>
      </c>
      <c r="F1438">
        <v>3.17</v>
      </c>
      <c r="G1438">
        <v>0.2969</v>
      </c>
      <c r="H1438">
        <v>0</v>
      </c>
      <c r="J1438">
        <v>1</v>
      </c>
      <c r="K1438">
        <f>YEAR(NetflixData[[#This Row],[date]])</f>
        <v>2022</v>
      </c>
      <c r="L1438" t="str">
        <f>TEXT(NetflixData[[#This Row],[date]],"mmm")</f>
        <v>Aug</v>
      </c>
      <c r="M1438" t="str">
        <f>TEXT(NetflixData[[#This Row],[date]],"mmm yyyy")</f>
        <v>Aug 2022</v>
      </c>
      <c r="N1438" t="str">
        <f t="shared" si="66"/>
        <v>Trading Day</v>
      </c>
      <c r="O1438" t="str">
        <f t="shared" si="67"/>
        <v>Positive</v>
      </c>
      <c r="P1438" t="str">
        <f t="shared" si="68"/>
        <v>Positive</v>
      </c>
    </row>
    <row r="1439" spans="1:16" x14ac:dyDescent="0.3">
      <c r="A1439" s="1">
        <v>44792</v>
      </c>
      <c r="B1439">
        <v>24.12</v>
      </c>
      <c r="C1439">
        <v>75047000</v>
      </c>
      <c r="D1439">
        <v>8.6999999999999994E-2</v>
      </c>
      <c r="E1439">
        <v>40</v>
      </c>
      <c r="F1439">
        <v>2.98</v>
      </c>
      <c r="G1439">
        <v>0.19339999999999999</v>
      </c>
      <c r="H1439">
        <v>0</v>
      </c>
      <c r="J1439">
        <v>1</v>
      </c>
      <c r="K1439">
        <f>YEAR(NetflixData[[#This Row],[date]])</f>
        <v>2022</v>
      </c>
      <c r="L1439" t="str">
        <f>TEXT(NetflixData[[#This Row],[date]],"mmm")</f>
        <v>Aug</v>
      </c>
      <c r="M1439" t="str">
        <f>TEXT(NetflixData[[#This Row],[date]],"mmm yyyy")</f>
        <v>Aug 2022</v>
      </c>
      <c r="N1439" t="str">
        <f t="shared" si="66"/>
        <v>Non-Trading Day</v>
      </c>
      <c r="O1439" t="str">
        <f t="shared" si="67"/>
        <v>Positive</v>
      </c>
      <c r="P1439" t="str">
        <f t="shared" si="68"/>
        <v>Positive</v>
      </c>
    </row>
    <row r="1440" spans="1:16" x14ac:dyDescent="0.3">
      <c r="A1440" s="1">
        <v>44793</v>
      </c>
      <c r="B1440">
        <v>24.12</v>
      </c>
      <c r="C1440">
        <v>0</v>
      </c>
      <c r="D1440">
        <v>0</v>
      </c>
      <c r="E1440">
        <v>63</v>
      </c>
      <c r="F1440">
        <v>2.84</v>
      </c>
      <c r="G1440">
        <v>0.3251</v>
      </c>
      <c r="H1440">
        <v>0</v>
      </c>
      <c r="J1440">
        <v>0</v>
      </c>
      <c r="K1440">
        <f>YEAR(NetflixData[[#This Row],[date]])</f>
        <v>2022</v>
      </c>
      <c r="L1440" t="str">
        <f>TEXT(NetflixData[[#This Row],[date]],"mmm")</f>
        <v>Aug</v>
      </c>
      <c r="M1440" t="str">
        <f>TEXT(NetflixData[[#This Row],[date]],"mmm yyyy")</f>
        <v>Aug 2022</v>
      </c>
      <c r="N1440" t="str">
        <f t="shared" si="66"/>
        <v>Non-Trading Day</v>
      </c>
      <c r="O1440" t="str">
        <f t="shared" si="67"/>
        <v>No Change</v>
      </c>
      <c r="P1440" t="str">
        <f t="shared" si="68"/>
        <v>Positive</v>
      </c>
    </row>
    <row r="1441" spans="1:16" x14ac:dyDescent="0.3">
      <c r="A1441" s="1">
        <v>44794</v>
      </c>
      <c r="B1441">
        <v>24.12</v>
      </c>
      <c r="C1441">
        <v>0</v>
      </c>
      <c r="D1441">
        <v>0</v>
      </c>
      <c r="E1441">
        <v>50</v>
      </c>
      <c r="F1441">
        <v>2.62</v>
      </c>
      <c r="G1441">
        <v>0.15620000000000001</v>
      </c>
      <c r="H1441">
        <v>0</v>
      </c>
      <c r="J1441">
        <v>0</v>
      </c>
      <c r="K1441">
        <f>YEAR(NetflixData[[#This Row],[date]])</f>
        <v>2022</v>
      </c>
      <c r="L1441" t="str">
        <f>TEXT(NetflixData[[#This Row],[date]],"mmm")</f>
        <v>Aug</v>
      </c>
      <c r="M1441" t="str">
        <f>TEXT(NetflixData[[#This Row],[date]],"mmm yyyy")</f>
        <v>Aug 2022</v>
      </c>
      <c r="N1441" t="str">
        <f t="shared" si="66"/>
        <v>Trading Day</v>
      </c>
      <c r="O1441" t="str">
        <f t="shared" si="67"/>
        <v>No Change</v>
      </c>
      <c r="P1441" t="str">
        <f t="shared" si="68"/>
        <v>Positive</v>
      </c>
    </row>
    <row r="1442" spans="1:16" x14ac:dyDescent="0.3">
      <c r="A1442" s="1">
        <v>44795</v>
      </c>
      <c r="B1442">
        <v>22.65</v>
      </c>
      <c r="C1442">
        <v>86301000</v>
      </c>
      <c r="D1442">
        <v>-2.5840000000000001</v>
      </c>
      <c r="E1442">
        <v>35</v>
      </c>
      <c r="F1442">
        <v>2.86</v>
      </c>
      <c r="G1442">
        <v>0.24840000000000001</v>
      </c>
      <c r="H1442">
        <v>0</v>
      </c>
      <c r="J1442">
        <v>1</v>
      </c>
      <c r="K1442">
        <f>YEAR(NetflixData[[#This Row],[date]])</f>
        <v>2022</v>
      </c>
      <c r="L1442" t="str">
        <f>TEXT(NetflixData[[#This Row],[date]],"mmm")</f>
        <v>Aug</v>
      </c>
      <c r="M1442" t="str">
        <f>TEXT(NetflixData[[#This Row],[date]],"mmm yyyy")</f>
        <v>Aug 2022</v>
      </c>
      <c r="N1442" t="str">
        <f t="shared" si="66"/>
        <v>Trading Day</v>
      </c>
      <c r="O1442" t="str">
        <f t="shared" si="67"/>
        <v>Negative</v>
      </c>
      <c r="P1442" t="str">
        <f t="shared" si="68"/>
        <v>Positive</v>
      </c>
    </row>
    <row r="1443" spans="1:16" x14ac:dyDescent="0.3">
      <c r="A1443" s="1">
        <v>44796</v>
      </c>
      <c r="B1443">
        <v>22.45</v>
      </c>
      <c r="C1443">
        <v>52769000</v>
      </c>
      <c r="D1443">
        <v>-0.84299999999999997</v>
      </c>
      <c r="E1443">
        <v>47</v>
      </c>
      <c r="F1443">
        <v>2.98</v>
      </c>
      <c r="G1443">
        <v>0.23749999999999999</v>
      </c>
      <c r="H1443">
        <v>0</v>
      </c>
      <c r="J1443">
        <v>1</v>
      </c>
      <c r="K1443">
        <f>YEAR(NetflixData[[#This Row],[date]])</f>
        <v>2022</v>
      </c>
      <c r="L1443" t="str">
        <f>TEXT(NetflixData[[#This Row],[date]],"mmm")</f>
        <v>Aug</v>
      </c>
      <c r="M1443" t="str">
        <f>TEXT(NetflixData[[#This Row],[date]],"mmm yyyy")</f>
        <v>Aug 2022</v>
      </c>
      <c r="N1443" t="str">
        <f t="shared" si="66"/>
        <v>Trading Day</v>
      </c>
      <c r="O1443" t="str">
        <f t="shared" si="67"/>
        <v>Negative</v>
      </c>
      <c r="P1443" t="str">
        <f t="shared" si="68"/>
        <v>Positive</v>
      </c>
    </row>
    <row r="1444" spans="1:16" x14ac:dyDescent="0.3">
      <c r="A1444" s="1">
        <v>44797</v>
      </c>
      <c r="B1444">
        <v>22.96</v>
      </c>
      <c r="C1444">
        <v>54263000</v>
      </c>
      <c r="D1444">
        <v>1.75</v>
      </c>
      <c r="E1444">
        <v>46</v>
      </c>
      <c r="F1444">
        <v>2.67</v>
      </c>
      <c r="G1444">
        <v>0.2223</v>
      </c>
      <c r="H1444">
        <v>0</v>
      </c>
      <c r="J1444">
        <v>1</v>
      </c>
      <c r="K1444">
        <f>YEAR(NetflixData[[#This Row],[date]])</f>
        <v>2022</v>
      </c>
      <c r="L1444" t="str">
        <f>TEXT(NetflixData[[#This Row],[date]],"mmm")</f>
        <v>Aug</v>
      </c>
      <c r="M1444" t="str">
        <f>TEXT(NetflixData[[#This Row],[date]],"mmm yyyy")</f>
        <v>Aug 2022</v>
      </c>
      <c r="N1444" t="str">
        <f t="shared" si="66"/>
        <v>Trading Day</v>
      </c>
      <c r="O1444" t="str">
        <f t="shared" si="67"/>
        <v>Positive</v>
      </c>
      <c r="P1444" t="str">
        <f t="shared" si="68"/>
        <v>Positive</v>
      </c>
    </row>
    <row r="1445" spans="1:16" x14ac:dyDescent="0.3">
      <c r="A1445" s="1">
        <v>44798</v>
      </c>
      <c r="B1445">
        <v>23.4</v>
      </c>
      <c r="C1445">
        <v>37669000</v>
      </c>
      <c r="D1445">
        <v>1.6240000000000001</v>
      </c>
      <c r="E1445">
        <v>29</v>
      </c>
      <c r="F1445">
        <v>2.9</v>
      </c>
      <c r="G1445">
        <v>0.15920000000000001</v>
      </c>
      <c r="H1445">
        <v>0</v>
      </c>
      <c r="J1445">
        <v>1</v>
      </c>
      <c r="K1445">
        <f>YEAR(NetflixData[[#This Row],[date]])</f>
        <v>2022</v>
      </c>
      <c r="L1445" t="str">
        <f>TEXT(NetflixData[[#This Row],[date]],"mmm")</f>
        <v>Aug</v>
      </c>
      <c r="M1445" t="str">
        <f>TEXT(NetflixData[[#This Row],[date]],"mmm yyyy")</f>
        <v>Aug 2022</v>
      </c>
      <c r="N1445" t="str">
        <f t="shared" si="66"/>
        <v>Trading Day</v>
      </c>
      <c r="O1445" t="str">
        <f t="shared" si="67"/>
        <v>Positive</v>
      </c>
      <c r="P1445" t="str">
        <f t="shared" si="68"/>
        <v>Positive</v>
      </c>
    </row>
    <row r="1446" spans="1:16" x14ac:dyDescent="0.3">
      <c r="A1446" s="1">
        <v>44799</v>
      </c>
      <c r="B1446">
        <v>22.33</v>
      </c>
      <c r="C1446">
        <v>53498000</v>
      </c>
      <c r="D1446">
        <v>-4.43</v>
      </c>
      <c r="E1446">
        <v>33</v>
      </c>
      <c r="F1446">
        <v>2.82</v>
      </c>
      <c r="G1446">
        <v>0.20169999999999999</v>
      </c>
      <c r="H1446">
        <v>0</v>
      </c>
      <c r="J1446">
        <v>1</v>
      </c>
      <c r="K1446">
        <f>YEAR(NetflixData[[#This Row],[date]])</f>
        <v>2022</v>
      </c>
      <c r="L1446" t="str">
        <f>TEXT(NetflixData[[#This Row],[date]],"mmm")</f>
        <v>Aug</v>
      </c>
      <c r="M1446" t="str">
        <f>TEXT(NetflixData[[#This Row],[date]],"mmm yyyy")</f>
        <v>Aug 2022</v>
      </c>
      <c r="N1446" t="str">
        <f t="shared" si="66"/>
        <v>Non-Trading Day</v>
      </c>
      <c r="O1446" t="str">
        <f t="shared" si="67"/>
        <v>Negative</v>
      </c>
      <c r="P1446" t="str">
        <f t="shared" si="68"/>
        <v>Positive</v>
      </c>
    </row>
    <row r="1447" spans="1:16" x14ac:dyDescent="0.3">
      <c r="A1447" s="1">
        <v>44800</v>
      </c>
      <c r="B1447">
        <v>22.33</v>
      </c>
      <c r="C1447">
        <v>0</v>
      </c>
      <c r="D1447">
        <v>0</v>
      </c>
      <c r="E1447">
        <v>39</v>
      </c>
      <c r="F1447">
        <v>3.23</v>
      </c>
      <c r="G1447">
        <v>0.35920000000000002</v>
      </c>
      <c r="H1447">
        <v>0</v>
      </c>
      <c r="J1447">
        <v>0</v>
      </c>
      <c r="K1447">
        <f>YEAR(NetflixData[[#This Row],[date]])</f>
        <v>2022</v>
      </c>
      <c r="L1447" t="str">
        <f>TEXT(NetflixData[[#This Row],[date]],"mmm")</f>
        <v>Aug</v>
      </c>
      <c r="M1447" t="str">
        <f>TEXT(NetflixData[[#This Row],[date]],"mmm yyyy")</f>
        <v>Aug 2022</v>
      </c>
      <c r="N1447" t="str">
        <f t="shared" si="66"/>
        <v>Non-Trading Day</v>
      </c>
      <c r="O1447" t="str">
        <f t="shared" si="67"/>
        <v>No Change</v>
      </c>
      <c r="P1447" t="str">
        <f t="shared" si="68"/>
        <v>Positive</v>
      </c>
    </row>
    <row r="1448" spans="1:16" x14ac:dyDescent="0.3">
      <c r="A1448" s="1">
        <v>44801</v>
      </c>
      <c r="B1448">
        <v>22.33</v>
      </c>
      <c r="C1448">
        <v>0</v>
      </c>
      <c r="D1448">
        <v>0</v>
      </c>
      <c r="E1448">
        <v>47</v>
      </c>
      <c r="F1448">
        <v>3.04</v>
      </c>
      <c r="G1448">
        <v>0.28960000000000002</v>
      </c>
      <c r="H1448">
        <v>0</v>
      </c>
      <c r="J1448">
        <v>0</v>
      </c>
      <c r="K1448">
        <f>YEAR(NetflixData[[#This Row],[date]])</f>
        <v>2022</v>
      </c>
      <c r="L1448" t="str">
        <f>TEXT(NetflixData[[#This Row],[date]],"mmm")</f>
        <v>Aug</v>
      </c>
      <c r="M1448" t="str">
        <f>TEXT(NetflixData[[#This Row],[date]],"mmm yyyy")</f>
        <v>Aug 2022</v>
      </c>
      <c r="N1448" t="str">
        <f t="shared" si="66"/>
        <v>Trading Day</v>
      </c>
      <c r="O1448" t="str">
        <f t="shared" si="67"/>
        <v>No Change</v>
      </c>
      <c r="P1448" t="str">
        <f t="shared" si="68"/>
        <v>Positive</v>
      </c>
    </row>
    <row r="1449" spans="1:16" x14ac:dyDescent="0.3">
      <c r="A1449" s="1">
        <v>44802</v>
      </c>
      <c r="B1449">
        <v>22.46</v>
      </c>
      <c r="C1449">
        <v>71094000</v>
      </c>
      <c r="D1449">
        <v>1.19</v>
      </c>
      <c r="E1449">
        <v>31</v>
      </c>
      <c r="F1449">
        <v>2.5499999999999998</v>
      </c>
      <c r="G1449">
        <v>0.14480000000000001</v>
      </c>
      <c r="H1449">
        <v>0</v>
      </c>
      <c r="J1449">
        <v>1</v>
      </c>
      <c r="K1449">
        <f>YEAR(NetflixData[[#This Row],[date]])</f>
        <v>2022</v>
      </c>
      <c r="L1449" t="str">
        <f>TEXT(NetflixData[[#This Row],[date]],"mmm")</f>
        <v>Aug</v>
      </c>
      <c r="M1449" t="str">
        <f>TEXT(NetflixData[[#This Row],[date]],"mmm yyyy")</f>
        <v>Aug 2022</v>
      </c>
      <c r="N1449" t="str">
        <f t="shared" si="66"/>
        <v>Trading Day</v>
      </c>
      <c r="O1449" t="str">
        <f t="shared" si="67"/>
        <v>Positive</v>
      </c>
      <c r="P1449" t="str">
        <f t="shared" si="68"/>
        <v>Positive</v>
      </c>
    </row>
    <row r="1450" spans="1:16" x14ac:dyDescent="0.3">
      <c r="A1450" s="1">
        <v>44803</v>
      </c>
      <c r="B1450">
        <v>22.07</v>
      </c>
      <c r="C1450">
        <v>57404000</v>
      </c>
      <c r="D1450">
        <v>-2.6520000000000001</v>
      </c>
      <c r="E1450">
        <v>34</v>
      </c>
      <c r="F1450">
        <v>2.59</v>
      </c>
      <c r="G1450">
        <v>0.1724</v>
      </c>
      <c r="H1450">
        <v>0</v>
      </c>
      <c r="J1450">
        <v>1</v>
      </c>
      <c r="K1450">
        <f>YEAR(NetflixData[[#This Row],[date]])</f>
        <v>2022</v>
      </c>
      <c r="L1450" t="str">
        <f>TEXT(NetflixData[[#This Row],[date]],"mmm")</f>
        <v>Aug</v>
      </c>
      <c r="M1450" t="str">
        <f>TEXT(NetflixData[[#This Row],[date]],"mmm yyyy")</f>
        <v>Aug 2022</v>
      </c>
      <c r="N1450" t="str">
        <f t="shared" si="66"/>
        <v>Trading Day</v>
      </c>
      <c r="O1450" t="str">
        <f t="shared" si="67"/>
        <v>Negative</v>
      </c>
      <c r="P1450" t="str">
        <f t="shared" si="68"/>
        <v>Positive</v>
      </c>
    </row>
    <row r="1451" spans="1:16" x14ac:dyDescent="0.3">
      <c r="A1451" s="1">
        <v>44804</v>
      </c>
      <c r="B1451">
        <v>22.36</v>
      </c>
      <c r="C1451">
        <v>86159000</v>
      </c>
      <c r="D1451">
        <v>-1.5149999999999999</v>
      </c>
      <c r="E1451">
        <v>43</v>
      </c>
      <c r="F1451">
        <v>2.93</v>
      </c>
      <c r="G1451">
        <v>0.28670000000000001</v>
      </c>
      <c r="H1451">
        <v>0</v>
      </c>
      <c r="J1451">
        <v>1</v>
      </c>
      <c r="K1451">
        <f>YEAR(NetflixData[[#This Row],[date]])</f>
        <v>2022</v>
      </c>
      <c r="L1451" t="str">
        <f>TEXT(NetflixData[[#This Row],[date]],"mmm")</f>
        <v>Aug</v>
      </c>
      <c r="M1451" t="str">
        <f>TEXT(NetflixData[[#This Row],[date]],"mmm yyyy")</f>
        <v>Aug 2022</v>
      </c>
      <c r="N1451" t="str">
        <f t="shared" si="66"/>
        <v>Trading Day</v>
      </c>
      <c r="O1451" t="str">
        <f t="shared" si="67"/>
        <v>Negative</v>
      </c>
      <c r="P1451" t="str">
        <f t="shared" si="68"/>
        <v>Positive</v>
      </c>
    </row>
    <row r="1452" spans="1:16" x14ac:dyDescent="0.3">
      <c r="A1452" s="1">
        <v>44805</v>
      </c>
      <c r="B1452">
        <v>23</v>
      </c>
      <c r="C1452">
        <v>72929000</v>
      </c>
      <c r="D1452">
        <v>4.2229999999999999</v>
      </c>
      <c r="E1452">
        <v>43</v>
      </c>
      <c r="F1452">
        <v>2.91</v>
      </c>
      <c r="G1452">
        <v>0.26029999999999998</v>
      </c>
      <c r="H1452">
        <v>0</v>
      </c>
      <c r="J1452">
        <v>1</v>
      </c>
      <c r="K1452">
        <f>YEAR(NetflixData[[#This Row],[date]])</f>
        <v>2022</v>
      </c>
      <c r="L1452" t="str">
        <f>TEXT(NetflixData[[#This Row],[date]],"mmm")</f>
        <v>Sep</v>
      </c>
      <c r="M1452" t="str">
        <f>TEXT(NetflixData[[#This Row],[date]],"mmm yyyy")</f>
        <v>Sep 2022</v>
      </c>
      <c r="N1452" t="str">
        <f t="shared" si="66"/>
        <v>Trading Day</v>
      </c>
      <c r="O1452" t="str">
        <f t="shared" si="67"/>
        <v>Positive</v>
      </c>
      <c r="P1452" t="str">
        <f t="shared" si="68"/>
        <v>Positive</v>
      </c>
    </row>
    <row r="1453" spans="1:16" x14ac:dyDescent="0.3">
      <c r="A1453" s="1">
        <v>44806</v>
      </c>
      <c r="B1453">
        <v>22.61</v>
      </c>
      <c r="C1453">
        <v>81649000</v>
      </c>
      <c r="D1453">
        <v>-2.13</v>
      </c>
      <c r="E1453">
        <v>42</v>
      </c>
      <c r="F1453">
        <v>2.31</v>
      </c>
      <c r="G1453">
        <v>0.1167</v>
      </c>
      <c r="H1453">
        <v>0</v>
      </c>
      <c r="J1453">
        <v>1</v>
      </c>
      <c r="K1453">
        <f>YEAR(NetflixData[[#This Row],[date]])</f>
        <v>2022</v>
      </c>
      <c r="L1453" t="str">
        <f>TEXT(NetflixData[[#This Row],[date]],"mmm")</f>
        <v>Sep</v>
      </c>
      <c r="M1453" t="str">
        <f>TEXT(NetflixData[[#This Row],[date]],"mmm yyyy")</f>
        <v>Sep 2022</v>
      </c>
      <c r="N1453" t="str">
        <f t="shared" si="66"/>
        <v>Non-Trading Day</v>
      </c>
      <c r="O1453" t="str">
        <f t="shared" si="67"/>
        <v>Negative</v>
      </c>
      <c r="P1453" t="str">
        <f t="shared" si="68"/>
        <v>Positive</v>
      </c>
    </row>
    <row r="1454" spans="1:16" x14ac:dyDescent="0.3">
      <c r="A1454" s="1">
        <v>44807</v>
      </c>
      <c r="B1454">
        <v>22.61</v>
      </c>
      <c r="C1454">
        <v>0</v>
      </c>
      <c r="D1454">
        <v>0</v>
      </c>
      <c r="E1454">
        <v>41</v>
      </c>
      <c r="F1454">
        <v>2.68</v>
      </c>
      <c r="G1454">
        <v>0.17219999999999999</v>
      </c>
      <c r="H1454">
        <v>0</v>
      </c>
      <c r="J1454">
        <v>0</v>
      </c>
      <c r="K1454">
        <f>YEAR(NetflixData[[#This Row],[date]])</f>
        <v>2022</v>
      </c>
      <c r="L1454" t="str">
        <f>TEXT(NetflixData[[#This Row],[date]],"mmm")</f>
        <v>Sep</v>
      </c>
      <c r="M1454" t="str">
        <f>TEXT(NetflixData[[#This Row],[date]],"mmm yyyy")</f>
        <v>Sep 2022</v>
      </c>
      <c r="N1454" t="str">
        <f t="shared" si="66"/>
        <v>Non-Trading Day</v>
      </c>
      <c r="O1454" t="str">
        <f t="shared" si="67"/>
        <v>No Change</v>
      </c>
      <c r="P1454" t="str">
        <f t="shared" si="68"/>
        <v>Positive</v>
      </c>
    </row>
    <row r="1455" spans="1:16" x14ac:dyDescent="0.3">
      <c r="A1455" s="1">
        <v>44808</v>
      </c>
      <c r="B1455">
        <v>22.61</v>
      </c>
      <c r="C1455">
        <v>0</v>
      </c>
      <c r="D1455">
        <v>0</v>
      </c>
      <c r="E1455">
        <v>45</v>
      </c>
      <c r="F1455">
        <v>2.71</v>
      </c>
      <c r="G1455">
        <v>0.313</v>
      </c>
      <c r="H1455">
        <v>0</v>
      </c>
      <c r="J1455">
        <v>0</v>
      </c>
      <c r="K1455">
        <f>YEAR(NetflixData[[#This Row],[date]])</f>
        <v>2022</v>
      </c>
      <c r="L1455" t="str">
        <f>TEXT(NetflixData[[#This Row],[date]],"mmm")</f>
        <v>Sep</v>
      </c>
      <c r="M1455" t="str">
        <f>TEXT(NetflixData[[#This Row],[date]],"mmm yyyy")</f>
        <v>Sep 2022</v>
      </c>
      <c r="N1455" t="str">
        <f t="shared" si="66"/>
        <v>Non-Trading Day</v>
      </c>
      <c r="O1455" t="str">
        <f t="shared" si="67"/>
        <v>No Change</v>
      </c>
      <c r="P1455" t="str">
        <f t="shared" si="68"/>
        <v>Positive</v>
      </c>
    </row>
    <row r="1456" spans="1:16" x14ac:dyDescent="0.3">
      <c r="A1456" s="1">
        <v>44809</v>
      </c>
      <c r="B1456">
        <v>22.61</v>
      </c>
      <c r="C1456">
        <v>0</v>
      </c>
      <c r="D1456">
        <v>0</v>
      </c>
      <c r="E1456">
        <v>35</v>
      </c>
      <c r="F1456">
        <v>2.5099999999999998</v>
      </c>
      <c r="G1456">
        <v>7.4999999999999997E-2</v>
      </c>
      <c r="H1456">
        <v>0</v>
      </c>
      <c r="J1456">
        <v>0</v>
      </c>
      <c r="K1456">
        <f>YEAR(NetflixData[[#This Row],[date]])</f>
        <v>2022</v>
      </c>
      <c r="L1456" t="str">
        <f>TEXT(NetflixData[[#This Row],[date]],"mmm")</f>
        <v>Sep</v>
      </c>
      <c r="M1456" t="str">
        <f>TEXT(NetflixData[[#This Row],[date]],"mmm yyyy")</f>
        <v>Sep 2022</v>
      </c>
      <c r="N1456" t="str">
        <f t="shared" si="66"/>
        <v>Trading Day</v>
      </c>
      <c r="O1456" t="str">
        <f t="shared" si="67"/>
        <v>No Change</v>
      </c>
      <c r="P1456" t="str">
        <f t="shared" si="68"/>
        <v>Neutral</v>
      </c>
    </row>
    <row r="1457" spans="1:16" x14ac:dyDescent="0.3">
      <c r="A1457" s="1">
        <v>44810</v>
      </c>
      <c r="B1457">
        <v>21.84</v>
      </c>
      <c r="C1457">
        <v>74690000</v>
      </c>
      <c r="D1457">
        <v>-3.1920000000000002</v>
      </c>
      <c r="E1457">
        <v>36</v>
      </c>
      <c r="F1457">
        <v>2.83</v>
      </c>
      <c r="G1457">
        <v>0.28260000000000002</v>
      </c>
      <c r="H1457">
        <v>0</v>
      </c>
      <c r="J1457">
        <v>1</v>
      </c>
      <c r="K1457">
        <f>YEAR(NetflixData[[#This Row],[date]])</f>
        <v>2022</v>
      </c>
      <c r="L1457" t="str">
        <f>TEXT(NetflixData[[#This Row],[date]],"mmm")</f>
        <v>Sep</v>
      </c>
      <c r="M1457" t="str">
        <f>TEXT(NetflixData[[#This Row],[date]],"mmm yyyy")</f>
        <v>Sep 2022</v>
      </c>
      <c r="N1457" t="str">
        <f t="shared" si="66"/>
        <v>Trading Day</v>
      </c>
      <c r="O1457" t="str">
        <f t="shared" si="67"/>
        <v>Negative</v>
      </c>
      <c r="P1457" t="str">
        <f t="shared" si="68"/>
        <v>Positive</v>
      </c>
    </row>
    <row r="1458" spans="1:16" x14ac:dyDescent="0.3">
      <c r="A1458" s="1">
        <v>44811</v>
      </c>
      <c r="B1458">
        <v>22.9</v>
      </c>
      <c r="C1458">
        <v>81493000</v>
      </c>
      <c r="D1458">
        <v>3.9729999999999999</v>
      </c>
      <c r="E1458">
        <v>49</v>
      </c>
      <c r="F1458">
        <v>2.5499999999999998</v>
      </c>
      <c r="G1458">
        <v>0.10879999999999999</v>
      </c>
      <c r="H1458">
        <v>0</v>
      </c>
      <c r="J1458">
        <v>1</v>
      </c>
      <c r="K1458">
        <f>YEAR(NetflixData[[#This Row],[date]])</f>
        <v>2022</v>
      </c>
      <c r="L1458" t="str">
        <f>TEXT(NetflixData[[#This Row],[date]],"mmm")</f>
        <v>Sep</v>
      </c>
      <c r="M1458" t="str">
        <f>TEXT(NetflixData[[#This Row],[date]],"mmm yyyy")</f>
        <v>Sep 2022</v>
      </c>
      <c r="N1458" t="str">
        <f t="shared" si="66"/>
        <v>Trading Day</v>
      </c>
      <c r="O1458" t="str">
        <f t="shared" si="67"/>
        <v>Positive</v>
      </c>
      <c r="P1458" t="str">
        <f t="shared" si="68"/>
        <v>Positive</v>
      </c>
    </row>
    <row r="1459" spans="1:16" x14ac:dyDescent="0.3">
      <c r="A1459" s="1">
        <v>44812</v>
      </c>
      <c r="B1459">
        <v>22.74</v>
      </c>
      <c r="C1459">
        <v>67374000</v>
      </c>
      <c r="D1459">
        <v>1.4630000000000001</v>
      </c>
      <c r="E1459">
        <v>38</v>
      </c>
      <c r="F1459">
        <v>2.34</v>
      </c>
      <c r="G1459">
        <v>7.8299999999999995E-2</v>
      </c>
      <c r="H1459">
        <v>0</v>
      </c>
      <c r="J1459">
        <v>1</v>
      </c>
      <c r="K1459">
        <f>YEAR(NetflixData[[#This Row],[date]])</f>
        <v>2022</v>
      </c>
      <c r="L1459" t="str">
        <f>TEXT(NetflixData[[#This Row],[date]],"mmm")</f>
        <v>Sep</v>
      </c>
      <c r="M1459" t="str">
        <f>TEXT(NetflixData[[#This Row],[date]],"mmm yyyy")</f>
        <v>Sep 2022</v>
      </c>
      <c r="N1459" t="str">
        <f t="shared" si="66"/>
        <v>Trading Day</v>
      </c>
      <c r="O1459" t="str">
        <f t="shared" si="67"/>
        <v>Positive</v>
      </c>
      <c r="P1459" t="str">
        <f t="shared" si="68"/>
        <v>Neutral</v>
      </c>
    </row>
    <row r="1460" spans="1:16" x14ac:dyDescent="0.3">
      <c r="A1460" s="1">
        <v>44813</v>
      </c>
      <c r="B1460">
        <v>23.36</v>
      </c>
      <c r="C1460">
        <v>66996000</v>
      </c>
      <c r="D1460">
        <v>1.72</v>
      </c>
      <c r="E1460">
        <v>29</v>
      </c>
      <c r="F1460">
        <v>2.86</v>
      </c>
      <c r="G1460">
        <v>0.13109999999999999</v>
      </c>
      <c r="H1460">
        <v>0</v>
      </c>
      <c r="J1460">
        <v>1</v>
      </c>
      <c r="K1460">
        <f>YEAR(NetflixData[[#This Row],[date]])</f>
        <v>2022</v>
      </c>
      <c r="L1460" t="str">
        <f>TEXT(NetflixData[[#This Row],[date]],"mmm")</f>
        <v>Sep</v>
      </c>
      <c r="M1460" t="str">
        <f>TEXT(NetflixData[[#This Row],[date]],"mmm yyyy")</f>
        <v>Sep 2022</v>
      </c>
      <c r="N1460" t="str">
        <f t="shared" si="66"/>
        <v>Non-Trading Day</v>
      </c>
      <c r="O1460" t="str">
        <f t="shared" si="67"/>
        <v>Positive</v>
      </c>
      <c r="P1460" t="str">
        <f t="shared" si="68"/>
        <v>Positive</v>
      </c>
    </row>
    <row r="1461" spans="1:16" x14ac:dyDescent="0.3">
      <c r="A1461" s="1">
        <v>44814</v>
      </c>
      <c r="B1461">
        <v>23.36</v>
      </c>
      <c r="C1461">
        <v>0</v>
      </c>
      <c r="D1461">
        <v>0</v>
      </c>
      <c r="E1461">
        <v>24</v>
      </c>
      <c r="F1461">
        <v>2.58</v>
      </c>
      <c r="G1461">
        <v>0.28920000000000001</v>
      </c>
      <c r="H1461">
        <v>0</v>
      </c>
      <c r="J1461">
        <v>0</v>
      </c>
      <c r="K1461">
        <f>YEAR(NetflixData[[#This Row],[date]])</f>
        <v>2022</v>
      </c>
      <c r="L1461" t="str">
        <f>TEXT(NetflixData[[#This Row],[date]],"mmm")</f>
        <v>Sep</v>
      </c>
      <c r="M1461" t="str">
        <f>TEXT(NetflixData[[#This Row],[date]],"mmm yyyy")</f>
        <v>Sep 2022</v>
      </c>
      <c r="N1461" t="str">
        <f t="shared" si="66"/>
        <v>Non-Trading Day</v>
      </c>
      <c r="O1461" t="str">
        <f t="shared" si="67"/>
        <v>No Change</v>
      </c>
      <c r="P1461" t="str">
        <f t="shared" si="68"/>
        <v>Positive</v>
      </c>
    </row>
    <row r="1462" spans="1:16" x14ac:dyDescent="0.3">
      <c r="A1462" s="1">
        <v>44815</v>
      </c>
      <c r="B1462">
        <v>23.36</v>
      </c>
      <c r="C1462">
        <v>0</v>
      </c>
      <c r="D1462">
        <v>0</v>
      </c>
      <c r="E1462">
        <v>28</v>
      </c>
      <c r="F1462">
        <v>2.4300000000000002</v>
      </c>
      <c r="G1462">
        <v>0.15440000000000001</v>
      </c>
      <c r="H1462">
        <v>0</v>
      </c>
      <c r="J1462">
        <v>0</v>
      </c>
      <c r="K1462">
        <f>YEAR(NetflixData[[#This Row],[date]])</f>
        <v>2022</v>
      </c>
      <c r="L1462" t="str">
        <f>TEXT(NetflixData[[#This Row],[date]],"mmm")</f>
        <v>Sep</v>
      </c>
      <c r="M1462" t="str">
        <f>TEXT(NetflixData[[#This Row],[date]],"mmm yyyy")</f>
        <v>Sep 2022</v>
      </c>
      <c r="N1462" t="str">
        <f t="shared" si="66"/>
        <v>Trading Day</v>
      </c>
      <c r="O1462" t="str">
        <f t="shared" si="67"/>
        <v>No Change</v>
      </c>
      <c r="P1462" t="str">
        <f t="shared" si="68"/>
        <v>Positive</v>
      </c>
    </row>
    <row r="1463" spans="1:16" x14ac:dyDescent="0.3">
      <c r="A1463" s="1">
        <v>44816</v>
      </c>
      <c r="B1463">
        <v>23.65</v>
      </c>
      <c r="C1463">
        <v>60474000</v>
      </c>
      <c r="D1463">
        <v>1.25</v>
      </c>
      <c r="E1463">
        <v>18</v>
      </c>
      <c r="F1463">
        <v>2.72</v>
      </c>
      <c r="G1463">
        <v>0.27350000000000002</v>
      </c>
      <c r="H1463">
        <v>0</v>
      </c>
      <c r="J1463">
        <v>1</v>
      </c>
      <c r="K1463">
        <f>YEAR(NetflixData[[#This Row],[date]])</f>
        <v>2022</v>
      </c>
      <c r="L1463" t="str">
        <f>TEXT(NetflixData[[#This Row],[date]],"mmm")</f>
        <v>Sep</v>
      </c>
      <c r="M1463" t="str">
        <f>TEXT(NetflixData[[#This Row],[date]],"mmm yyyy")</f>
        <v>Sep 2022</v>
      </c>
      <c r="N1463" t="str">
        <f t="shared" si="66"/>
        <v>Trading Day</v>
      </c>
      <c r="O1463" t="str">
        <f t="shared" si="67"/>
        <v>Positive</v>
      </c>
      <c r="P1463" t="str">
        <f t="shared" si="68"/>
        <v>Positive</v>
      </c>
    </row>
    <row r="1464" spans="1:16" x14ac:dyDescent="0.3">
      <c r="A1464" s="1">
        <v>44817</v>
      </c>
      <c r="B1464">
        <v>21.81</v>
      </c>
      <c r="C1464">
        <v>80001000</v>
      </c>
      <c r="D1464">
        <v>-3.6949999999999998</v>
      </c>
      <c r="E1464">
        <v>29</v>
      </c>
      <c r="F1464">
        <v>2.48</v>
      </c>
      <c r="G1464">
        <v>0.18990000000000001</v>
      </c>
      <c r="H1464">
        <v>0</v>
      </c>
      <c r="J1464">
        <v>1</v>
      </c>
      <c r="K1464">
        <f>YEAR(NetflixData[[#This Row],[date]])</f>
        <v>2022</v>
      </c>
      <c r="L1464" t="str">
        <f>TEXT(NetflixData[[#This Row],[date]],"mmm")</f>
        <v>Sep</v>
      </c>
      <c r="M1464" t="str">
        <f>TEXT(NetflixData[[#This Row],[date]],"mmm yyyy")</f>
        <v>Sep 2022</v>
      </c>
      <c r="N1464" t="str">
        <f t="shared" si="66"/>
        <v>Trading Day</v>
      </c>
      <c r="O1464" t="str">
        <f t="shared" si="67"/>
        <v>Negative</v>
      </c>
      <c r="P1464" t="str">
        <f t="shared" si="68"/>
        <v>Positive</v>
      </c>
    </row>
    <row r="1465" spans="1:16" x14ac:dyDescent="0.3">
      <c r="A1465" s="1">
        <v>44818</v>
      </c>
      <c r="B1465">
        <v>22.41</v>
      </c>
      <c r="C1465">
        <v>82303000</v>
      </c>
      <c r="D1465">
        <v>1.956</v>
      </c>
      <c r="E1465">
        <v>30</v>
      </c>
      <c r="F1465">
        <v>2.5</v>
      </c>
      <c r="G1465">
        <v>4.7100000000000003E-2</v>
      </c>
      <c r="H1465">
        <v>0</v>
      </c>
      <c r="J1465">
        <v>1</v>
      </c>
      <c r="K1465">
        <f>YEAR(NetflixData[[#This Row],[date]])</f>
        <v>2022</v>
      </c>
      <c r="L1465" t="str">
        <f>TEXT(NetflixData[[#This Row],[date]],"mmm")</f>
        <v>Sep</v>
      </c>
      <c r="M1465" t="str">
        <f>TEXT(NetflixData[[#This Row],[date]],"mmm yyyy")</f>
        <v>Sep 2022</v>
      </c>
      <c r="N1465" t="str">
        <f t="shared" si="66"/>
        <v>Trading Day</v>
      </c>
      <c r="O1465" t="str">
        <f t="shared" si="67"/>
        <v>Positive</v>
      </c>
      <c r="P1465" t="str">
        <f t="shared" si="68"/>
        <v>Neutral</v>
      </c>
    </row>
    <row r="1466" spans="1:16" x14ac:dyDescent="0.3">
      <c r="A1466" s="1">
        <v>44819</v>
      </c>
      <c r="B1466">
        <v>23.54</v>
      </c>
      <c r="C1466">
        <v>194541000</v>
      </c>
      <c r="D1466">
        <v>2.13</v>
      </c>
      <c r="E1466">
        <v>17</v>
      </c>
      <c r="F1466">
        <v>2.2400000000000002</v>
      </c>
      <c r="G1466">
        <v>2.76E-2</v>
      </c>
      <c r="H1466">
        <v>0</v>
      </c>
      <c r="J1466">
        <v>1</v>
      </c>
      <c r="K1466">
        <f>YEAR(NetflixData[[#This Row],[date]])</f>
        <v>2022</v>
      </c>
      <c r="L1466" t="str">
        <f>TEXT(NetflixData[[#This Row],[date]],"mmm")</f>
        <v>Sep</v>
      </c>
      <c r="M1466" t="str">
        <f>TEXT(NetflixData[[#This Row],[date]],"mmm yyyy")</f>
        <v>Sep 2022</v>
      </c>
      <c r="N1466" t="str">
        <f t="shared" si="66"/>
        <v>Trading Day</v>
      </c>
      <c r="O1466" t="str">
        <f t="shared" si="67"/>
        <v>Positive</v>
      </c>
      <c r="P1466" t="str">
        <f t="shared" si="68"/>
        <v>Neutral</v>
      </c>
    </row>
    <row r="1467" spans="1:16" x14ac:dyDescent="0.3">
      <c r="A1467" s="1">
        <v>44820</v>
      </c>
      <c r="B1467">
        <v>24.01</v>
      </c>
      <c r="C1467">
        <v>189142000</v>
      </c>
      <c r="D1467">
        <v>3.8530000000000002</v>
      </c>
      <c r="E1467">
        <v>26</v>
      </c>
      <c r="F1467">
        <v>2.31</v>
      </c>
      <c r="G1467">
        <v>0.23730000000000001</v>
      </c>
      <c r="H1467">
        <v>0</v>
      </c>
      <c r="J1467">
        <v>1</v>
      </c>
      <c r="K1467">
        <f>YEAR(NetflixData[[#This Row],[date]])</f>
        <v>2022</v>
      </c>
      <c r="L1467" t="str">
        <f>TEXT(NetflixData[[#This Row],[date]],"mmm")</f>
        <v>Sep</v>
      </c>
      <c r="M1467" t="str">
        <f>TEXT(NetflixData[[#This Row],[date]],"mmm yyyy")</f>
        <v>Sep 2022</v>
      </c>
      <c r="N1467" t="str">
        <f t="shared" si="66"/>
        <v>Non-Trading Day</v>
      </c>
      <c r="O1467" t="str">
        <f t="shared" si="67"/>
        <v>Positive</v>
      </c>
      <c r="P1467" t="str">
        <f t="shared" si="68"/>
        <v>Positive</v>
      </c>
    </row>
    <row r="1468" spans="1:16" x14ac:dyDescent="0.3">
      <c r="A1468" s="1">
        <v>44821</v>
      </c>
      <c r="B1468">
        <v>24.01</v>
      </c>
      <c r="C1468">
        <v>0</v>
      </c>
      <c r="D1468">
        <v>0</v>
      </c>
      <c r="E1468">
        <v>38</v>
      </c>
      <c r="F1468">
        <v>3.21</v>
      </c>
      <c r="G1468">
        <v>0.34660000000000002</v>
      </c>
      <c r="H1468">
        <v>0</v>
      </c>
      <c r="J1468">
        <v>0</v>
      </c>
      <c r="K1468">
        <f>YEAR(NetflixData[[#This Row],[date]])</f>
        <v>2022</v>
      </c>
      <c r="L1468" t="str">
        <f>TEXT(NetflixData[[#This Row],[date]],"mmm")</f>
        <v>Sep</v>
      </c>
      <c r="M1468" t="str">
        <f>TEXT(NetflixData[[#This Row],[date]],"mmm yyyy")</f>
        <v>Sep 2022</v>
      </c>
      <c r="N1468" t="str">
        <f t="shared" si="66"/>
        <v>Non-Trading Day</v>
      </c>
      <c r="O1468" t="str">
        <f t="shared" si="67"/>
        <v>No Change</v>
      </c>
      <c r="P1468" t="str">
        <f t="shared" si="68"/>
        <v>Positive</v>
      </c>
    </row>
    <row r="1469" spans="1:16" x14ac:dyDescent="0.3">
      <c r="A1469" s="1">
        <v>44822</v>
      </c>
      <c r="B1469">
        <v>24.01</v>
      </c>
      <c r="C1469">
        <v>0</v>
      </c>
      <c r="D1469">
        <v>0</v>
      </c>
      <c r="E1469">
        <v>31</v>
      </c>
      <c r="F1469">
        <v>2.61</v>
      </c>
      <c r="G1469">
        <v>0.1454</v>
      </c>
      <c r="H1469">
        <v>0</v>
      </c>
      <c r="J1469">
        <v>0</v>
      </c>
      <c r="K1469">
        <f>YEAR(NetflixData[[#This Row],[date]])</f>
        <v>2022</v>
      </c>
      <c r="L1469" t="str">
        <f>TEXT(NetflixData[[#This Row],[date]],"mmm")</f>
        <v>Sep</v>
      </c>
      <c r="M1469" t="str">
        <f>TEXT(NetflixData[[#This Row],[date]],"mmm yyyy")</f>
        <v>Sep 2022</v>
      </c>
      <c r="N1469" t="str">
        <f t="shared" si="66"/>
        <v>Trading Day</v>
      </c>
      <c r="O1469" t="str">
        <f t="shared" si="67"/>
        <v>No Change</v>
      </c>
      <c r="P1469" t="str">
        <f t="shared" si="68"/>
        <v>Positive</v>
      </c>
    </row>
    <row r="1470" spans="1:16" x14ac:dyDescent="0.3">
      <c r="A1470" s="1">
        <v>44823</v>
      </c>
      <c r="B1470">
        <v>24.36</v>
      </c>
      <c r="C1470">
        <v>179124000</v>
      </c>
      <c r="D1470">
        <v>-0.57899999999999996</v>
      </c>
      <c r="E1470">
        <v>22</v>
      </c>
      <c r="F1470">
        <v>3.14</v>
      </c>
      <c r="G1470">
        <v>0.1565</v>
      </c>
      <c r="H1470">
        <v>0</v>
      </c>
      <c r="J1470">
        <v>1</v>
      </c>
      <c r="K1470">
        <f>YEAR(NetflixData[[#This Row],[date]])</f>
        <v>2022</v>
      </c>
      <c r="L1470" t="str">
        <f>TEXT(NetflixData[[#This Row],[date]],"mmm")</f>
        <v>Sep</v>
      </c>
      <c r="M1470" t="str">
        <f>TEXT(NetflixData[[#This Row],[date]],"mmm yyyy")</f>
        <v>Sep 2022</v>
      </c>
      <c r="N1470" t="str">
        <f t="shared" si="66"/>
        <v>Trading Day</v>
      </c>
      <c r="O1470" t="str">
        <f t="shared" si="67"/>
        <v>Negative</v>
      </c>
      <c r="P1470" t="str">
        <f t="shared" si="68"/>
        <v>Positive</v>
      </c>
    </row>
    <row r="1471" spans="1:16" x14ac:dyDescent="0.3">
      <c r="A1471" s="1">
        <v>44824</v>
      </c>
      <c r="B1471">
        <v>24.28</v>
      </c>
      <c r="C1471">
        <v>160374000</v>
      </c>
      <c r="D1471">
        <v>1.032</v>
      </c>
      <c r="E1471">
        <v>24</v>
      </c>
      <c r="F1471">
        <v>2.79</v>
      </c>
      <c r="G1471">
        <v>8.9999999999999993E-3</v>
      </c>
      <c r="H1471">
        <v>0</v>
      </c>
      <c r="J1471">
        <v>1</v>
      </c>
      <c r="K1471">
        <f>YEAR(NetflixData[[#This Row],[date]])</f>
        <v>2022</v>
      </c>
      <c r="L1471" t="str">
        <f>TEXT(NetflixData[[#This Row],[date]],"mmm")</f>
        <v>Sep</v>
      </c>
      <c r="M1471" t="str">
        <f>TEXT(NetflixData[[#This Row],[date]],"mmm yyyy")</f>
        <v>Sep 2022</v>
      </c>
      <c r="N1471" t="str">
        <f t="shared" si="66"/>
        <v>Trading Day</v>
      </c>
      <c r="O1471" t="str">
        <f t="shared" si="67"/>
        <v>Positive</v>
      </c>
      <c r="P1471" t="str">
        <f t="shared" si="68"/>
        <v>Neutral</v>
      </c>
    </row>
    <row r="1472" spans="1:16" x14ac:dyDescent="0.3">
      <c r="A1472" s="1">
        <v>44825</v>
      </c>
      <c r="B1472">
        <v>23.69</v>
      </c>
      <c r="C1472">
        <v>91668000</v>
      </c>
      <c r="D1472">
        <v>-2.39</v>
      </c>
      <c r="E1472">
        <v>26</v>
      </c>
      <c r="F1472">
        <v>2.15</v>
      </c>
      <c r="G1472">
        <v>0.1198</v>
      </c>
      <c r="H1472">
        <v>0</v>
      </c>
      <c r="J1472">
        <v>1</v>
      </c>
      <c r="K1472">
        <f>YEAR(NetflixData[[#This Row],[date]])</f>
        <v>2022</v>
      </c>
      <c r="L1472" t="str">
        <f>TEXT(NetflixData[[#This Row],[date]],"mmm")</f>
        <v>Sep</v>
      </c>
      <c r="M1472" t="str">
        <f>TEXT(NetflixData[[#This Row],[date]],"mmm yyyy")</f>
        <v>Sep 2022</v>
      </c>
      <c r="N1472" t="str">
        <f t="shared" si="66"/>
        <v>Trading Day</v>
      </c>
      <c r="O1472" t="str">
        <f t="shared" si="67"/>
        <v>Negative</v>
      </c>
      <c r="P1472" t="str">
        <f t="shared" si="68"/>
        <v>Positive</v>
      </c>
    </row>
    <row r="1473" spans="1:16" x14ac:dyDescent="0.3">
      <c r="A1473" s="1">
        <v>44826</v>
      </c>
      <c r="B1473">
        <v>23.7</v>
      </c>
      <c r="C1473">
        <v>100180000</v>
      </c>
      <c r="D1473">
        <v>0.72199999999999998</v>
      </c>
      <c r="E1473">
        <v>29</v>
      </c>
      <c r="F1473">
        <v>2.41</v>
      </c>
      <c r="G1473">
        <v>1.9900000000000001E-2</v>
      </c>
      <c r="H1473">
        <v>0</v>
      </c>
      <c r="J1473">
        <v>1</v>
      </c>
      <c r="K1473">
        <f>YEAR(NetflixData[[#This Row],[date]])</f>
        <v>2022</v>
      </c>
      <c r="L1473" t="str">
        <f>TEXT(NetflixData[[#This Row],[date]],"mmm")</f>
        <v>Sep</v>
      </c>
      <c r="M1473" t="str">
        <f>TEXT(NetflixData[[#This Row],[date]],"mmm yyyy")</f>
        <v>Sep 2022</v>
      </c>
      <c r="N1473" t="str">
        <f t="shared" si="66"/>
        <v>Trading Day</v>
      </c>
      <c r="O1473" t="str">
        <f t="shared" si="67"/>
        <v>Positive</v>
      </c>
      <c r="P1473" t="str">
        <f t="shared" si="68"/>
        <v>Neutral</v>
      </c>
    </row>
    <row r="1474" spans="1:16" x14ac:dyDescent="0.3">
      <c r="A1474" s="1">
        <v>44827</v>
      </c>
      <c r="B1474">
        <v>22.64</v>
      </c>
      <c r="C1474">
        <v>112072000</v>
      </c>
      <c r="D1474">
        <v>-3.7130000000000001</v>
      </c>
      <c r="E1474">
        <v>23</v>
      </c>
      <c r="F1474">
        <v>2.7</v>
      </c>
      <c r="G1474">
        <v>0.29630000000000001</v>
      </c>
      <c r="H1474">
        <v>0</v>
      </c>
      <c r="J1474">
        <v>1</v>
      </c>
      <c r="K1474">
        <f>YEAR(NetflixData[[#This Row],[date]])</f>
        <v>2022</v>
      </c>
      <c r="L1474" t="str">
        <f>TEXT(NetflixData[[#This Row],[date]],"mmm")</f>
        <v>Sep</v>
      </c>
      <c r="M1474" t="str">
        <f>TEXT(NetflixData[[#This Row],[date]],"mmm yyyy")</f>
        <v>Sep 2022</v>
      </c>
      <c r="N1474" t="str">
        <f t="shared" ref="N1474:N1537" si="69">IF(J1475=1,"Trading Day","Non-Trading Day")</f>
        <v>Non-Trading Day</v>
      </c>
      <c r="O1474" t="str">
        <f t="shared" ref="O1474:O1537" si="70">IF(D1474&gt;0,"Positive",IF(D1474&lt;0,"Negative","No Change"))</f>
        <v>Negative</v>
      </c>
      <c r="P1474" t="str">
        <f t="shared" ref="P1474:P1537" si="71">IF(G1474&gt;0.1,"Positive",IF(G1474&lt;-0.1,"Negative","Neutral"))</f>
        <v>Positive</v>
      </c>
    </row>
    <row r="1475" spans="1:16" x14ac:dyDescent="0.3">
      <c r="A1475" s="1">
        <v>44828</v>
      </c>
      <c r="B1475">
        <v>22.64</v>
      </c>
      <c r="C1475">
        <v>0</v>
      </c>
      <c r="D1475">
        <v>0</v>
      </c>
      <c r="E1475">
        <v>41</v>
      </c>
      <c r="F1475">
        <v>2.2200000000000002</v>
      </c>
      <c r="G1475">
        <v>6.0100000000000001E-2</v>
      </c>
      <c r="H1475">
        <v>0</v>
      </c>
      <c r="J1475">
        <v>0</v>
      </c>
      <c r="K1475">
        <f>YEAR(NetflixData[[#This Row],[date]])</f>
        <v>2022</v>
      </c>
      <c r="L1475" t="str">
        <f>TEXT(NetflixData[[#This Row],[date]],"mmm")</f>
        <v>Sep</v>
      </c>
      <c r="M1475" t="str">
        <f>TEXT(NetflixData[[#This Row],[date]],"mmm yyyy")</f>
        <v>Sep 2022</v>
      </c>
      <c r="N1475" t="str">
        <f t="shared" si="69"/>
        <v>Non-Trading Day</v>
      </c>
      <c r="O1475" t="str">
        <f t="shared" si="70"/>
        <v>No Change</v>
      </c>
      <c r="P1475" t="str">
        <f t="shared" si="71"/>
        <v>Neutral</v>
      </c>
    </row>
    <row r="1476" spans="1:16" x14ac:dyDescent="0.3">
      <c r="A1476" s="1">
        <v>44829</v>
      </c>
      <c r="B1476">
        <v>22.64</v>
      </c>
      <c r="C1476">
        <v>0</v>
      </c>
      <c r="D1476">
        <v>0</v>
      </c>
      <c r="E1476">
        <v>39</v>
      </c>
      <c r="F1476">
        <v>3.33</v>
      </c>
      <c r="G1476">
        <v>0.29039999999999999</v>
      </c>
      <c r="H1476">
        <v>0</v>
      </c>
      <c r="J1476">
        <v>0</v>
      </c>
      <c r="K1476">
        <f>YEAR(NetflixData[[#This Row],[date]])</f>
        <v>2022</v>
      </c>
      <c r="L1476" t="str">
        <f>TEXT(NetflixData[[#This Row],[date]],"mmm")</f>
        <v>Sep</v>
      </c>
      <c r="M1476" t="str">
        <f>TEXT(NetflixData[[#This Row],[date]],"mmm yyyy")</f>
        <v>Sep 2022</v>
      </c>
      <c r="N1476" t="str">
        <f t="shared" si="69"/>
        <v>Trading Day</v>
      </c>
      <c r="O1476" t="str">
        <f t="shared" si="70"/>
        <v>No Change</v>
      </c>
      <c r="P1476" t="str">
        <f t="shared" si="71"/>
        <v>Positive</v>
      </c>
    </row>
    <row r="1477" spans="1:16" x14ac:dyDescent="0.3">
      <c r="A1477" s="1">
        <v>44830</v>
      </c>
      <c r="B1477">
        <v>22.41</v>
      </c>
      <c r="C1477">
        <v>82343000</v>
      </c>
      <c r="D1477">
        <v>-0.67800000000000005</v>
      </c>
      <c r="E1477">
        <v>24</v>
      </c>
      <c r="F1477">
        <v>2.88</v>
      </c>
      <c r="G1477">
        <v>0.21579999999999999</v>
      </c>
      <c r="H1477">
        <v>0</v>
      </c>
      <c r="J1477">
        <v>1</v>
      </c>
      <c r="K1477">
        <f>YEAR(NetflixData[[#This Row],[date]])</f>
        <v>2022</v>
      </c>
      <c r="L1477" t="str">
        <f>TEXT(NetflixData[[#This Row],[date]],"mmm")</f>
        <v>Sep</v>
      </c>
      <c r="M1477" t="str">
        <f>TEXT(NetflixData[[#This Row],[date]],"mmm yyyy")</f>
        <v>Sep 2022</v>
      </c>
      <c r="N1477" t="str">
        <f t="shared" si="69"/>
        <v>Trading Day</v>
      </c>
      <c r="O1477" t="str">
        <f t="shared" si="70"/>
        <v>Negative</v>
      </c>
      <c r="P1477" t="str">
        <f t="shared" si="71"/>
        <v>Positive</v>
      </c>
    </row>
    <row r="1478" spans="1:16" x14ac:dyDescent="0.3">
      <c r="A1478" s="1">
        <v>44831</v>
      </c>
      <c r="B1478">
        <v>22.44</v>
      </c>
      <c r="C1478">
        <v>77622000</v>
      </c>
      <c r="D1478">
        <v>-1.8680000000000001</v>
      </c>
      <c r="E1478">
        <v>31</v>
      </c>
      <c r="F1478">
        <v>3</v>
      </c>
      <c r="G1478">
        <v>0.1696</v>
      </c>
      <c r="H1478">
        <v>0</v>
      </c>
      <c r="J1478">
        <v>1</v>
      </c>
      <c r="K1478">
        <f>YEAR(NetflixData[[#This Row],[date]])</f>
        <v>2022</v>
      </c>
      <c r="L1478" t="str">
        <f>TEXT(NetflixData[[#This Row],[date]],"mmm")</f>
        <v>Sep</v>
      </c>
      <c r="M1478" t="str">
        <f>TEXT(NetflixData[[#This Row],[date]],"mmm yyyy")</f>
        <v>Sep 2022</v>
      </c>
      <c r="N1478" t="str">
        <f t="shared" si="69"/>
        <v>Trading Day</v>
      </c>
      <c r="O1478" t="str">
        <f t="shared" si="70"/>
        <v>Negative</v>
      </c>
      <c r="P1478" t="str">
        <f t="shared" si="71"/>
        <v>Positive</v>
      </c>
    </row>
    <row r="1479" spans="1:16" x14ac:dyDescent="0.3">
      <c r="A1479" s="1">
        <v>44832</v>
      </c>
      <c r="B1479">
        <v>24.52</v>
      </c>
      <c r="C1479">
        <v>175797000</v>
      </c>
      <c r="D1479">
        <v>6.7530000000000001</v>
      </c>
      <c r="E1479">
        <v>35</v>
      </c>
      <c r="F1479">
        <v>2.57</v>
      </c>
      <c r="G1479">
        <v>0.15229999999999999</v>
      </c>
      <c r="H1479">
        <v>0</v>
      </c>
      <c r="J1479">
        <v>1</v>
      </c>
      <c r="K1479">
        <f>YEAR(NetflixData[[#This Row],[date]])</f>
        <v>2022</v>
      </c>
      <c r="L1479" t="str">
        <f>TEXT(NetflixData[[#This Row],[date]],"mmm")</f>
        <v>Sep</v>
      </c>
      <c r="M1479" t="str">
        <f>TEXT(NetflixData[[#This Row],[date]],"mmm yyyy")</f>
        <v>Sep 2022</v>
      </c>
      <c r="N1479" t="str">
        <f t="shared" si="69"/>
        <v>Trading Day</v>
      </c>
      <c r="O1479" t="str">
        <f t="shared" si="70"/>
        <v>Positive</v>
      </c>
      <c r="P1479" t="str">
        <f t="shared" si="71"/>
        <v>Positive</v>
      </c>
    </row>
    <row r="1480" spans="1:16" x14ac:dyDescent="0.3">
      <c r="A1480" s="1">
        <v>44833</v>
      </c>
      <c r="B1480">
        <v>23.97</v>
      </c>
      <c r="C1480">
        <v>189949000</v>
      </c>
      <c r="D1480">
        <v>-0.78600000000000003</v>
      </c>
      <c r="E1480">
        <v>29</v>
      </c>
      <c r="F1480">
        <v>3.1</v>
      </c>
      <c r="G1480">
        <v>0.27550000000000002</v>
      </c>
      <c r="H1480">
        <v>0</v>
      </c>
      <c r="J1480">
        <v>1</v>
      </c>
      <c r="K1480">
        <f>YEAR(NetflixData[[#This Row],[date]])</f>
        <v>2022</v>
      </c>
      <c r="L1480" t="str">
        <f>TEXT(NetflixData[[#This Row],[date]],"mmm")</f>
        <v>Sep</v>
      </c>
      <c r="M1480" t="str">
        <f>TEXT(NetflixData[[#This Row],[date]],"mmm yyyy")</f>
        <v>Sep 2022</v>
      </c>
      <c r="N1480" t="str">
        <f t="shared" si="69"/>
        <v>Trading Day</v>
      </c>
      <c r="O1480" t="str">
        <f t="shared" si="70"/>
        <v>Negative</v>
      </c>
      <c r="P1480" t="str">
        <f t="shared" si="71"/>
        <v>Positive</v>
      </c>
    </row>
    <row r="1481" spans="1:16" x14ac:dyDescent="0.3">
      <c r="A1481" s="1">
        <v>44834</v>
      </c>
      <c r="B1481">
        <v>23.54</v>
      </c>
      <c r="C1481">
        <v>118486000</v>
      </c>
      <c r="D1481">
        <v>-0.65800000000000003</v>
      </c>
      <c r="E1481">
        <v>42</v>
      </c>
      <c r="F1481">
        <v>2.6</v>
      </c>
      <c r="G1481">
        <v>0.1729</v>
      </c>
      <c r="H1481">
        <v>0</v>
      </c>
      <c r="J1481">
        <v>1</v>
      </c>
      <c r="K1481">
        <f>YEAR(NetflixData[[#This Row],[date]])</f>
        <v>2022</v>
      </c>
      <c r="L1481" t="str">
        <f>TEXT(NetflixData[[#This Row],[date]],"mmm")</f>
        <v>Sep</v>
      </c>
      <c r="M1481" t="str">
        <f>TEXT(NetflixData[[#This Row],[date]],"mmm yyyy")</f>
        <v>Sep 2022</v>
      </c>
      <c r="N1481" t="str">
        <f t="shared" si="69"/>
        <v>Non-Trading Day</v>
      </c>
      <c r="O1481" t="str">
        <f t="shared" si="70"/>
        <v>Negative</v>
      </c>
      <c r="P1481" t="str">
        <f t="shared" si="71"/>
        <v>Positive</v>
      </c>
    </row>
    <row r="1482" spans="1:16" x14ac:dyDescent="0.3">
      <c r="A1482" s="1">
        <v>44835</v>
      </c>
      <c r="B1482">
        <v>23.54</v>
      </c>
      <c r="C1482">
        <v>0</v>
      </c>
      <c r="D1482">
        <v>0</v>
      </c>
      <c r="E1482">
        <v>39</v>
      </c>
      <c r="F1482">
        <v>2.92</v>
      </c>
      <c r="G1482">
        <v>0.1769</v>
      </c>
      <c r="H1482">
        <v>0</v>
      </c>
      <c r="J1482">
        <v>0</v>
      </c>
      <c r="K1482">
        <f>YEAR(NetflixData[[#This Row],[date]])</f>
        <v>2022</v>
      </c>
      <c r="L1482" t="str">
        <f>TEXT(NetflixData[[#This Row],[date]],"mmm")</f>
        <v>Oct</v>
      </c>
      <c r="M1482" t="str">
        <f>TEXT(NetflixData[[#This Row],[date]],"mmm yyyy")</f>
        <v>Oct 2022</v>
      </c>
      <c r="N1482" t="str">
        <f t="shared" si="69"/>
        <v>Non-Trading Day</v>
      </c>
      <c r="O1482" t="str">
        <f t="shared" si="70"/>
        <v>No Change</v>
      </c>
      <c r="P1482" t="str">
        <f t="shared" si="71"/>
        <v>Positive</v>
      </c>
    </row>
    <row r="1483" spans="1:16" x14ac:dyDescent="0.3">
      <c r="A1483" s="1">
        <v>44836</v>
      </c>
      <c r="B1483">
        <v>23.54</v>
      </c>
      <c r="C1483">
        <v>0</v>
      </c>
      <c r="D1483">
        <v>0</v>
      </c>
      <c r="E1483">
        <v>30</v>
      </c>
      <c r="F1483">
        <v>3.07</v>
      </c>
      <c r="G1483">
        <v>0.2732</v>
      </c>
      <c r="H1483">
        <v>0</v>
      </c>
      <c r="J1483">
        <v>0</v>
      </c>
      <c r="K1483">
        <f>YEAR(NetflixData[[#This Row],[date]])</f>
        <v>2022</v>
      </c>
      <c r="L1483" t="str">
        <f>TEXT(NetflixData[[#This Row],[date]],"mmm")</f>
        <v>Oct</v>
      </c>
      <c r="M1483" t="str">
        <f>TEXT(NetflixData[[#This Row],[date]],"mmm yyyy")</f>
        <v>Oct 2022</v>
      </c>
      <c r="N1483" t="str">
        <f t="shared" si="69"/>
        <v>Trading Day</v>
      </c>
      <c r="O1483" t="str">
        <f t="shared" si="70"/>
        <v>No Change</v>
      </c>
      <c r="P1483" t="str">
        <f t="shared" si="71"/>
        <v>Positive</v>
      </c>
    </row>
    <row r="1484" spans="1:16" x14ac:dyDescent="0.3">
      <c r="A1484" s="1">
        <v>44837</v>
      </c>
      <c r="B1484">
        <v>23.9</v>
      </c>
      <c r="C1484">
        <v>86574000</v>
      </c>
      <c r="D1484">
        <v>0.5</v>
      </c>
      <c r="E1484">
        <v>25</v>
      </c>
      <c r="F1484">
        <v>3.04</v>
      </c>
      <c r="G1484">
        <v>0.2482</v>
      </c>
      <c r="H1484">
        <v>0</v>
      </c>
      <c r="J1484">
        <v>1</v>
      </c>
      <c r="K1484">
        <f>YEAR(NetflixData[[#This Row],[date]])</f>
        <v>2022</v>
      </c>
      <c r="L1484" t="str">
        <f>TEXT(NetflixData[[#This Row],[date]],"mmm")</f>
        <v>Oct</v>
      </c>
      <c r="M1484" t="str">
        <f>TEXT(NetflixData[[#This Row],[date]],"mmm yyyy")</f>
        <v>Oct 2022</v>
      </c>
      <c r="N1484" t="str">
        <f t="shared" si="69"/>
        <v>Trading Day</v>
      </c>
      <c r="O1484" t="str">
        <f t="shared" si="70"/>
        <v>Positive</v>
      </c>
      <c r="P1484" t="str">
        <f t="shared" si="71"/>
        <v>Positive</v>
      </c>
    </row>
    <row r="1485" spans="1:16" x14ac:dyDescent="0.3">
      <c r="A1485" s="1">
        <v>44838</v>
      </c>
      <c r="B1485">
        <v>24.07</v>
      </c>
      <c r="C1485">
        <v>139259000</v>
      </c>
      <c r="D1485">
        <v>-1.675</v>
      </c>
      <c r="E1485">
        <v>32</v>
      </c>
      <c r="F1485">
        <v>2.88</v>
      </c>
      <c r="G1485">
        <v>0.31569999999999998</v>
      </c>
      <c r="H1485">
        <v>0</v>
      </c>
      <c r="J1485">
        <v>1</v>
      </c>
      <c r="K1485">
        <f>YEAR(NetflixData[[#This Row],[date]])</f>
        <v>2022</v>
      </c>
      <c r="L1485" t="str">
        <f>TEXT(NetflixData[[#This Row],[date]],"mmm")</f>
        <v>Oct</v>
      </c>
      <c r="M1485" t="str">
        <f>TEXT(NetflixData[[#This Row],[date]],"mmm yyyy")</f>
        <v>Oct 2022</v>
      </c>
      <c r="N1485" t="str">
        <f t="shared" si="69"/>
        <v>Trading Day</v>
      </c>
      <c r="O1485" t="str">
        <f t="shared" si="70"/>
        <v>Negative</v>
      </c>
      <c r="P1485" t="str">
        <f t="shared" si="71"/>
        <v>Positive</v>
      </c>
    </row>
    <row r="1486" spans="1:16" x14ac:dyDescent="0.3">
      <c r="A1486" s="1">
        <v>44839</v>
      </c>
      <c r="B1486">
        <v>23.67</v>
      </c>
      <c r="C1486">
        <v>108256000</v>
      </c>
      <c r="D1486">
        <v>-0.85</v>
      </c>
      <c r="E1486">
        <v>27</v>
      </c>
      <c r="F1486">
        <v>2.15</v>
      </c>
      <c r="G1486">
        <v>-0.14349999999999999</v>
      </c>
      <c r="H1486">
        <v>0</v>
      </c>
      <c r="J1486">
        <v>1</v>
      </c>
      <c r="K1486">
        <f>YEAR(NetflixData[[#This Row],[date]])</f>
        <v>2022</v>
      </c>
      <c r="L1486" t="str">
        <f>TEXT(NetflixData[[#This Row],[date]],"mmm")</f>
        <v>Oct</v>
      </c>
      <c r="M1486" t="str">
        <f>TEXT(NetflixData[[#This Row],[date]],"mmm yyyy")</f>
        <v>Oct 2022</v>
      </c>
      <c r="N1486" t="str">
        <f t="shared" si="69"/>
        <v>Trading Day</v>
      </c>
      <c r="O1486" t="str">
        <f t="shared" si="70"/>
        <v>Negative</v>
      </c>
      <c r="P1486" t="str">
        <f t="shared" si="71"/>
        <v>Negative</v>
      </c>
    </row>
    <row r="1487" spans="1:16" x14ac:dyDescent="0.3">
      <c r="A1487" s="1">
        <v>44840</v>
      </c>
      <c r="B1487">
        <v>24</v>
      </c>
      <c r="C1487">
        <v>91889000</v>
      </c>
      <c r="D1487">
        <v>1.411</v>
      </c>
      <c r="E1487">
        <v>21</v>
      </c>
      <c r="F1487">
        <v>2.2400000000000002</v>
      </c>
      <c r="G1487">
        <v>0.1106</v>
      </c>
      <c r="H1487">
        <v>0</v>
      </c>
      <c r="J1487">
        <v>1</v>
      </c>
      <c r="K1487">
        <f>YEAR(NetflixData[[#This Row],[date]])</f>
        <v>2022</v>
      </c>
      <c r="L1487" t="str">
        <f>TEXT(NetflixData[[#This Row],[date]],"mmm")</f>
        <v>Oct</v>
      </c>
      <c r="M1487" t="str">
        <f>TEXT(NetflixData[[#This Row],[date]],"mmm yyyy")</f>
        <v>Oct 2022</v>
      </c>
      <c r="N1487" t="str">
        <f t="shared" si="69"/>
        <v>Trading Day</v>
      </c>
      <c r="O1487" t="str">
        <f t="shared" si="70"/>
        <v>Positive</v>
      </c>
      <c r="P1487" t="str">
        <f t="shared" si="71"/>
        <v>Positive</v>
      </c>
    </row>
    <row r="1488" spans="1:16" x14ac:dyDescent="0.3">
      <c r="A1488" s="1">
        <v>44841</v>
      </c>
      <c r="B1488">
        <v>22.48</v>
      </c>
      <c r="C1488">
        <v>98061000</v>
      </c>
      <c r="D1488">
        <v>-4.6740000000000004</v>
      </c>
      <c r="E1488">
        <v>37</v>
      </c>
      <c r="F1488">
        <v>2.4300000000000002</v>
      </c>
      <c r="G1488">
        <v>6.0400000000000002E-2</v>
      </c>
      <c r="H1488">
        <v>0</v>
      </c>
      <c r="J1488">
        <v>1</v>
      </c>
      <c r="K1488">
        <f>YEAR(NetflixData[[#This Row],[date]])</f>
        <v>2022</v>
      </c>
      <c r="L1488" t="str">
        <f>TEXT(NetflixData[[#This Row],[date]],"mmm")</f>
        <v>Oct</v>
      </c>
      <c r="M1488" t="str">
        <f>TEXT(NetflixData[[#This Row],[date]],"mmm yyyy")</f>
        <v>Oct 2022</v>
      </c>
      <c r="N1488" t="str">
        <f t="shared" si="69"/>
        <v>Non-Trading Day</v>
      </c>
      <c r="O1488" t="str">
        <f t="shared" si="70"/>
        <v>Negative</v>
      </c>
      <c r="P1488" t="str">
        <f t="shared" si="71"/>
        <v>Neutral</v>
      </c>
    </row>
    <row r="1489" spans="1:16" x14ac:dyDescent="0.3">
      <c r="A1489" s="1">
        <v>44842</v>
      </c>
      <c r="B1489">
        <v>22.48</v>
      </c>
      <c r="C1489">
        <v>0</v>
      </c>
      <c r="D1489">
        <v>0</v>
      </c>
      <c r="E1489">
        <v>27</v>
      </c>
      <c r="F1489">
        <v>2.41</v>
      </c>
      <c r="G1489">
        <v>0.25640000000000002</v>
      </c>
      <c r="H1489">
        <v>0</v>
      </c>
      <c r="J1489">
        <v>0</v>
      </c>
      <c r="K1489">
        <f>YEAR(NetflixData[[#This Row],[date]])</f>
        <v>2022</v>
      </c>
      <c r="L1489" t="str">
        <f>TEXT(NetflixData[[#This Row],[date]],"mmm")</f>
        <v>Oct</v>
      </c>
      <c r="M1489" t="str">
        <f>TEXT(NetflixData[[#This Row],[date]],"mmm yyyy")</f>
        <v>Oct 2022</v>
      </c>
      <c r="N1489" t="str">
        <f t="shared" si="69"/>
        <v>Non-Trading Day</v>
      </c>
      <c r="O1489" t="str">
        <f t="shared" si="70"/>
        <v>No Change</v>
      </c>
      <c r="P1489" t="str">
        <f t="shared" si="71"/>
        <v>Positive</v>
      </c>
    </row>
    <row r="1490" spans="1:16" x14ac:dyDescent="0.3">
      <c r="A1490" s="1">
        <v>44843</v>
      </c>
      <c r="B1490">
        <v>22.48</v>
      </c>
      <c r="C1490">
        <v>0</v>
      </c>
      <c r="D1490">
        <v>0</v>
      </c>
      <c r="E1490">
        <v>42</v>
      </c>
      <c r="F1490">
        <v>2.69</v>
      </c>
      <c r="G1490">
        <v>0.29759999999999998</v>
      </c>
      <c r="H1490">
        <v>0</v>
      </c>
      <c r="J1490">
        <v>0</v>
      </c>
      <c r="K1490">
        <f>YEAR(NetflixData[[#This Row],[date]])</f>
        <v>2022</v>
      </c>
      <c r="L1490" t="str">
        <f>TEXT(NetflixData[[#This Row],[date]],"mmm")</f>
        <v>Oct</v>
      </c>
      <c r="M1490" t="str">
        <f>TEXT(NetflixData[[#This Row],[date]],"mmm yyyy")</f>
        <v>Oct 2022</v>
      </c>
      <c r="N1490" t="str">
        <f t="shared" si="69"/>
        <v>Trading Day</v>
      </c>
      <c r="O1490" t="str">
        <f t="shared" si="70"/>
        <v>No Change</v>
      </c>
      <c r="P1490" t="str">
        <f t="shared" si="71"/>
        <v>Positive</v>
      </c>
    </row>
    <row r="1491" spans="1:16" x14ac:dyDescent="0.3">
      <c r="A1491" s="1">
        <v>44844</v>
      </c>
      <c r="B1491">
        <v>23</v>
      </c>
      <c r="C1491">
        <v>99911000</v>
      </c>
      <c r="D1491">
        <v>1.923</v>
      </c>
      <c r="E1491">
        <v>41</v>
      </c>
      <c r="F1491">
        <v>2.83</v>
      </c>
      <c r="G1491">
        <v>0.1071</v>
      </c>
      <c r="H1491">
        <v>0</v>
      </c>
      <c r="J1491">
        <v>1</v>
      </c>
      <c r="K1491">
        <f>YEAR(NetflixData[[#This Row],[date]])</f>
        <v>2022</v>
      </c>
      <c r="L1491" t="str">
        <f>TEXT(NetflixData[[#This Row],[date]],"mmm")</f>
        <v>Oct</v>
      </c>
      <c r="M1491" t="str">
        <f>TEXT(NetflixData[[#This Row],[date]],"mmm yyyy")</f>
        <v>Oct 2022</v>
      </c>
      <c r="N1491" t="str">
        <f t="shared" si="69"/>
        <v>Trading Day</v>
      </c>
      <c r="O1491" t="str">
        <f t="shared" si="70"/>
        <v>Positive</v>
      </c>
      <c r="P1491" t="str">
        <f t="shared" si="71"/>
        <v>Positive</v>
      </c>
    </row>
    <row r="1492" spans="1:16" x14ac:dyDescent="0.3">
      <c r="A1492" s="1">
        <v>44845</v>
      </c>
      <c r="B1492">
        <v>21.43</v>
      </c>
      <c r="C1492">
        <v>152824000</v>
      </c>
      <c r="D1492">
        <v>-5.202</v>
      </c>
      <c r="E1492">
        <v>32</v>
      </c>
      <c r="F1492">
        <v>2.88</v>
      </c>
      <c r="G1492">
        <v>0.31009999999999999</v>
      </c>
      <c r="H1492">
        <v>0</v>
      </c>
      <c r="J1492">
        <v>1</v>
      </c>
      <c r="K1492">
        <f>YEAR(NetflixData[[#This Row],[date]])</f>
        <v>2022</v>
      </c>
      <c r="L1492" t="str">
        <f>TEXT(NetflixData[[#This Row],[date]],"mmm")</f>
        <v>Oct</v>
      </c>
      <c r="M1492" t="str">
        <f>TEXT(NetflixData[[#This Row],[date]],"mmm yyyy")</f>
        <v>Oct 2022</v>
      </c>
      <c r="N1492" t="str">
        <f t="shared" si="69"/>
        <v>Trading Day</v>
      </c>
      <c r="O1492" t="str">
        <f t="shared" si="70"/>
        <v>Negative</v>
      </c>
      <c r="P1492" t="str">
        <f t="shared" si="71"/>
        <v>Positive</v>
      </c>
    </row>
    <row r="1493" spans="1:16" x14ac:dyDescent="0.3">
      <c r="A1493" s="1">
        <v>44846</v>
      </c>
      <c r="B1493">
        <v>22.09</v>
      </c>
      <c r="C1493">
        <v>129526000</v>
      </c>
      <c r="D1493">
        <v>3.0659999999999998</v>
      </c>
      <c r="E1493">
        <v>31</v>
      </c>
      <c r="F1493">
        <v>2.71</v>
      </c>
      <c r="G1493">
        <v>0.21229999999999999</v>
      </c>
      <c r="H1493">
        <v>0</v>
      </c>
      <c r="J1493">
        <v>1</v>
      </c>
      <c r="K1493">
        <f>YEAR(NetflixData[[#This Row],[date]])</f>
        <v>2022</v>
      </c>
      <c r="L1493" t="str">
        <f>TEXT(NetflixData[[#This Row],[date]],"mmm")</f>
        <v>Oct</v>
      </c>
      <c r="M1493" t="str">
        <f>TEXT(NetflixData[[#This Row],[date]],"mmm yyyy")</f>
        <v>Oct 2022</v>
      </c>
      <c r="N1493" t="str">
        <f t="shared" si="69"/>
        <v>Trading Day</v>
      </c>
      <c r="O1493" t="str">
        <f t="shared" si="70"/>
        <v>Positive</v>
      </c>
      <c r="P1493" t="str">
        <f t="shared" si="71"/>
        <v>Positive</v>
      </c>
    </row>
    <row r="1494" spans="1:16" x14ac:dyDescent="0.3">
      <c r="A1494" s="1">
        <v>44847</v>
      </c>
      <c r="B1494">
        <v>23.25</v>
      </c>
      <c r="C1494">
        <v>175050000</v>
      </c>
      <c r="D1494">
        <v>9.3190000000000008</v>
      </c>
      <c r="E1494">
        <v>24</v>
      </c>
      <c r="F1494">
        <v>2.88</v>
      </c>
      <c r="G1494">
        <v>0.22489999999999999</v>
      </c>
      <c r="H1494">
        <v>0</v>
      </c>
      <c r="J1494">
        <v>1</v>
      </c>
      <c r="K1494">
        <f>YEAR(NetflixData[[#This Row],[date]])</f>
        <v>2022</v>
      </c>
      <c r="L1494" t="str">
        <f>TEXT(NetflixData[[#This Row],[date]],"mmm")</f>
        <v>Oct</v>
      </c>
      <c r="M1494" t="str">
        <f>TEXT(NetflixData[[#This Row],[date]],"mmm yyyy")</f>
        <v>Oct 2022</v>
      </c>
      <c r="N1494" t="str">
        <f t="shared" si="69"/>
        <v>Trading Day</v>
      </c>
      <c r="O1494" t="str">
        <f t="shared" si="70"/>
        <v>Positive</v>
      </c>
      <c r="P1494" t="str">
        <f t="shared" si="71"/>
        <v>Positive</v>
      </c>
    </row>
    <row r="1495" spans="1:16" x14ac:dyDescent="0.3">
      <c r="A1495" s="1">
        <v>44848</v>
      </c>
      <c r="B1495">
        <v>23</v>
      </c>
      <c r="C1495">
        <v>152934000</v>
      </c>
      <c r="D1495">
        <v>-3.28</v>
      </c>
      <c r="E1495">
        <v>28</v>
      </c>
      <c r="F1495">
        <v>2.14</v>
      </c>
      <c r="G1495">
        <v>-5.9200000000000003E-2</v>
      </c>
      <c r="H1495">
        <v>0</v>
      </c>
      <c r="J1495">
        <v>1</v>
      </c>
      <c r="K1495">
        <f>YEAR(NetflixData[[#This Row],[date]])</f>
        <v>2022</v>
      </c>
      <c r="L1495" t="str">
        <f>TEXT(NetflixData[[#This Row],[date]],"mmm")</f>
        <v>Oct</v>
      </c>
      <c r="M1495" t="str">
        <f>TEXT(NetflixData[[#This Row],[date]],"mmm yyyy")</f>
        <v>Oct 2022</v>
      </c>
      <c r="N1495" t="str">
        <f t="shared" si="69"/>
        <v>Non-Trading Day</v>
      </c>
      <c r="O1495" t="str">
        <f t="shared" si="70"/>
        <v>Negative</v>
      </c>
      <c r="P1495" t="str">
        <f t="shared" si="71"/>
        <v>Neutral</v>
      </c>
    </row>
    <row r="1496" spans="1:16" x14ac:dyDescent="0.3">
      <c r="A1496" s="1">
        <v>44849</v>
      </c>
      <c r="B1496">
        <v>23</v>
      </c>
      <c r="C1496">
        <v>0</v>
      </c>
      <c r="D1496">
        <v>0</v>
      </c>
      <c r="E1496">
        <v>27</v>
      </c>
      <c r="F1496">
        <v>2.59</v>
      </c>
      <c r="G1496">
        <v>0.28910000000000002</v>
      </c>
      <c r="H1496">
        <v>0</v>
      </c>
      <c r="J1496">
        <v>0</v>
      </c>
      <c r="K1496">
        <f>YEAR(NetflixData[[#This Row],[date]])</f>
        <v>2022</v>
      </c>
      <c r="L1496" t="str">
        <f>TEXT(NetflixData[[#This Row],[date]],"mmm")</f>
        <v>Oct</v>
      </c>
      <c r="M1496" t="str">
        <f>TEXT(NetflixData[[#This Row],[date]],"mmm yyyy")</f>
        <v>Oct 2022</v>
      </c>
      <c r="N1496" t="str">
        <f t="shared" si="69"/>
        <v>Non-Trading Day</v>
      </c>
      <c r="O1496" t="str">
        <f t="shared" si="70"/>
        <v>No Change</v>
      </c>
      <c r="P1496" t="str">
        <f t="shared" si="71"/>
        <v>Positive</v>
      </c>
    </row>
    <row r="1497" spans="1:16" x14ac:dyDescent="0.3">
      <c r="A1497" s="1">
        <v>44850</v>
      </c>
      <c r="B1497">
        <v>23</v>
      </c>
      <c r="C1497">
        <v>0</v>
      </c>
      <c r="D1497">
        <v>0</v>
      </c>
      <c r="E1497">
        <v>28</v>
      </c>
      <c r="F1497">
        <v>2.82</v>
      </c>
      <c r="G1497">
        <v>0.2535</v>
      </c>
      <c r="H1497">
        <v>0</v>
      </c>
      <c r="J1497">
        <v>0</v>
      </c>
      <c r="K1497">
        <f>YEAR(NetflixData[[#This Row],[date]])</f>
        <v>2022</v>
      </c>
      <c r="L1497" t="str">
        <f>TEXT(NetflixData[[#This Row],[date]],"mmm")</f>
        <v>Oct</v>
      </c>
      <c r="M1497" t="str">
        <f>TEXT(NetflixData[[#This Row],[date]],"mmm yyyy")</f>
        <v>Oct 2022</v>
      </c>
      <c r="N1497" t="str">
        <f t="shared" si="69"/>
        <v>Trading Day</v>
      </c>
      <c r="O1497" t="str">
        <f t="shared" si="70"/>
        <v>No Change</v>
      </c>
      <c r="P1497" t="str">
        <f t="shared" si="71"/>
        <v>Positive</v>
      </c>
    </row>
    <row r="1498" spans="1:16" x14ac:dyDescent="0.3">
      <c r="A1498" s="1">
        <v>44851</v>
      </c>
      <c r="B1498">
        <v>24.51</v>
      </c>
      <c r="C1498">
        <v>210578000</v>
      </c>
      <c r="D1498">
        <v>4.5599999999999996</v>
      </c>
      <c r="E1498">
        <v>28</v>
      </c>
      <c r="F1498">
        <v>2.25</v>
      </c>
      <c r="G1498">
        <v>6.6199999999999995E-2</v>
      </c>
      <c r="H1498">
        <v>0</v>
      </c>
      <c r="J1498">
        <v>1</v>
      </c>
      <c r="K1498">
        <f>YEAR(NetflixData[[#This Row],[date]])</f>
        <v>2022</v>
      </c>
      <c r="L1498" t="str">
        <f>TEXT(NetflixData[[#This Row],[date]],"mmm")</f>
        <v>Oct</v>
      </c>
      <c r="M1498" t="str">
        <f>TEXT(NetflixData[[#This Row],[date]],"mmm yyyy")</f>
        <v>Oct 2022</v>
      </c>
      <c r="N1498" t="str">
        <f t="shared" si="69"/>
        <v>Trading Day</v>
      </c>
      <c r="O1498" t="str">
        <f t="shared" si="70"/>
        <v>Positive</v>
      </c>
      <c r="P1498" t="str">
        <f t="shared" si="71"/>
        <v>Neutral</v>
      </c>
    </row>
    <row r="1499" spans="1:16" x14ac:dyDescent="0.3">
      <c r="A1499" s="1">
        <v>44852</v>
      </c>
      <c r="B1499">
        <v>24.09</v>
      </c>
      <c r="C1499">
        <v>257767000</v>
      </c>
      <c r="D1499">
        <v>-3.5790000000000002</v>
      </c>
      <c r="E1499">
        <v>33</v>
      </c>
      <c r="F1499">
        <v>2.48</v>
      </c>
      <c r="G1499">
        <v>0.11840000000000001</v>
      </c>
      <c r="H1499">
        <v>0</v>
      </c>
      <c r="J1499">
        <v>1</v>
      </c>
      <c r="K1499">
        <f>YEAR(NetflixData[[#This Row],[date]])</f>
        <v>2022</v>
      </c>
      <c r="L1499" t="str">
        <f>TEXT(NetflixData[[#This Row],[date]],"mmm")</f>
        <v>Oct</v>
      </c>
      <c r="M1499" t="str">
        <f>TEXT(NetflixData[[#This Row],[date]],"mmm yyyy")</f>
        <v>Oct 2022</v>
      </c>
      <c r="N1499" t="str">
        <f t="shared" si="69"/>
        <v>Trading Day</v>
      </c>
      <c r="O1499" t="str">
        <f t="shared" si="70"/>
        <v>Negative</v>
      </c>
      <c r="P1499" t="str">
        <f t="shared" si="71"/>
        <v>Positive</v>
      </c>
    </row>
    <row r="1500" spans="1:16" x14ac:dyDescent="0.3">
      <c r="A1500" s="1">
        <v>44853</v>
      </c>
      <c r="B1500">
        <v>27.24</v>
      </c>
      <c r="C1500">
        <v>466853000</v>
      </c>
      <c r="D1500">
        <v>2.7850000000000001</v>
      </c>
      <c r="E1500">
        <v>27</v>
      </c>
      <c r="F1500">
        <v>3.48</v>
      </c>
      <c r="G1500">
        <v>0.3044</v>
      </c>
      <c r="H1500">
        <v>0</v>
      </c>
      <c r="J1500">
        <v>1</v>
      </c>
      <c r="K1500">
        <f>YEAR(NetflixData[[#This Row],[date]])</f>
        <v>2022</v>
      </c>
      <c r="L1500" t="str">
        <f>TEXT(NetflixData[[#This Row],[date]],"mmm")</f>
        <v>Oct</v>
      </c>
      <c r="M1500" t="str">
        <f>TEXT(NetflixData[[#This Row],[date]],"mmm yyyy")</f>
        <v>Oct 2022</v>
      </c>
      <c r="N1500" t="str">
        <f t="shared" si="69"/>
        <v>Trading Day</v>
      </c>
      <c r="O1500" t="str">
        <f t="shared" si="70"/>
        <v>Positive</v>
      </c>
      <c r="P1500" t="str">
        <f t="shared" si="71"/>
        <v>Positive</v>
      </c>
    </row>
    <row r="1501" spans="1:16" x14ac:dyDescent="0.3">
      <c r="A1501" s="1">
        <v>44854</v>
      </c>
      <c r="B1501">
        <v>26.82</v>
      </c>
      <c r="C1501">
        <v>172071000</v>
      </c>
      <c r="D1501">
        <v>-1.694</v>
      </c>
      <c r="E1501">
        <v>42</v>
      </c>
      <c r="F1501">
        <v>3.29</v>
      </c>
      <c r="G1501">
        <v>0.26</v>
      </c>
      <c r="H1501">
        <v>0</v>
      </c>
      <c r="J1501">
        <v>1</v>
      </c>
      <c r="K1501">
        <f>YEAR(NetflixData[[#This Row],[date]])</f>
        <v>2022</v>
      </c>
      <c r="L1501" t="str">
        <f>TEXT(NetflixData[[#This Row],[date]],"mmm")</f>
        <v>Oct</v>
      </c>
      <c r="M1501" t="str">
        <f>TEXT(NetflixData[[#This Row],[date]],"mmm yyyy")</f>
        <v>Oct 2022</v>
      </c>
      <c r="N1501" t="str">
        <f t="shared" si="69"/>
        <v>Trading Day</v>
      </c>
      <c r="O1501" t="str">
        <f t="shared" si="70"/>
        <v>Negative</v>
      </c>
      <c r="P1501" t="str">
        <f t="shared" si="71"/>
        <v>Positive</v>
      </c>
    </row>
    <row r="1502" spans="1:16" x14ac:dyDescent="0.3">
      <c r="A1502" s="1">
        <v>44855</v>
      </c>
      <c r="B1502">
        <v>28.96</v>
      </c>
      <c r="C1502">
        <v>248891000</v>
      </c>
      <c r="D1502">
        <v>7.6669999999999998</v>
      </c>
      <c r="E1502">
        <v>21</v>
      </c>
      <c r="F1502">
        <v>3.05</v>
      </c>
      <c r="G1502">
        <v>9.01E-2</v>
      </c>
      <c r="H1502">
        <v>0</v>
      </c>
      <c r="J1502">
        <v>1</v>
      </c>
      <c r="K1502">
        <f>YEAR(NetflixData[[#This Row],[date]])</f>
        <v>2022</v>
      </c>
      <c r="L1502" t="str">
        <f>TEXT(NetflixData[[#This Row],[date]],"mmm")</f>
        <v>Oct</v>
      </c>
      <c r="M1502" t="str">
        <f>TEXT(NetflixData[[#This Row],[date]],"mmm yyyy")</f>
        <v>Oct 2022</v>
      </c>
      <c r="N1502" t="str">
        <f t="shared" si="69"/>
        <v>Non-Trading Day</v>
      </c>
      <c r="O1502" t="str">
        <f t="shared" si="70"/>
        <v>Positive</v>
      </c>
      <c r="P1502" t="str">
        <f t="shared" si="71"/>
        <v>Neutral</v>
      </c>
    </row>
    <row r="1503" spans="1:16" x14ac:dyDescent="0.3">
      <c r="A1503" s="1">
        <v>44856</v>
      </c>
      <c r="B1503">
        <v>28.96</v>
      </c>
      <c r="C1503">
        <v>0</v>
      </c>
      <c r="D1503">
        <v>0</v>
      </c>
      <c r="E1503">
        <v>43</v>
      </c>
      <c r="F1503">
        <v>3.12</v>
      </c>
      <c r="G1503">
        <v>0.1547</v>
      </c>
      <c r="H1503">
        <v>0</v>
      </c>
      <c r="J1503">
        <v>0</v>
      </c>
      <c r="K1503">
        <f>YEAR(NetflixData[[#This Row],[date]])</f>
        <v>2022</v>
      </c>
      <c r="L1503" t="str">
        <f>TEXT(NetflixData[[#This Row],[date]],"mmm")</f>
        <v>Oct</v>
      </c>
      <c r="M1503" t="str">
        <f>TEXT(NetflixData[[#This Row],[date]],"mmm yyyy")</f>
        <v>Oct 2022</v>
      </c>
      <c r="N1503" t="str">
        <f t="shared" si="69"/>
        <v>Non-Trading Day</v>
      </c>
      <c r="O1503" t="str">
        <f t="shared" si="70"/>
        <v>No Change</v>
      </c>
      <c r="P1503" t="str">
        <f t="shared" si="71"/>
        <v>Positive</v>
      </c>
    </row>
    <row r="1504" spans="1:16" x14ac:dyDescent="0.3">
      <c r="A1504" s="1">
        <v>44857</v>
      </c>
      <c r="B1504">
        <v>28.96</v>
      </c>
      <c r="C1504">
        <v>0</v>
      </c>
      <c r="D1504">
        <v>0</v>
      </c>
      <c r="E1504">
        <v>38</v>
      </c>
      <c r="F1504">
        <v>2.3199999999999998</v>
      </c>
      <c r="G1504">
        <v>0.1023</v>
      </c>
      <c r="H1504">
        <v>0</v>
      </c>
      <c r="J1504">
        <v>0</v>
      </c>
      <c r="K1504">
        <f>YEAR(NetflixData[[#This Row],[date]])</f>
        <v>2022</v>
      </c>
      <c r="L1504" t="str">
        <f>TEXT(NetflixData[[#This Row],[date]],"mmm")</f>
        <v>Oct</v>
      </c>
      <c r="M1504" t="str">
        <f>TEXT(NetflixData[[#This Row],[date]],"mmm yyyy")</f>
        <v>Oct 2022</v>
      </c>
      <c r="N1504" t="str">
        <f t="shared" si="69"/>
        <v>Trading Day</v>
      </c>
      <c r="O1504" t="str">
        <f t="shared" si="70"/>
        <v>No Change</v>
      </c>
      <c r="P1504" t="str">
        <f t="shared" si="71"/>
        <v>Positive</v>
      </c>
    </row>
    <row r="1505" spans="1:16" x14ac:dyDescent="0.3">
      <c r="A1505" s="1">
        <v>44858</v>
      </c>
      <c r="B1505">
        <v>28.25</v>
      </c>
      <c r="C1505">
        <v>133264000</v>
      </c>
      <c r="D1505">
        <v>-2.681</v>
      </c>
      <c r="E1505">
        <v>28</v>
      </c>
      <c r="F1505">
        <v>2.68</v>
      </c>
      <c r="G1505">
        <v>0.25750000000000001</v>
      </c>
      <c r="H1505">
        <v>0</v>
      </c>
      <c r="J1505">
        <v>1</v>
      </c>
      <c r="K1505">
        <f>YEAR(NetflixData[[#This Row],[date]])</f>
        <v>2022</v>
      </c>
      <c r="L1505" t="str">
        <f>TEXT(NetflixData[[#This Row],[date]],"mmm")</f>
        <v>Oct</v>
      </c>
      <c r="M1505" t="str">
        <f>TEXT(NetflixData[[#This Row],[date]],"mmm yyyy")</f>
        <v>Oct 2022</v>
      </c>
      <c r="N1505" t="str">
        <f t="shared" si="69"/>
        <v>Trading Day</v>
      </c>
      <c r="O1505" t="str">
        <f t="shared" si="70"/>
        <v>Negative</v>
      </c>
      <c r="P1505" t="str">
        <f t="shared" si="71"/>
        <v>Positive</v>
      </c>
    </row>
    <row r="1506" spans="1:16" x14ac:dyDescent="0.3">
      <c r="A1506" s="1">
        <v>44859</v>
      </c>
      <c r="B1506">
        <v>29.1</v>
      </c>
      <c r="C1506">
        <v>151007000</v>
      </c>
      <c r="D1506">
        <v>1.4179999999999999</v>
      </c>
      <c r="E1506">
        <v>23</v>
      </c>
      <c r="F1506">
        <v>2.57</v>
      </c>
      <c r="G1506">
        <v>0.1923</v>
      </c>
      <c r="H1506">
        <v>0</v>
      </c>
      <c r="J1506">
        <v>1</v>
      </c>
      <c r="K1506">
        <f>YEAR(NetflixData[[#This Row],[date]])</f>
        <v>2022</v>
      </c>
      <c r="L1506" t="str">
        <f>TEXT(NetflixData[[#This Row],[date]],"mmm")</f>
        <v>Oct</v>
      </c>
      <c r="M1506" t="str">
        <f>TEXT(NetflixData[[#This Row],[date]],"mmm yyyy")</f>
        <v>Oct 2022</v>
      </c>
      <c r="N1506" t="str">
        <f t="shared" si="69"/>
        <v>Trading Day</v>
      </c>
      <c r="O1506" t="str">
        <f t="shared" si="70"/>
        <v>Positive</v>
      </c>
      <c r="P1506" t="str">
        <f t="shared" si="71"/>
        <v>Positive</v>
      </c>
    </row>
    <row r="1507" spans="1:16" x14ac:dyDescent="0.3">
      <c r="A1507" s="1">
        <v>44860</v>
      </c>
      <c r="B1507">
        <v>29.86</v>
      </c>
      <c r="C1507">
        <v>157141000</v>
      </c>
      <c r="D1507">
        <v>2.9580000000000002</v>
      </c>
      <c r="E1507">
        <v>36</v>
      </c>
      <c r="F1507">
        <v>2.94</v>
      </c>
      <c r="G1507">
        <v>6.6299999999999998E-2</v>
      </c>
      <c r="H1507">
        <v>0</v>
      </c>
      <c r="J1507">
        <v>1</v>
      </c>
      <c r="K1507">
        <f>YEAR(NetflixData[[#This Row],[date]])</f>
        <v>2022</v>
      </c>
      <c r="L1507" t="str">
        <f>TEXT(NetflixData[[#This Row],[date]],"mmm")</f>
        <v>Oct</v>
      </c>
      <c r="M1507" t="str">
        <f>TEXT(NetflixData[[#This Row],[date]],"mmm yyyy")</f>
        <v>Oct 2022</v>
      </c>
      <c r="N1507" t="str">
        <f t="shared" si="69"/>
        <v>Trading Day</v>
      </c>
      <c r="O1507" t="str">
        <f t="shared" si="70"/>
        <v>Positive</v>
      </c>
      <c r="P1507" t="str">
        <f t="shared" si="71"/>
        <v>Neutral</v>
      </c>
    </row>
    <row r="1508" spans="1:16" x14ac:dyDescent="0.3">
      <c r="A1508" s="1">
        <v>44861</v>
      </c>
      <c r="B1508">
        <v>29.69</v>
      </c>
      <c r="C1508">
        <v>146126000</v>
      </c>
      <c r="D1508">
        <v>-0.46600000000000003</v>
      </c>
      <c r="E1508">
        <v>34</v>
      </c>
      <c r="F1508">
        <v>3.03</v>
      </c>
      <c r="G1508">
        <v>0.25690000000000002</v>
      </c>
      <c r="H1508">
        <v>0</v>
      </c>
      <c r="J1508">
        <v>1</v>
      </c>
      <c r="K1508">
        <f>YEAR(NetflixData[[#This Row],[date]])</f>
        <v>2022</v>
      </c>
      <c r="L1508" t="str">
        <f>TEXT(NetflixData[[#This Row],[date]],"mmm")</f>
        <v>Oct</v>
      </c>
      <c r="M1508" t="str">
        <f>TEXT(NetflixData[[#This Row],[date]],"mmm yyyy")</f>
        <v>Oct 2022</v>
      </c>
      <c r="N1508" t="str">
        <f t="shared" si="69"/>
        <v>Trading Day</v>
      </c>
      <c r="O1508" t="str">
        <f t="shared" si="70"/>
        <v>Negative</v>
      </c>
      <c r="P1508" t="str">
        <f t="shared" si="71"/>
        <v>Positive</v>
      </c>
    </row>
    <row r="1509" spans="1:16" x14ac:dyDescent="0.3">
      <c r="A1509" s="1">
        <v>44862</v>
      </c>
      <c r="B1509">
        <v>29.57</v>
      </c>
      <c r="C1509">
        <v>99605000</v>
      </c>
      <c r="D1509">
        <v>-0.66500000000000004</v>
      </c>
      <c r="E1509">
        <v>28</v>
      </c>
      <c r="F1509">
        <v>2.89</v>
      </c>
      <c r="G1509">
        <v>0.12189999999999999</v>
      </c>
      <c r="H1509">
        <v>0</v>
      </c>
      <c r="J1509">
        <v>1</v>
      </c>
      <c r="K1509">
        <f>YEAR(NetflixData[[#This Row],[date]])</f>
        <v>2022</v>
      </c>
      <c r="L1509" t="str">
        <f>TEXT(NetflixData[[#This Row],[date]],"mmm")</f>
        <v>Oct</v>
      </c>
      <c r="M1509" t="str">
        <f>TEXT(NetflixData[[#This Row],[date]],"mmm yyyy")</f>
        <v>Oct 2022</v>
      </c>
      <c r="N1509" t="str">
        <f t="shared" si="69"/>
        <v>Non-Trading Day</v>
      </c>
      <c r="O1509" t="str">
        <f t="shared" si="70"/>
        <v>Negative</v>
      </c>
      <c r="P1509" t="str">
        <f t="shared" si="71"/>
        <v>Positive</v>
      </c>
    </row>
    <row r="1510" spans="1:16" x14ac:dyDescent="0.3">
      <c r="A1510" s="1">
        <v>44863</v>
      </c>
      <c r="B1510">
        <v>29.57</v>
      </c>
      <c r="C1510">
        <v>0</v>
      </c>
      <c r="D1510">
        <v>0</v>
      </c>
      <c r="E1510">
        <v>33</v>
      </c>
      <c r="F1510">
        <v>2</v>
      </c>
      <c r="G1510">
        <v>3.0999999999999999E-3</v>
      </c>
      <c r="H1510">
        <v>0</v>
      </c>
      <c r="J1510">
        <v>0</v>
      </c>
      <c r="K1510">
        <f>YEAR(NetflixData[[#This Row],[date]])</f>
        <v>2022</v>
      </c>
      <c r="L1510" t="str">
        <f>TEXT(NetflixData[[#This Row],[date]],"mmm")</f>
        <v>Oct</v>
      </c>
      <c r="M1510" t="str">
        <f>TEXT(NetflixData[[#This Row],[date]],"mmm yyyy")</f>
        <v>Oct 2022</v>
      </c>
      <c r="N1510" t="str">
        <f t="shared" si="69"/>
        <v>Non-Trading Day</v>
      </c>
      <c r="O1510" t="str">
        <f t="shared" si="70"/>
        <v>No Change</v>
      </c>
      <c r="P1510" t="str">
        <f t="shared" si="71"/>
        <v>Neutral</v>
      </c>
    </row>
    <row r="1511" spans="1:16" x14ac:dyDescent="0.3">
      <c r="A1511" s="1">
        <v>44864</v>
      </c>
      <c r="B1511">
        <v>29.57</v>
      </c>
      <c r="C1511">
        <v>0</v>
      </c>
      <c r="D1511">
        <v>0</v>
      </c>
      <c r="E1511">
        <v>26</v>
      </c>
      <c r="F1511">
        <v>2.81</v>
      </c>
      <c r="G1511">
        <v>-3.8E-3</v>
      </c>
      <c r="H1511">
        <v>0</v>
      </c>
      <c r="J1511">
        <v>0</v>
      </c>
      <c r="K1511">
        <f>YEAR(NetflixData[[#This Row],[date]])</f>
        <v>2022</v>
      </c>
      <c r="L1511" t="str">
        <f>TEXT(NetflixData[[#This Row],[date]],"mmm")</f>
        <v>Oct</v>
      </c>
      <c r="M1511" t="str">
        <f>TEXT(NetflixData[[#This Row],[date]],"mmm yyyy")</f>
        <v>Oct 2022</v>
      </c>
      <c r="N1511" t="str">
        <f t="shared" si="69"/>
        <v>Trading Day</v>
      </c>
      <c r="O1511" t="str">
        <f t="shared" si="70"/>
        <v>No Change</v>
      </c>
      <c r="P1511" t="str">
        <f t="shared" si="71"/>
        <v>Neutral</v>
      </c>
    </row>
    <row r="1512" spans="1:16" x14ac:dyDescent="0.3">
      <c r="A1512" s="1">
        <v>44865</v>
      </c>
      <c r="B1512">
        <v>29.19</v>
      </c>
      <c r="C1512">
        <v>75051000</v>
      </c>
      <c r="D1512">
        <v>-1.101</v>
      </c>
      <c r="E1512">
        <v>29</v>
      </c>
      <c r="F1512">
        <v>2.2799999999999998</v>
      </c>
      <c r="G1512">
        <v>0.13139999999999999</v>
      </c>
      <c r="H1512">
        <v>0</v>
      </c>
      <c r="J1512">
        <v>1</v>
      </c>
      <c r="K1512">
        <f>YEAR(NetflixData[[#This Row],[date]])</f>
        <v>2022</v>
      </c>
      <c r="L1512" t="str">
        <f>TEXT(NetflixData[[#This Row],[date]],"mmm")</f>
        <v>Oct</v>
      </c>
      <c r="M1512" t="str">
        <f>TEXT(NetflixData[[#This Row],[date]],"mmm yyyy")</f>
        <v>Oct 2022</v>
      </c>
      <c r="N1512" t="str">
        <f t="shared" si="69"/>
        <v>Trading Day</v>
      </c>
      <c r="O1512" t="str">
        <f t="shared" si="70"/>
        <v>Negative</v>
      </c>
      <c r="P1512" t="str">
        <f t="shared" si="71"/>
        <v>Positive</v>
      </c>
    </row>
    <row r="1513" spans="1:16" x14ac:dyDescent="0.3">
      <c r="A1513" s="1">
        <v>44866</v>
      </c>
      <c r="B1513">
        <v>28.67</v>
      </c>
      <c r="C1513">
        <v>69164000</v>
      </c>
      <c r="D1513">
        <v>-3.181</v>
      </c>
      <c r="E1513">
        <v>27</v>
      </c>
      <c r="F1513">
        <v>3.19</v>
      </c>
      <c r="G1513">
        <v>0.14580000000000001</v>
      </c>
      <c r="H1513">
        <v>0</v>
      </c>
      <c r="J1513">
        <v>1</v>
      </c>
      <c r="K1513">
        <f>YEAR(NetflixData[[#This Row],[date]])</f>
        <v>2022</v>
      </c>
      <c r="L1513" t="str">
        <f>TEXT(NetflixData[[#This Row],[date]],"mmm")</f>
        <v>Nov</v>
      </c>
      <c r="M1513" t="str">
        <f>TEXT(NetflixData[[#This Row],[date]],"mmm yyyy")</f>
        <v>Nov 2022</v>
      </c>
      <c r="N1513" t="str">
        <f t="shared" si="69"/>
        <v>Trading Day</v>
      </c>
      <c r="O1513" t="str">
        <f t="shared" si="70"/>
        <v>Negative</v>
      </c>
      <c r="P1513" t="str">
        <f t="shared" si="71"/>
        <v>Positive</v>
      </c>
    </row>
    <row r="1514" spans="1:16" x14ac:dyDescent="0.3">
      <c r="A1514" s="1">
        <v>44867</v>
      </c>
      <c r="B1514">
        <v>27.3</v>
      </c>
      <c r="C1514">
        <v>103676000</v>
      </c>
      <c r="D1514">
        <v>-4.6790000000000003</v>
      </c>
      <c r="E1514">
        <v>44</v>
      </c>
      <c r="F1514">
        <v>2.4300000000000002</v>
      </c>
      <c r="G1514">
        <v>8.0399999999999999E-2</v>
      </c>
      <c r="H1514">
        <v>0</v>
      </c>
      <c r="J1514">
        <v>1</v>
      </c>
      <c r="K1514">
        <f>YEAR(NetflixData[[#This Row],[date]])</f>
        <v>2022</v>
      </c>
      <c r="L1514" t="str">
        <f>TEXT(NetflixData[[#This Row],[date]],"mmm")</f>
        <v>Nov</v>
      </c>
      <c r="M1514" t="str">
        <f>TEXT(NetflixData[[#This Row],[date]],"mmm yyyy")</f>
        <v>Nov 2022</v>
      </c>
      <c r="N1514" t="str">
        <f t="shared" si="69"/>
        <v>Trading Day</v>
      </c>
      <c r="O1514" t="str">
        <f t="shared" si="70"/>
        <v>Negative</v>
      </c>
      <c r="P1514" t="str">
        <f t="shared" si="71"/>
        <v>Neutral</v>
      </c>
    </row>
    <row r="1515" spans="1:16" x14ac:dyDescent="0.3">
      <c r="A1515" s="1">
        <v>44868</v>
      </c>
      <c r="B1515">
        <v>26.91</v>
      </c>
      <c r="C1515">
        <v>70574000</v>
      </c>
      <c r="D1515">
        <v>-0.80700000000000005</v>
      </c>
      <c r="E1515">
        <v>33</v>
      </c>
      <c r="F1515">
        <v>2.67</v>
      </c>
      <c r="G1515">
        <v>0.1643</v>
      </c>
      <c r="H1515">
        <v>0</v>
      </c>
      <c r="J1515">
        <v>1</v>
      </c>
      <c r="K1515">
        <f>YEAR(NetflixData[[#This Row],[date]])</f>
        <v>2022</v>
      </c>
      <c r="L1515" t="str">
        <f>TEXT(NetflixData[[#This Row],[date]],"mmm")</f>
        <v>Nov</v>
      </c>
      <c r="M1515" t="str">
        <f>TEXT(NetflixData[[#This Row],[date]],"mmm yyyy")</f>
        <v>Nov 2022</v>
      </c>
      <c r="N1515" t="str">
        <f t="shared" si="69"/>
        <v>Trading Day</v>
      </c>
      <c r="O1515" t="str">
        <f t="shared" si="70"/>
        <v>Negative</v>
      </c>
      <c r="P1515" t="str">
        <f t="shared" si="71"/>
        <v>Positive</v>
      </c>
    </row>
    <row r="1516" spans="1:16" x14ac:dyDescent="0.3">
      <c r="A1516" s="1">
        <v>44869</v>
      </c>
      <c r="B1516">
        <v>26.08</v>
      </c>
      <c r="C1516">
        <v>111247000</v>
      </c>
      <c r="D1516">
        <v>-4.1280000000000001</v>
      </c>
      <c r="E1516">
        <v>43</v>
      </c>
      <c r="F1516">
        <v>2.65</v>
      </c>
      <c r="G1516">
        <v>0.18010000000000001</v>
      </c>
      <c r="H1516">
        <v>0</v>
      </c>
      <c r="J1516">
        <v>1</v>
      </c>
      <c r="K1516">
        <f>YEAR(NetflixData[[#This Row],[date]])</f>
        <v>2022</v>
      </c>
      <c r="L1516" t="str">
        <f>TEXT(NetflixData[[#This Row],[date]],"mmm")</f>
        <v>Nov</v>
      </c>
      <c r="M1516" t="str">
        <f>TEXT(NetflixData[[#This Row],[date]],"mmm yyyy")</f>
        <v>Nov 2022</v>
      </c>
      <c r="N1516" t="str">
        <f t="shared" si="69"/>
        <v>Non-Trading Day</v>
      </c>
      <c r="O1516" t="str">
        <f t="shared" si="70"/>
        <v>Negative</v>
      </c>
      <c r="P1516" t="str">
        <f t="shared" si="71"/>
        <v>Positive</v>
      </c>
    </row>
    <row r="1517" spans="1:16" x14ac:dyDescent="0.3">
      <c r="A1517" s="1">
        <v>44870</v>
      </c>
      <c r="B1517">
        <v>26.08</v>
      </c>
      <c r="C1517">
        <v>0</v>
      </c>
      <c r="D1517">
        <v>0</v>
      </c>
      <c r="E1517">
        <v>32</v>
      </c>
      <c r="F1517">
        <v>2.88</v>
      </c>
      <c r="G1517">
        <v>0.18440000000000001</v>
      </c>
      <c r="H1517">
        <v>0</v>
      </c>
      <c r="J1517">
        <v>0</v>
      </c>
      <c r="K1517">
        <f>YEAR(NetflixData[[#This Row],[date]])</f>
        <v>2022</v>
      </c>
      <c r="L1517" t="str">
        <f>TEXT(NetflixData[[#This Row],[date]],"mmm")</f>
        <v>Nov</v>
      </c>
      <c r="M1517" t="str">
        <f>TEXT(NetflixData[[#This Row],[date]],"mmm yyyy")</f>
        <v>Nov 2022</v>
      </c>
      <c r="N1517" t="str">
        <f t="shared" si="69"/>
        <v>Non-Trading Day</v>
      </c>
      <c r="O1517" t="str">
        <f t="shared" si="70"/>
        <v>No Change</v>
      </c>
      <c r="P1517" t="str">
        <f t="shared" si="71"/>
        <v>Positive</v>
      </c>
    </row>
    <row r="1518" spans="1:16" x14ac:dyDescent="0.3">
      <c r="A1518" s="1">
        <v>44871</v>
      </c>
      <c r="B1518">
        <v>26.08</v>
      </c>
      <c r="C1518">
        <v>0</v>
      </c>
      <c r="D1518">
        <v>0</v>
      </c>
      <c r="E1518">
        <v>37</v>
      </c>
      <c r="F1518">
        <v>3.11</v>
      </c>
      <c r="G1518">
        <v>0.20269999999999999</v>
      </c>
      <c r="H1518">
        <v>0</v>
      </c>
      <c r="J1518">
        <v>0</v>
      </c>
      <c r="K1518">
        <f>YEAR(NetflixData[[#This Row],[date]])</f>
        <v>2022</v>
      </c>
      <c r="L1518" t="str">
        <f>TEXT(NetflixData[[#This Row],[date]],"mmm")</f>
        <v>Nov</v>
      </c>
      <c r="M1518" t="str">
        <f>TEXT(NetflixData[[#This Row],[date]],"mmm yyyy")</f>
        <v>Nov 2022</v>
      </c>
      <c r="N1518" t="str">
        <f t="shared" si="69"/>
        <v>Trading Day</v>
      </c>
      <c r="O1518" t="str">
        <f t="shared" si="70"/>
        <v>No Change</v>
      </c>
      <c r="P1518" t="str">
        <f t="shared" si="71"/>
        <v>Positive</v>
      </c>
    </row>
    <row r="1519" spans="1:16" x14ac:dyDescent="0.3">
      <c r="A1519" s="1">
        <v>44872</v>
      </c>
      <c r="B1519">
        <v>25.86</v>
      </c>
      <c r="C1519">
        <v>79270000</v>
      </c>
      <c r="D1519">
        <v>-0.94199999999999995</v>
      </c>
      <c r="E1519">
        <v>22</v>
      </c>
      <c r="F1519">
        <v>2.73</v>
      </c>
      <c r="G1519">
        <v>7.1300000000000002E-2</v>
      </c>
      <c r="H1519">
        <v>0</v>
      </c>
      <c r="J1519">
        <v>1</v>
      </c>
      <c r="K1519">
        <f>YEAR(NetflixData[[#This Row],[date]])</f>
        <v>2022</v>
      </c>
      <c r="L1519" t="str">
        <f>TEXT(NetflixData[[#This Row],[date]],"mmm")</f>
        <v>Nov</v>
      </c>
      <c r="M1519" t="str">
        <f>TEXT(NetflixData[[#This Row],[date]],"mmm yyyy")</f>
        <v>Nov 2022</v>
      </c>
      <c r="N1519" t="str">
        <f t="shared" si="69"/>
        <v>Trading Day</v>
      </c>
      <c r="O1519" t="str">
        <f t="shared" si="70"/>
        <v>Negative</v>
      </c>
      <c r="P1519" t="str">
        <f t="shared" si="71"/>
        <v>Neutral</v>
      </c>
    </row>
    <row r="1520" spans="1:16" x14ac:dyDescent="0.3">
      <c r="A1520" s="1">
        <v>44873</v>
      </c>
      <c r="B1520">
        <v>26.35</v>
      </c>
      <c r="C1520">
        <v>76838000</v>
      </c>
      <c r="D1520">
        <v>1.3620000000000001</v>
      </c>
      <c r="E1520">
        <v>25</v>
      </c>
      <c r="F1520">
        <v>2.48</v>
      </c>
      <c r="G1520">
        <v>0.115</v>
      </c>
      <c r="H1520">
        <v>0</v>
      </c>
      <c r="J1520">
        <v>1</v>
      </c>
      <c r="K1520">
        <f>YEAR(NetflixData[[#This Row],[date]])</f>
        <v>2022</v>
      </c>
      <c r="L1520" t="str">
        <f>TEXT(NetflixData[[#This Row],[date]],"mmm")</f>
        <v>Nov</v>
      </c>
      <c r="M1520" t="str">
        <f>TEXT(NetflixData[[#This Row],[date]],"mmm yyyy")</f>
        <v>Nov 2022</v>
      </c>
      <c r="N1520" t="str">
        <f t="shared" si="69"/>
        <v>Trading Day</v>
      </c>
      <c r="O1520" t="str">
        <f t="shared" si="70"/>
        <v>Positive</v>
      </c>
      <c r="P1520" t="str">
        <f t="shared" si="71"/>
        <v>Positive</v>
      </c>
    </row>
    <row r="1521" spans="1:16" x14ac:dyDescent="0.3">
      <c r="A1521" s="1">
        <v>44874</v>
      </c>
      <c r="B1521">
        <v>25.47</v>
      </c>
      <c r="C1521">
        <v>72660000</v>
      </c>
      <c r="D1521">
        <v>-1.9259999999999999</v>
      </c>
      <c r="E1521">
        <v>27</v>
      </c>
      <c r="F1521">
        <v>2.63</v>
      </c>
      <c r="G1521">
        <v>0.1656</v>
      </c>
      <c r="H1521">
        <v>0</v>
      </c>
      <c r="J1521">
        <v>1</v>
      </c>
      <c r="K1521">
        <f>YEAR(NetflixData[[#This Row],[date]])</f>
        <v>2022</v>
      </c>
      <c r="L1521" t="str">
        <f>TEXT(NetflixData[[#This Row],[date]],"mmm")</f>
        <v>Nov</v>
      </c>
      <c r="M1521" t="str">
        <f>TEXT(NetflixData[[#This Row],[date]],"mmm yyyy")</f>
        <v>Nov 2022</v>
      </c>
      <c r="N1521" t="str">
        <f t="shared" si="69"/>
        <v>Trading Day</v>
      </c>
      <c r="O1521" t="str">
        <f t="shared" si="70"/>
        <v>Negative</v>
      </c>
      <c r="P1521" t="str">
        <f t="shared" si="71"/>
        <v>Positive</v>
      </c>
    </row>
    <row r="1522" spans="1:16" x14ac:dyDescent="0.3">
      <c r="A1522" s="1">
        <v>44875</v>
      </c>
      <c r="B1522">
        <v>27.5</v>
      </c>
      <c r="C1522">
        <v>96673000</v>
      </c>
      <c r="D1522">
        <v>3.3759999999999999</v>
      </c>
      <c r="E1522">
        <v>26</v>
      </c>
      <c r="F1522">
        <v>2.31</v>
      </c>
      <c r="G1522">
        <v>0.2823</v>
      </c>
      <c r="H1522">
        <v>0</v>
      </c>
      <c r="J1522">
        <v>1</v>
      </c>
      <c r="K1522">
        <f>YEAR(NetflixData[[#This Row],[date]])</f>
        <v>2022</v>
      </c>
      <c r="L1522" t="str">
        <f>TEXT(NetflixData[[#This Row],[date]],"mmm")</f>
        <v>Nov</v>
      </c>
      <c r="M1522" t="str">
        <f>TEXT(NetflixData[[#This Row],[date]],"mmm yyyy")</f>
        <v>Nov 2022</v>
      </c>
      <c r="N1522" t="str">
        <f t="shared" si="69"/>
        <v>Trading Day</v>
      </c>
      <c r="O1522" t="str">
        <f t="shared" si="70"/>
        <v>Positive</v>
      </c>
      <c r="P1522" t="str">
        <f t="shared" si="71"/>
        <v>Positive</v>
      </c>
    </row>
    <row r="1523" spans="1:16" x14ac:dyDescent="0.3">
      <c r="A1523" s="1">
        <v>44876</v>
      </c>
      <c r="B1523">
        <v>29.01</v>
      </c>
      <c r="C1523">
        <v>95738000</v>
      </c>
      <c r="D1523">
        <v>5.7060000000000004</v>
      </c>
      <c r="E1523">
        <v>30</v>
      </c>
      <c r="F1523">
        <v>2.37</v>
      </c>
      <c r="G1523">
        <v>9.6600000000000005E-2</v>
      </c>
      <c r="H1523">
        <v>0</v>
      </c>
      <c r="J1523">
        <v>1</v>
      </c>
      <c r="K1523">
        <f>YEAR(NetflixData[[#This Row],[date]])</f>
        <v>2022</v>
      </c>
      <c r="L1523" t="str">
        <f>TEXT(NetflixData[[#This Row],[date]],"mmm")</f>
        <v>Nov</v>
      </c>
      <c r="M1523" t="str">
        <f>TEXT(NetflixData[[#This Row],[date]],"mmm yyyy")</f>
        <v>Nov 2022</v>
      </c>
      <c r="N1523" t="str">
        <f t="shared" si="69"/>
        <v>Non-Trading Day</v>
      </c>
      <c r="O1523" t="str">
        <f t="shared" si="70"/>
        <v>Positive</v>
      </c>
      <c r="P1523" t="str">
        <f t="shared" si="71"/>
        <v>Neutral</v>
      </c>
    </row>
    <row r="1524" spans="1:16" x14ac:dyDescent="0.3">
      <c r="A1524" s="1">
        <v>44877</v>
      </c>
      <c r="B1524">
        <v>29.01</v>
      </c>
      <c r="C1524">
        <v>0</v>
      </c>
      <c r="D1524">
        <v>0</v>
      </c>
      <c r="E1524">
        <v>29</v>
      </c>
      <c r="F1524">
        <v>2.5499999999999998</v>
      </c>
      <c r="G1524">
        <v>0.1033</v>
      </c>
      <c r="H1524">
        <v>0</v>
      </c>
      <c r="J1524">
        <v>0</v>
      </c>
      <c r="K1524">
        <f>YEAR(NetflixData[[#This Row],[date]])</f>
        <v>2022</v>
      </c>
      <c r="L1524" t="str">
        <f>TEXT(NetflixData[[#This Row],[date]],"mmm")</f>
        <v>Nov</v>
      </c>
      <c r="M1524" t="str">
        <f>TEXT(NetflixData[[#This Row],[date]],"mmm yyyy")</f>
        <v>Nov 2022</v>
      </c>
      <c r="N1524" t="str">
        <f t="shared" si="69"/>
        <v>Non-Trading Day</v>
      </c>
      <c r="O1524" t="str">
        <f t="shared" si="70"/>
        <v>No Change</v>
      </c>
      <c r="P1524" t="str">
        <f t="shared" si="71"/>
        <v>Positive</v>
      </c>
    </row>
    <row r="1525" spans="1:16" x14ac:dyDescent="0.3">
      <c r="A1525" s="1">
        <v>44878</v>
      </c>
      <c r="B1525">
        <v>29.01</v>
      </c>
      <c r="C1525">
        <v>0</v>
      </c>
      <c r="D1525">
        <v>0</v>
      </c>
      <c r="E1525">
        <v>32</v>
      </c>
      <c r="F1525">
        <v>3</v>
      </c>
      <c r="G1525">
        <v>7.0000000000000007E-2</v>
      </c>
      <c r="H1525">
        <v>0</v>
      </c>
      <c r="J1525">
        <v>0</v>
      </c>
      <c r="K1525">
        <f>YEAR(NetflixData[[#This Row],[date]])</f>
        <v>2022</v>
      </c>
      <c r="L1525" t="str">
        <f>TEXT(NetflixData[[#This Row],[date]],"mmm")</f>
        <v>Nov</v>
      </c>
      <c r="M1525" t="str">
        <f>TEXT(NetflixData[[#This Row],[date]],"mmm yyyy")</f>
        <v>Nov 2022</v>
      </c>
      <c r="N1525" t="str">
        <f t="shared" si="69"/>
        <v>Trading Day</v>
      </c>
      <c r="O1525" t="str">
        <f t="shared" si="70"/>
        <v>No Change</v>
      </c>
      <c r="P1525" t="str">
        <f t="shared" si="71"/>
        <v>Neutral</v>
      </c>
    </row>
    <row r="1526" spans="1:16" x14ac:dyDescent="0.3">
      <c r="A1526" s="1">
        <v>44879</v>
      </c>
      <c r="B1526">
        <v>29.93</v>
      </c>
      <c r="C1526">
        <v>179782000</v>
      </c>
      <c r="D1526">
        <v>3.1970000000000001</v>
      </c>
      <c r="E1526">
        <v>16</v>
      </c>
      <c r="F1526">
        <v>2.5</v>
      </c>
      <c r="G1526">
        <v>0.25850000000000001</v>
      </c>
      <c r="H1526">
        <v>0</v>
      </c>
      <c r="J1526">
        <v>1</v>
      </c>
      <c r="K1526">
        <f>YEAR(NetflixData[[#This Row],[date]])</f>
        <v>2022</v>
      </c>
      <c r="L1526" t="str">
        <f>TEXT(NetflixData[[#This Row],[date]],"mmm")</f>
        <v>Nov</v>
      </c>
      <c r="M1526" t="str">
        <f>TEXT(NetflixData[[#This Row],[date]],"mmm yyyy")</f>
        <v>Nov 2022</v>
      </c>
      <c r="N1526" t="str">
        <f t="shared" si="69"/>
        <v>Trading Day</v>
      </c>
      <c r="O1526" t="str">
        <f t="shared" si="70"/>
        <v>Positive</v>
      </c>
      <c r="P1526" t="str">
        <f t="shared" si="71"/>
        <v>Positive</v>
      </c>
    </row>
    <row r="1527" spans="1:16" x14ac:dyDescent="0.3">
      <c r="A1527" s="1">
        <v>44880</v>
      </c>
      <c r="B1527">
        <v>31.02</v>
      </c>
      <c r="C1527">
        <v>146269000</v>
      </c>
      <c r="D1527">
        <v>0.32300000000000001</v>
      </c>
      <c r="E1527">
        <v>27</v>
      </c>
      <c r="F1527">
        <v>2.78</v>
      </c>
      <c r="G1527">
        <v>0.32369999999999999</v>
      </c>
      <c r="H1527">
        <v>0</v>
      </c>
      <c r="J1527">
        <v>1</v>
      </c>
      <c r="K1527">
        <f>YEAR(NetflixData[[#This Row],[date]])</f>
        <v>2022</v>
      </c>
      <c r="L1527" t="str">
        <f>TEXT(NetflixData[[#This Row],[date]],"mmm")</f>
        <v>Nov</v>
      </c>
      <c r="M1527" t="str">
        <f>TEXT(NetflixData[[#This Row],[date]],"mmm yyyy")</f>
        <v>Nov 2022</v>
      </c>
      <c r="N1527" t="str">
        <f t="shared" si="69"/>
        <v>Trading Day</v>
      </c>
      <c r="O1527" t="str">
        <f t="shared" si="70"/>
        <v>Positive</v>
      </c>
      <c r="P1527" t="str">
        <f t="shared" si="71"/>
        <v>Positive</v>
      </c>
    </row>
    <row r="1528" spans="1:16" x14ac:dyDescent="0.3">
      <c r="A1528" s="1">
        <v>44881</v>
      </c>
      <c r="B1528">
        <v>30.6</v>
      </c>
      <c r="C1528">
        <v>80386000</v>
      </c>
      <c r="D1528">
        <v>-1.2649999999999999</v>
      </c>
      <c r="E1528">
        <v>60</v>
      </c>
      <c r="F1528">
        <v>1.93</v>
      </c>
      <c r="G1528">
        <v>3.0999999999999999E-3</v>
      </c>
      <c r="H1528">
        <v>0</v>
      </c>
      <c r="J1528">
        <v>1</v>
      </c>
      <c r="K1528">
        <f>YEAR(NetflixData[[#This Row],[date]])</f>
        <v>2022</v>
      </c>
      <c r="L1528" t="str">
        <f>TEXT(NetflixData[[#This Row],[date]],"mmm")</f>
        <v>Nov</v>
      </c>
      <c r="M1528" t="str">
        <f>TEXT(NetflixData[[#This Row],[date]],"mmm yyyy")</f>
        <v>Nov 2022</v>
      </c>
      <c r="N1528" t="str">
        <f t="shared" si="69"/>
        <v>Trading Day</v>
      </c>
      <c r="O1528" t="str">
        <f t="shared" si="70"/>
        <v>Negative</v>
      </c>
      <c r="P1528" t="str">
        <f t="shared" si="71"/>
        <v>Neutral</v>
      </c>
    </row>
    <row r="1529" spans="1:16" x14ac:dyDescent="0.3">
      <c r="A1529" s="1">
        <v>44882</v>
      </c>
      <c r="B1529">
        <v>29.53</v>
      </c>
      <c r="C1529">
        <v>98382000</v>
      </c>
      <c r="D1529">
        <v>0.19</v>
      </c>
      <c r="E1529">
        <v>45</v>
      </c>
      <c r="F1529">
        <v>1.8</v>
      </c>
      <c r="G1529">
        <v>-1.4E-2</v>
      </c>
      <c r="H1529">
        <v>0</v>
      </c>
      <c r="J1529">
        <v>1</v>
      </c>
      <c r="K1529">
        <f>YEAR(NetflixData[[#This Row],[date]])</f>
        <v>2022</v>
      </c>
      <c r="L1529" t="str">
        <f>TEXT(NetflixData[[#This Row],[date]],"mmm")</f>
        <v>Nov</v>
      </c>
      <c r="M1529" t="str">
        <f>TEXT(NetflixData[[#This Row],[date]],"mmm yyyy")</f>
        <v>Nov 2022</v>
      </c>
      <c r="N1529" t="str">
        <f t="shared" si="69"/>
        <v>Trading Day</v>
      </c>
      <c r="O1529" t="str">
        <f t="shared" si="70"/>
        <v>Positive</v>
      </c>
      <c r="P1529" t="str">
        <f t="shared" si="71"/>
        <v>Neutral</v>
      </c>
    </row>
    <row r="1530" spans="1:16" x14ac:dyDescent="0.3">
      <c r="A1530" s="1">
        <v>44883</v>
      </c>
      <c r="B1530">
        <v>28.8</v>
      </c>
      <c r="C1530">
        <v>84001000</v>
      </c>
      <c r="D1530">
        <v>-3.145</v>
      </c>
      <c r="E1530">
        <v>54</v>
      </c>
      <c r="F1530">
        <v>2.2999999999999998</v>
      </c>
      <c r="G1530">
        <v>4.3999999999999997E-2</v>
      </c>
      <c r="H1530">
        <v>0</v>
      </c>
      <c r="J1530">
        <v>1</v>
      </c>
      <c r="K1530">
        <f>YEAR(NetflixData[[#This Row],[date]])</f>
        <v>2022</v>
      </c>
      <c r="L1530" t="str">
        <f>TEXT(NetflixData[[#This Row],[date]],"mmm")</f>
        <v>Nov</v>
      </c>
      <c r="M1530" t="str">
        <f>TEXT(NetflixData[[#This Row],[date]],"mmm yyyy")</f>
        <v>Nov 2022</v>
      </c>
      <c r="N1530" t="str">
        <f t="shared" si="69"/>
        <v>Non-Trading Day</v>
      </c>
      <c r="O1530" t="str">
        <f t="shared" si="70"/>
        <v>Negative</v>
      </c>
      <c r="P1530" t="str">
        <f t="shared" si="71"/>
        <v>Neutral</v>
      </c>
    </row>
    <row r="1531" spans="1:16" x14ac:dyDescent="0.3">
      <c r="A1531" s="1">
        <v>44884</v>
      </c>
      <c r="B1531">
        <v>28.8</v>
      </c>
      <c r="C1531">
        <v>0</v>
      </c>
      <c r="D1531">
        <v>0</v>
      </c>
      <c r="E1531">
        <v>72</v>
      </c>
      <c r="F1531">
        <v>1.65</v>
      </c>
      <c r="G1531">
        <v>-1.83E-2</v>
      </c>
      <c r="H1531">
        <v>0</v>
      </c>
      <c r="J1531">
        <v>0</v>
      </c>
      <c r="K1531">
        <f>YEAR(NetflixData[[#This Row],[date]])</f>
        <v>2022</v>
      </c>
      <c r="L1531" t="str">
        <f>TEXT(NetflixData[[#This Row],[date]],"mmm")</f>
        <v>Nov</v>
      </c>
      <c r="M1531" t="str">
        <f>TEXT(NetflixData[[#This Row],[date]],"mmm yyyy")</f>
        <v>Nov 2022</v>
      </c>
      <c r="N1531" t="str">
        <f t="shared" si="69"/>
        <v>Non-Trading Day</v>
      </c>
      <c r="O1531" t="str">
        <f t="shared" si="70"/>
        <v>No Change</v>
      </c>
      <c r="P1531" t="str">
        <f t="shared" si="71"/>
        <v>Neutral</v>
      </c>
    </row>
    <row r="1532" spans="1:16" x14ac:dyDescent="0.3">
      <c r="A1532" s="1">
        <v>44885</v>
      </c>
      <c r="B1532">
        <v>28.8</v>
      </c>
      <c r="C1532">
        <v>0</v>
      </c>
      <c r="D1532">
        <v>0</v>
      </c>
      <c r="E1532">
        <v>81</v>
      </c>
      <c r="F1532">
        <v>1.79</v>
      </c>
      <c r="G1532">
        <v>-0.14269999999999999</v>
      </c>
      <c r="H1532">
        <v>0</v>
      </c>
      <c r="J1532">
        <v>0</v>
      </c>
      <c r="K1532">
        <f>YEAR(NetflixData[[#This Row],[date]])</f>
        <v>2022</v>
      </c>
      <c r="L1532" t="str">
        <f>TEXT(NetflixData[[#This Row],[date]],"mmm")</f>
        <v>Nov</v>
      </c>
      <c r="M1532" t="str">
        <f>TEXT(NetflixData[[#This Row],[date]],"mmm yyyy")</f>
        <v>Nov 2022</v>
      </c>
      <c r="N1532" t="str">
        <f t="shared" si="69"/>
        <v>Trading Day</v>
      </c>
      <c r="O1532" t="str">
        <f t="shared" si="70"/>
        <v>No Change</v>
      </c>
      <c r="P1532" t="str">
        <f t="shared" si="71"/>
        <v>Negative</v>
      </c>
    </row>
    <row r="1533" spans="1:16" x14ac:dyDescent="0.3">
      <c r="A1533" s="1">
        <v>44886</v>
      </c>
      <c r="B1533">
        <v>28.5</v>
      </c>
      <c r="C1533">
        <v>72565000</v>
      </c>
      <c r="D1533">
        <v>-2.0449999999999999</v>
      </c>
      <c r="E1533">
        <v>54</v>
      </c>
      <c r="F1533">
        <v>2.2000000000000002</v>
      </c>
      <c r="G1533">
        <v>-1.34E-2</v>
      </c>
      <c r="H1533">
        <v>0</v>
      </c>
      <c r="J1533">
        <v>1</v>
      </c>
      <c r="K1533">
        <f>YEAR(NetflixData[[#This Row],[date]])</f>
        <v>2022</v>
      </c>
      <c r="L1533" t="str">
        <f>TEXT(NetflixData[[#This Row],[date]],"mmm")</f>
        <v>Nov</v>
      </c>
      <c r="M1533" t="str">
        <f>TEXT(NetflixData[[#This Row],[date]],"mmm yyyy")</f>
        <v>Nov 2022</v>
      </c>
      <c r="N1533" t="str">
        <f t="shared" si="69"/>
        <v>Trading Day</v>
      </c>
      <c r="O1533" t="str">
        <f t="shared" si="70"/>
        <v>Negative</v>
      </c>
      <c r="P1533" t="str">
        <f t="shared" si="71"/>
        <v>Neutral</v>
      </c>
    </row>
    <row r="1534" spans="1:16" x14ac:dyDescent="0.3">
      <c r="A1534" s="1">
        <v>44887</v>
      </c>
      <c r="B1534">
        <v>28.67</v>
      </c>
      <c r="C1534">
        <v>62451000</v>
      </c>
      <c r="D1534">
        <v>0.59699999999999998</v>
      </c>
      <c r="E1534">
        <v>53</v>
      </c>
      <c r="F1534">
        <v>1.85</v>
      </c>
      <c r="G1534">
        <v>-5.9799999999999999E-2</v>
      </c>
      <c r="H1534">
        <v>0</v>
      </c>
      <c r="J1534">
        <v>1</v>
      </c>
      <c r="K1534">
        <f>YEAR(NetflixData[[#This Row],[date]])</f>
        <v>2022</v>
      </c>
      <c r="L1534" t="str">
        <f>TEXT(NetflixData[[#This Row],[date]],"mmm")</f>
        <v>Nov</v>
      </c>
      <c r="M1534" t="str">
        <f>TEXT(NetflixData[[#This Row],[date]],"mmm yyyy")</f>
        <v>Nov 2022</v>
      </c>
      <c r="N1534" t="str">
        <f t="shared" si="69"/>
        <v>Trading Day</v>
      </c>
      <c r="O1534" t="str">
        <f t="shared" si="70"/>
        <v>Positive</v>
      </c>
      <c r="P1534" t="str">
        <f t="shared" si="71"/>
        <v>Neutral</v>
      </c>
    </row>
    <row r="1535" spans="1:16" x14ac:dyDescent="0.3">
      <c r="A1535" s="1">
        <v>44888</v>
      </c>
      <c r="B1535">
        <v>29.15</v>
      </c>
      <c r="C1535">
        <v>59190000</v>
      </c>
      <c r="D1535">
        <v>1.9550000000000001</v>
      </c>
      <c r="E1535">
        <v>45</v>
      </c>
      <c r="F1535">
        <v>2.1800000000000002</v>
      </c>
      <c r="G1535">
        <v>2.92E-2</v>
      </c>
      <c r="H1535">
        <v>0</v>
      </c>
      <c r="J1535">
        <v>1</v>
      </c>
      <c r="K1535">
        <f>YEAR(NetflixData[[#This Row],[date]])</f>
        <v>2022</v>
      </c>
      <c r="L1535" t="str">
        <f>TEXT(NetflixData[[#This Row],[date]],"mmm")</f>
        <v>Nov</v>
      </c>
      <c r="M1535" t="str">
        <f>TEXT(NetflixData[[#This Row],[date]],"mmm yyyy")</f>
        <v>Nov 2022</v>
      </c>
      <c r="N1535" t="str">
        <f t="shared" si="69"/>
        <v>Non-Trading Day</v>
      </c>
      <c r="O1535" t="str">
        <f t="shared" si="70"/>
        <v>Positive</v>
      </c>
      <c r="P1535" t="str">
        <f t="shared" si="71"/>
        <v>Neutral</v>
      </c>
    </row>
    <row r="1536" spans="1:16" x14ac:dyDescent="0.3">
      <c r="A1536" s="1">
        <v>44889</v>
      </c>
      <c r="B1536">
        <v>29.15</v>
      </c>
      <c r="C1536">
        <v>0</v>
      </c>
      <c r="D1536">
        <v>0</v>
      </c>
      <c r="E1536">
        <v>47</v>
      </c>
      <c r="F1536">
        <v>2.04</v>
      </c>
      <c r="G1536">
        <v>-0.1139</v>
      </c>
      <c r="H1536">
        <v>0</v>
      </c>
      <c r="J1536">
        <v>0</v>
      </c>
      <c r="K1536">
        <f>YEAR(NetflixData[[#This Row],[date]])</f>
        <v>2022</v>
      </c>
      <c r="L1536" t="str">
        <f>TEXT(NetflixData[[#This Row],[date]],"mmm")</f>
        <v>Nov</v>
      </c>
      <c r="M1536" t="str">
        <f>TEXT(NetflixData[[#This Row],[date]],"mmm yyyy")</f>
        <v>Nov 2022</v>
      </c>
      <c r="N1536" t="str">
        <f t="shared" si="69"/>
        <v>Trading Day</v>
      </c>
      <c r="O1536" t="str">
        <f t="shared" si="70"/>
        <v>No Change</v>
      </c>
      <c r="P1536" t="str">
        <f t="shared" si="71"/>
        <v>Negative</v>
      </c>
    </row>
    <row r="1537" spans="1:16" x14ac:dyDescent="0.3">
      <c r="A1537" s="1">
        <v>44890</v>
      </c>
      <c r="B1537">
        <v>28.55</v>
      </c>
      <c r="C1537">
        <v>32360000</v>
      </c>
      <c r="D1537">
        <v>-1.1970000000000001</v>
      </c>
      <c r="E1537">
        <v>46</v>
      </c>
      <c r="F1537">
        <v>1.8</v>
      </c>
      <c r="G1537">
        <v>-0.10249999999999999</v>
      </c>
      <c r="H1537">
        <v>0</v>
      </c>
      <c r="J1537">
        <v>1</v>
      </c>
      <c r="K1537">
        <f>YEAR(NetflixData[[#This Row],[date]])</f>
        <v>2022</v>
      </c>
      <c r="L1537" t="str">
        <f>TEXT(NetflixData[[#This Row],[date]],"mmm")</f>
        <v>Nov</v>
      </c>
      <c r="M1537" t="str">
        <f>TEXT(NetflixData[[#This Row],[date]],"mmm yyyy")</f>
        <v>Nov 2022</v>
      </c>
      <c r="N1537" t="str">
        <f t="shared" si="69"/>
        <v>Non-Trading Day</v>
      </c>
      <c r="O1537" t="str">
        <f t="shared" si="70"/>
        <v>Negative</v>
      </c>
      <c r="P1537" t="str">
        <f t="shared" si="71"/>
        <v>Negative</v>
      </c>
    </row>
    <row r="1538" spans="1:16" x14ac:dyDescent="0.3">
      <c r="A1538" s="1">
        <v>44891</v>
      </c>
      <c r="B1538">
        <v>28.55</v>
      </c>
      <c r="C1538">
        <v>0</v>
      </c>
      <c r="D1538">
        <v>0</v>
      </c>
      <c r="E1538">
        <v>55</v>
      </c>
      <c r="F1538">
        <v>1.82</v>
      </c>
      <c r="G1538">
        <v>-9.4799999999999995E-2</v>
      </c>
      <c r="H1538">
        <v>0</v>
      </c>
      <c r="J1538">
        <v>0</v>
      </c>
      <c r="K1538">
        <f>YEAR(NetflixData[[#This Row],[date]])</f>
        <v>2022</v>
      </c>
      <c r="L1538" t="str">
        <f>TEXT(NetflixData[[#This Row],[date]],"mmm")</f>
        <v>Nov</v>
      </c>
      <c r="M1538" t="str">
        <f>TEXT(NetflixData[[#This Row],[date]],"mmm yyyy")</f>
        <v>Nov 2022</v>
      </c>
      <c r="N1538" t="str">
        <f t="shared" ref="N1538:N1601" si="72">IF(J1539=1,"Trading Day","Non-Trading Day")</f>
        <v>Non-Trading Day</v>
      </c>
      <c r="O1538" t="str">
        <f t="shared" ref="O1538:O1601" si="73">IF(D1538&gt;0,"Positive",IF(D1538&lt;0,"Negative","No Change"))</f>
        <v>No Change</v>
      </c>
      <c r="P1538" t="str">
        <f t="shared" ref="P1538:P1601" si="74">IF(G1538&gt;0.1,"Positive",IF(G1538&lt;-0.1,"Negative","Neutral"))</f>
        <v>Neutral</v>
      </c>
    </row>
    <row r="1539" spans="1:16" x14ac:dyDescent="0.3">
      <c r="A1539" s="1">
        <v>44892</v>
      </c>
      <c r="B1539">
        <v>28.55</v>
      </c>
      <c r="C1539">
        <v>0</v>
      </c>
      <c r="D1539">
        <v>0</v>
      </c>
      <c r="E1539">
        <v>68</v>
      </c>
      <c r="F1539">
        <v>2.1</v>
      </c>
      <c r="G1539">
        <v>3.9399999999999998E-2</v>
      </c>
      <c r="H1539">
        <v>0</v>
      </c>
      <c r="J1539">
        <v>0</v>
      </c>
      <c r="K1539">
        <f>YEAR(NetflixData[[#This Row],[date]])</f>
        <v>2022</v>
      </c>
      <c r="L1539" t="str">
        <f>TEXT(NetflixData[[#This Row],[date]],"mmm")</f>
        <v>Nov</v>
      </c>
      <c r="M1539" t="str">
        <f>TEXT(NetflixData[[#This Row],[date]],"mmm yyyy")</f>
        <v>Nov 2022</v>
      </c>
      <c r="N1539" t="str">
        <f t="shared" si="72"/>
        <v>Trading Day</v>
      </c>
      <c r="O1539" t="str">
        <f t="shared" si="73"/>
        <v>No Change</v>
      </c>
      <c r="P1539" t="str">
        <f t="shared" si="74"/>
        <v>Neutral</v>
      </c>
    </row>
    <row r="1540" spans="1:16" x14ac:dyDescent="0.3">
      <c r="A1540" s="1">
        <v>44893</v>
      </c>
      <c r="B1540">
        <v>28.12</v>
      </c>
      <c r="C1540">
        <v>47034000</v>
      </c>
      <c r="D1540">
        <v>-0.996</v>
      </c>
      <c r="E1540">
        <v>40</v>
      </c>
      <c r="F1540">
        <v>2.02</v>
      </c>
      <c r="G1540">
        <v>-0.1021</v>
      </c>
      <c r="H1540">
        <v>0</v>
      </c>
      <c r="J1540">
        <v>1</v>
      </c>
      <c r="K1540">
        <f>YEAR(NetflixData[[#This Row],[date]])</f>
        <v>2022</v>
      </c>
      <c r="L1540" t="str">
        <f>TEXT(NetflixData[[#This Row],[date]],"mmm")</f>
        <v>Nov</v>
      </c>
      <c r="M1540" t="str">
        <f>TEXT(NetflixData[[#This Row],[date]],"mmm yyyy")</f>
        <v>Nov 2022</v>
      </c>
      <c r="N1540" t="str">
        <f t="shared" si="72"/>
        <v>Trading Day</v>
      </c>
      <c r="O1540" t="str">
        <f t="shared" si="73"/>
        <v>Negative</v>
      </c>
      <c r="P1540" t="str">
        <f t="shared" si="74"/>
        <v>Negative</v>
      </c>
    </row>
    <row r="1541" spans="1:16" x14ac:dyDescent="0.3">
      <c r="A1541" s="1">
        <v>44894</v>
      </c>
      <c r="B1541">
        <v>28.1</v>
      </c>
      <c r="C1541">
        <v>57869000</v>
      </c>
      <c r="D1541">
        <v>-0.54500000000000004</v>
      </c>
      <c r="E1541">
        <v>38</v>
      </c>
      <c r="F1541">
        <v>1.82</v>
      </c>
      <c r="G1541">
        <v>-0.1094</v>
      </c>
      <c r="H1541">
        <v>0</v>
      </c>
      <c r="J1541">
        <v>1</v>
      </c>
      <c r="K1541">
        <f>YEAR(NetflixData[[#This Row],[date]])</f>
        <v>2022</v>
      </c>
      <c r="L1541" t="str">
        <f>TEXT(NetflixData[[#This Row],[date]],"mmm")</f>
        <v>Nov</v>
      </c>
      <c r="M1541" t="str">
        <f>TEXT(NetflixData[[#This Row],[date]],"mmm yyyy")</f>
        <v>Nov 2022</v>
      </c>
      <c r="N1541" t="str">
        <f t="shared" si="72"/>
        <v>Trading Day</v>
      </c>
      <c r="O1541" t="str">
        <f t="shared" si="73"/>
        <v>Negative</v>
      </c>
      <c r="P1541" t="str">
        <f t="shared" si="74"/>
        <v>Negative</v>
      </c>
    </row>
    <row r="1542" spans="1:16" x14ac:dyDescent="0.3">
      <c r="A1542" s="1">
        <v>44895</v>
      </c>
      <c r="B1542">
        <v>30.55</v>
      </c>
      <c r="C1542">
        <v>160701000</v>
      </c>
      <c r="D1542">
        <v>8.5869999999999997</v>
      </c>
      <c r="E1542">
        <v>50</v>
      </c>
      <c r="F1542">
        <v>1.9</v>
      </c>
      <c r="G1542">
        <v>-1.9300000000000001E-2</v>
      </c>
      <c r="H1542">
        <v>0</v>
      </c>
      <c r="J1542">
        <v>1</v>
      </c>
      <c r="K1542">
        <f>YEAR(NetflixData[[#This Row],[date]])</f>
        <v>2022</v>
      </c>
      <c r="L1542" t="str">
        <f>TEXT(NetflixData[[#This Row],[date]],"mmm")</f>
        <v>Nov</v>
      </c>
      <c r="M1542" t="str">
        <f>TEXT(NetflixData[[#This Row],[date]],"mmm yyyy")</f>
        <v>Nov 2022</v>
      </c>
      <c r="N1542" t="str">
        <f t="shared" si="72"/>
        <v>Trading Day</v>
      </c>
      <c r="O1542" t="str">
        <f t="shared" si="73"/>
        <v>Positive</v>
      </c>
      <c r="P1542" t="str">
        <f t="shared" si="74"/>
        <v>Neutral</v>
      </c>
    </row>
    <row r="1543" spans="1:16" x14ac:dyDescent="0.3">
      <c r="A1543" s="1">
        <v>44896</v>
      </c>
      <c r="B1543">
        <v>31.69</v>
      </c>
      <c r="C1543">
        <v>146649000</v>
      </c>
      <c r="D1543">
        <v>4.2629999999999999</v>
      </c>
      <c r="E1543">
        <v>47</v>
      </c>
      <c r="F1543">
        <v>1.98</v>
      </c>
      <c r="G1543">
        <v>-0.20080000000000001</v>
      </c>
      <c r="H1543">
        <v>0</v>
      </c>
      <c r="J1543">
        <v>1</v>
      </c>
      <c r="K1543">
        <f>YEAR(NetflixData[[#This Row],[date]])</f>
        <v>2022</v>
      </c>
      <c r="L1543" t="str">
        <f>TEXT(NetflixData[[#This Row],[date]],"mmm")</f>
        <v>Dec</v>
      </c>
      <c r="M1543" t="str">
        <f>TEXT(NetflixData[[#This Row],[date]],"mmm yyyy")</f>
        <v>Dec 2022</v>
      </c>
      <c r="N1543" t="str">
        <f t="shared" si="72"/>
        <v>Trading Day</v>
      </c>
      <c r="O1543" t="str">
        <f t="shared" si="73"/>
        <v>Positive</v>
      </c>
      <c r="P1543" t="str">
        <f t="shared" si="74"/>
        <v>Negative</v>
      </c>
    </row>
    <row r="1544" spans="1:16" x14ac:dyDescent="0.3">
      <c r="A1544" s="1">
        <v>44897</v>
      </c>
      <c r="B1544">
        <v>32.04</v>
      </c>
      <c r="C1544">
        <v>126906000</v>
      </c>
      <c r="D1544">
        <v>3.1949999999999998</v>
      </c>
      <c r="E1544">
        <v>40</v>
      </c>
      <c r="F1544">
        <v>2.12</v>
      </c>
      <c r="G1544">
        <v>7.7899999999999997E-2</v>
      </c>
      <c r="H1544">
        <v>0</v>
      </c>
      <c r="J1544">
        <v>1</v>
      </c>
      <c r="K1544">
        <f>YEAR(NetflixData[[#This Row],[date]])</f>
        <v>2022</v>
      </c>
      <c r="L1544" t="str">
        <f>TEXT(NetflixData[[#This Row],[date]],"mmm")</f>
        <v>Dec</v>
      </c>
      <c r="M1544" t="str">
        <f>TEXT(NetflixData[[#This Row],[date]],"mmm yyyy")</f>
        <v>Dec 2022</v>
      </c>
      <c r="N1544" t="str">
        <f t="shared" si="72"/>
        <v>Non-Trading Day</v>
      </c>
      <c r="O1544" t="str">
        <f t="shared" si="73"/>
        <v>Positive</v>
      </c>
      <c r="P1544" t="str">
        <f t="shared" si="74"/>
        <v>Neutral</v>
      </c>
    </row>
    <row r="1545" spans="1:16" x14ac:dyDescent="0.3">
      <c r="A1545" s="1">
        <v>44898</v>
      </c>
      <c r="B1545">
        <v>32.04</v>
      </c>
      <c r="C1545">
        <v>0</v>
      </c>
      <c r="D1545">
        <v>0</v>
      </c>
      <c r="E1545">
        <v>35</v>
      </c>
      <c r="F1545">
        <v>2.11</v>
      </c>
      <c r="G1545">
        <v>5.1900000000000002E-2</v>
      </c>
      <c r="H1545">
        <v>0</v>
      </c>
      <c r="J1545">
        <v>0</v>
      </c>
      <c r="K1545">
        <f>YEAR(NetflixData[[#This Row],[date]])</f>
        <v>2022</v>
      </c>
      <c r="L1545" t="str">
        <f>TEXT(NetflixData[[#This Row],[date]],"mmm")</f>
        <v>Dec</v>
      </c>
      <c r="M1545" t="str">
        <f>TEXT(NetflixData[[#This Row],[date]],"mmm yyyy")</f>
        <v>Dec 2022</v>
      </c>
      <c r="N1545" t="str">
        <f t="shared" si="72"/>
        <v>Non-Trading Day</v>
      </c>
      <c r="O1545" t="str">
        <f t="shared" si="73"/>
        <v>No Change</v>
      </c>
      <c r="P1545" t="str">
        <f t="shared" si="74"/>
        <v>Neutral</v>
      </c>
    </row>
    <row r="1546" spans="1:16" x14ac:dyDescent="0.3">
      <c r="A1546" s="1">
        <v>44899</v>
      </c>
      <c r="B1546">
        <v>32.04</v>
      </c>
      <c r="C1546">
        <v>0</v>
      </c>
      <c r="D1546">
        <v>0</v>
      </c>
      <c r="E1546">
        <v>45</v>
      </c>
      <c r="F1546">
        <v>1.82</v>
      </c>
      <c r="G1546">
        <v>4.7899999999999998E-2</v>
      </c>
      <c r="H1546">
        <v>0</v>
      </c>
      <c r="J1546">
        <v>0</v>
      </c>
      <c r="K1546">
        <f>YEAR(NetflixData[[#This Row],[date]])</f>
        <v>2022</v>
      </c>
      <c r="L1546" t="str">
        <f>TEXT(NetflixData[[#This Row],[date]],"mmm")</f>
        <v>Dec</v>
      </c>
      <c r="M1546" t="str">
        <f>TEXT(NetflixData[[#This Row],[date]],"mmm yyyy")</f>
        <v>Dec 2022</v>
      </c>
      <c r="N1546" t="str">
        <f t="shared" si="72"/>
        <v>Trading Day</v>
      </c>
      <c r="O1546" t="str">
        <f t="shared" si="73"/>
        <v>No Change</v>
      </c>
      <c r="P1546" t="str">
        <f t="shared" si="74"/>
        <v>Neutral</v>
      </c>
    </row>
    <row r="1547" spans="1:16" x14ac:dyDescent="0.3">
      <c r="A1547" s="1">
        <v>44900</v>
      </c>
      <c r="B1547">
        <v>31.26</v>
      </c>
      <c r="C1547">
        <v>84230000</v>
      </c>
      <c r="D1547">
        <v>-1.2230000000000001</v>
      </c>
      <c r="E1547">
        <v>45</v>
      </c>
      <c r="F1547">
        <v>2</v>
      </c>
      <c r="G1547">
        <v>-7.4399999999999994E-2</v>
      </c>
      <c r="H1547">
        <v>0</v>
      </c>
      <c r="J1547">
        <v>1</v>
      </c>
      <c r="K1547">
        <f>YEAR(NetflixData[[#This Row],[date]])</f>
        <v>2022</v>
      </c>
      <c r="L1547" t="str">
        <f>TEXT(NetflixData[[#This Row],[date]],"mmm")</f>
        <v>Dec</v>
      </c>
      <c r="M1547" t="str">
        <f>TEXT(NetflixData[[#This Row],[date]],"mmm yyyy")</f>
        <v>Dec 2022</v>
      </c>
      <c r="N1547" t="str">
        <f t="shared" si="72"/>
        <v>Trading Day</v>
      </c>
      <c r="O1547" t="str">
        <f t="shared" si="73"/>
        <v>Negative</v>
      </c>
      <c r="P1547" t="str">
        <f t="shared" si="74"/>
        <v>Neutral</v>
      </c>
    </row>
    <row r="1548" spans="1:16" x14ac:dyDescent="0.3">
      <c r="A1548" s="1">
        <v>44901</v>
      </c>
      <c r="B1548">
        <v>30.56</v>
      </c>
      <c r="C1548">
        <v>71954000</v>
      </c>
      <c r="D1548">
        <v>-1.7490000000000001</v>
      </c>
      <c r="E1548">
        <v>32</v>
      </c>
      <c r="F1548">
        <v>1.78</v>
      </c>
      <c r="G1548">
        <v>-7.3899999999999993E-2</v>
      </c>
      <c r="H1548">
        <v>0</v>
      </c>
      <c r="J1548">
        <v>1</v>
      </c>
      <c r="K1548">
        <f>YEAR(NetflixData[[#This Row],[date]])</f>
        <v>2022</v>
      </c>
      <c r="L1548" t="str">
        <f>TEXT(NetflixData[[#This Row],[date]],"mmm")</f>
        <v>Dec</v>
      </c>
      <c r="M1548" t="str">
        <f>TEXT(NetflixData[[#This Row],[date]],"mmm yyyy")</f>
        <v>Dec 2022</v>
      </c>
      <c r="N1548" t="str">
        <f t="shared" si="72"/>
        <v>Trading Day</v>
      </c>
      <c r="O1548" t="str">
        <f t="shared" si="73"/>
        <v>Negative</v>
      </c>
      <c r="P1548" t="str">
        <f t="shared" si="74"/>
        <v>Neutral</v>
      </c>
    </row>
    <row r="1549" spans="1:16" x14ac:dyDescent="0.3">
      <c r="A1549" s="1">
        <v>44902</v>
      </c>
      <c r="B1549">
        <v>30.84</v>
      </c>
      <c r="C1549">
        <v>78216000</v>
      </c>
      <c r="D1549">
        <v>0.626</v>
      </c>
      <c r="E1549">
        <v>43</v>
      </c>
      <c r="F1549">
        <v>1.81</v>
      </c>
      <c r="G1549">
        <v>-4.6399999999999997E-2</v>
      </c>
      <c r="H1549">
        <v>0</v>
      </c>
      <c r="J1549">
        <v>1</v>
      </c>
      <c r="K1549">
        <f>YEAR(NetflixData[[#This Row],[date]])</f>
        <v>2022</v>
      </c>
      <c r="L1549" t="str">
        <f>TEXT(NetflixData[[#This Row],[date]],"mmm")</f>
        <v>Dec</v>
      </c>
      <c r="M1549" t="str">
        <f>TEXT(NetflixData[[#This Row],[date]],"mmm yyyy")</f>
        <v>Dec 2022</v>
      </c>
      <c r="N1549" t="str">
        <f t="shared" si="72"/>
        <v>Trading Day</v>
      </c>
      <c r="O1549" t="str">
        <f t="shared" si="73"/>
        <v>Positive</v>
      </c>
      <c r="P1549" t="str">
        <f t="shared" si="74"/>
        <v>Neutral</v>
      </c>
    </row>
    <row r="1550" spans="1:16" x14ac:dyDescent="0.3">
      <c r="A1550" s="1">
        <v>44903</v>
      </c>
      <c r="B1550">
        <v>31.03</v>
      </c>
      <c r="C1550">
        <v>72053000</v>
      </c>
      <c r="D1550">
        <v>0.372</v>
      </c>
      <c r="E1550">
        <v>46</v>
      </c>
      <c r="F1550">
        <v>1.74</v>
      </c>
      <c r="G1550">
        <v>-0.1419</v>
      </c>
      <c r="H1550">
        <v>0</v>
      </c>
      <c r="J1550">
        <v>1</v>
      </c>
      <c r="K1550">
        <f>YEAR(NetflixData[[#This Row],[date]])</f>
        <v>2022</v>
      </c>
      <c r="L1550" t="str">
        <f>TEXT(NetflixData[[#This Row],[date]],"mmm")</f>
        <v>Dec</v>
      </c>
      <c r="M1550" t="str">
        <f>TEXT(NetflixData[[#This Row],[date]],"mmm yyyy")</f>
        <v>Dec 2022</v>
      </c>
      <c r="N1550" t="str">
        <f t="shared" si="72"/>
        <v>Trading Day</v>
      </c>
      <c r="O1550" t="str">
        <f t="shared" si="73"/>
        <v>Positive</v>
      </c>
      <c r="P1550" t="str">
        <f t="shared" si="74"/>
        <v>Negative</v>
      </c>
    </row>
    <row r="1551" spans="1:16" x14ac:dyDescent="0.3">
      <c r="A1551" s="1">
        <v>44904</v>
      </c>
      <c r="B1551">
        <v>32</v>
      </c>
      <c r="C1551">
        <v>143640000</v>
      </c>
      <c r="D1551">
        <v>-0.44800000000000001</v>
      </c>
      <c r="E1551">
        <v>59</v>
      </c>
      <c r="F1551">
        <v>1.76</v>
      </c>
      <c r="G1551">
        <v>-0.1431</v>
      </c>
      <c r="H1551">
        <v>0</v>
      </c>
      <c r="J1551">
        <v>1</v>
      </c>
      <c r="K1551">
        <f>YEAR(NetflixData[[#This Row],[date]])</f>
        <v>2022</v>
      </c>
      <c r="L1551" t="str">
        <f>TEXT(NetflixData[[#This Row],[date]],"mmm")</f>
        <v>Dec</v>
      </c>
      <c r="M1551" t="str">
        <f>TEXT(NetflixData[[#This Row],[date]],"mmm yyyy")</f>
        <v>Dec 2022</v>
      </c>
      <c r="N1551" t="str">
        <f t="shared" si="72"/>
        <v>Non-Trading Day</v>
      </c>
      <c r="O1551" t="str">
        <f t="shared" si="73"/>
        <v>Negative</v>
      </c>
      <c r="P1551" t="str">
        <f t="shared" si="74"/>
        <v>Negative</v>
      </c>
    </row>
    <row r="1552" spans="1:16" x14ac:dyDescent="0.3">
      <c r="A1552" s="1">
        <v>44905</v>
      </c>
      <c r="B1552">
        <v>32</v>
      </c>
      <c r="C1552">
        <v>0</v>
      </c>
      <c r="D1552">
        <v>0</v>
      </c>
      <c r="E1552">
        <v>50</v>
      </c>
      <c r="F1552">
        <v>2.2999999999999998</v>
      </c>
      <c r="G1552">
        <v>0.17369999999999999</v>
      </c>
      <c r="H1552">
        <v>0</v>
      </c>
      <c r="J1552">
        <v>0</v>
      </c>
      <c r="K1552">
        <f>YEAR(NetflixData[[#This Row],[date]])</f>
        <v>2022</v>
      </c>
      <c r="L1552" t="str">
        <f>TEXT(NetflixData[[#This Row],[date]],"mmm")</f>
        <v>Dec</v>
      </c>
      <c r="M1552" t="str">
        <f>TEXT(NetflixData[[#This Row],[date]],"mmm yyyy")</f>
        <v>Dec 2022</v>
      </c>
      <c r="N1552" t="str">
        <f t="shared" si="72"/>
        <v>Non-Trading Day</v>
      </c>
      <c r="O1552" t="str">
        <f t="shared" si="73"/>
        <v>No Change</v>
      </c>
      <c r="P1552" t="str">
        <f t="shared" si="74"/>
        <v>Positive</v>
      </c>
    </row>
    <row r="1553" spans="1:16" x14ac:dyDescent="0.3">
      <c r="A1553" s="1">
        <v>44906</v>
      </c>
      <c r="B1553">
        <v>32</v>
      </c>
      <c r="C1553">
        <v>0</v>
      </c>
      <c r="D1553">
        <v>0</v>
      </c>
      <c r="E1553">
        <v>30</v>
      </c>
      <c r="F1553">
        <v>2.2000000000000002</v>
      </c>
      <c r="G1553">
        <v>2.3400000000000001E-2</v>
      </c>
      <c r="H1553">
        <v>0</v>
      </c>
      <c r="J1553">
        <v>0</v>
      </c>
      <c r="K1553">
        <f>YEAR(NetflixData[[#This Row],[date]])</f>
        <v>2022</v>
      </c>
      <c r="L1553" t="str">
        <f>TEXT(NetflixData[[#This Row],[date]],"mmm")</f>
        <v>Dec</v>
      </c>
      <c r="M1553" t="str">
        <f>TEXT(NetflixData[[#This Row],[date]],"mmm yyyy")</f>
        <v>Dec 2022</v>
      </c>
      <c r="N1553" t="str">
        <f t="shared" si="72"/>
        <v>Trading Day</v>
      </c>
      <c r="O1553" t="str">
        <f t="shared" si="73"/>
        <v>No Change</v>
      </c>
      <c r="P1553" t="str">
        <f t="shared" si="74"/>
        <v>Neutral</v>
      </c>
    </row>
    <row r="1554" spans="1:16" x14ac:dyDescent="0.3">
      <c r="A1554" s="1">
        <v>44907</v>
      </c>
      <c r="B1554">
        <v>31.52</v>
      </c>
      <c r="C1554">
        <v>101486000</v>
      </c>
      <c r="D1554">
        <v>-1.506</v>
      </c>
      <c r="E1554">
        <v>41</v>
      </c>
      <c r="F1554">
        <v>2.1</v>
      </c>
      <c r="G1554">
        <v>-2.06E-2</v>
      </c>
      <c r="H1554">
        <v>0</v>
      </c>
      <c r="J1554">
        <v>1</v>
      </c>
      <c r="K1554">
        <f>YEAR(NetflixData[[#This Row],[date]])</f>
        <v>2022</v>
      </c>
      <c r="L1554" t="str">
        <f>TEXT(NetflixData[[#This Row],[date]],"mmm")</f>
        <v>Dec</v>
      </c>
      <c r="M1554" t="str">
        <f>TEXT(NetflixData[[#This Row],[date]],"mmm yyyy")</f>
        <v>Dec 2022</v>
      </c>
      <c r="N1554" t="str">
        <f t="shared" si="72"/>
        <v>Trading Day</v>
      </c>
      <c r="O1554" t="str">
        <f t="shared" si="73"/>
        <v>Negative</v>
      </c>
      <c r="P1554" t="str">
        <f t="shared" si="74"/>
        <v>Neutral</v>
      </c>
    </row>
    <row r="1555" spans="1:16" x14ac:dyDescent="0.3">
      <c r="A1555" s="1">
        <v>44908</v>
      </c>
      <c r="B1555">
        <v>32.03</v>
      </c>
      <c r="C1555">
        <v>107564000</v>
      </c>
      <c r="D1555">
        <v>-2.335</v>
      </c>
      <c r="E1555">
        <v>43</v>
      </c>
      <c r="F1555">
        <v>1.81</v>
      </c>
      <c r="G1555">
        <v>-8.5400000000000004E-2</v>
      </c>
      <c r="H1555">
        <v>0</v>
      </c>
      <c r="J1555">
        <v>1</v>
      </c>
      <c r="K1555">
        <f>YEAR(NetflixData[[#This Row],[date]])</f>
        <v>2022</v>
      </c>
      <c r="L1555" t="str">
        <f>TEXT(NetflixData[[#This Row],[date]],"mmm")</f>
        <v>Dec</v>
      </c>
      <c r="M1555" t="str">
        <f>TEXT(NetflixData[[#This Row],[date]],"mmm yyyy")</f>
        <v>Dec 2022</v>
      </c>
      <c r="N1555" t="str">
        <f t="shared" si="72"/>
        <v>Trading Day</v>
      </c>
      <c r="O1555" t="str">
        <f t="shared" si="73"/>
        <v>Negative</v>
      </c>
      <c r="P1555" t="str">
        <f t="shared" si="74"/>
        <v>Neutral</v>
      </c>
    </row>
    <row r="1556" spans="1:16" x14ac:dyDescent="0.3">
      <c r="A1556" s="1">
        <v>44909</v>
      </c>
      <c r="B1556">
        <v>31.78</v>
      </c>
      <c r="C1556">
        <v>75433000</v>
      </c>
      <c r="D1556">
        <v>-0.35699999999999998</v>
      </c>
      <c r="E1556">
        <v>45</v>
      </c>
      <c r="F1556">
        <v>2.11</v>
      </c>
      <c r="G1556">
        <v>9.7900000000000001E-2</v>
      </c>
      <c r="H1556">
        <v>0</v>
      </c>
      <c r="J1556">
        <v>1</v>
      </c>
      <c r="K1556">
        <f>YEAR(NetflixData[[#This Row],[date]])</f>
        <v>2022</v>
      </c>
      <c r="L1556" t="str">
        <f>TEXT(NetflixData[[#This Row],[date]],"mmm")</f>
        <v>Dec</v>
      </c>
      <c r="M1556" t="str">
        <f>TEXT(NetflixData[[#This Row],[date]],"mmm yyyy")</f>
        <v>Dec 2022</v>
      </c>
      <c r="N1556" t="str">
        <f t="shared" si="72"/>
        <v>Trading Day</v>
      </c>
      <c r="O1556" t="str">
        <f t="shared" si="73"/>
        <v>Negative</v>
      </c>
      <c r="P1556" t="str">
        <f t="shared" si="74"/>
        <v>Neutral</v>
      </c>
    </row>
    <row r="1557" spans="1:16" x14ac:dyDescent="0.3">
      <c r="A1557" s="1">
        <v>44910</v>
      </c>
      <c r="B1557">
        <v>29.04</v>
      </c>
      <c r="C1557">
        <v>177246000</v>
      </c>
      <c r="D1557">
        <v>-3.8759999999999999</v>
      </c>
      <c r="E1557">
        <v>63</v>
      </c>
      <c r="F1557">
        <v>2.02</v>
      </c>
      <c r="G1557">
        <v>3.7600000000000001E-2</v>
      </c>
      <c r="H1557">
        <v>0</v>
      </c>
      <c r="J1557">
        <v>1</v>
      </c>
      <c r="K1557">
        <f>YEAR(NetflixData[[#This Row],[date]])</f>
        <v>2022</v>
      </c>
      <c r="L1557" t="str">
        <f>TEXT(NetflixData[[#This Row],[date]],"mmm")</f>
        <v>Dec</v>
      </c>
      <c r="M1557" t="str">
        <f>TEXT(NetflixData[[#This Row],[date]],"mmm yyyy")</f>
        <v>Dec 2022</v>
      </c>
      <c r="N1557" t="str">
        <f t="shared" si="72"/>
        <v>Trading Day</v>
      </c>
      <c r="O1557" t="str">
        <f t="shared" si="73"/>
        <v>Negative</v>
      </c>
      <c r="P1557" t="str">
        <f t="shared" si="74"/>
        <v>Neutral</v>
      </c>
    </row>
    <row r="1558" spans="1:16" x14ac:dyDescent="0.3">
      <c r="A1558" s="1">
        <v>44911</v>
      </c>
      <c r="B1558">
        <v>29.07</v>
      </c>
      <c r="C1558">
        <v>140800000</v>
      </c>
      <c r="D1558">
        <v>0.67500000000000004</v>
      </c>
      <c r="E1558">
        <v>47</v>
      </c>
      <c r="F1558">
        <v>2.19</v>
      </c>
      <c r="G1558">
        <v>8.9899999999999994E-2</v>
      </c>
      <c r="H1558">
        <v>0</v>
      </c>
      <c r="J1558">
        <v>1</v>
      </c>
      <c r="K1558">
        <f>YEAR(NetflixData[[#This Row],[date]])</f>
        <v>2022</v>
      </c>
      <c r="L1558" t="str">
        <f>TEXT(NetflixData[[#This Row],[date]],"mmm")</f>
        <v>Dec</v>
      </c>
      <c r="M1558" t="str">
        <f>TEXT(NetflixData[[#This Row],[date]],"mmm yyyy")</f>
        <v>Dec 2022</v>
      </c>
      <c r="N1558" t="str">
        <f t="shared" si="72"/>
        <v>Non-Trading Day</v>
      </c>
      <c r="O1558" t="str">
        <f t="shared" si="73"/>
        <v>Positive</v>
      </c>
      <c r="P1558" t="str">
        <f t="shared" si="74"/>
        <v>Neutral</v>
      </c>
    </row>
    <row r="1559" spans="1:16" x14ac:dyDescent="0.3">
      <c r="A1559" s="1">
        <v>44912</v>
      </c>
      <c r="B1559">
        <v>29.07</v>
      </c>
      <c r="C1559">
        <v>0</v>
      </c>
      <c r="D1559">
        <v>0</v>
      </c>
      <c r="E1559">
        <v>39</v>
      </c>
      <c r="F1559">
        <v>2.38</v>
      </c>
      <c r="G1559">
        <v>6.54E-2</v>
      </c>
      <c r="H1559">
        <v>0</v>
      </c>
      <c r="J1559">
        <v>0</v>
      </c>
      <c r="K1559">
        <f>YEAR(NetflixData[[#This Row],[date]])</f>
        <v>2022</v>
      </c>
      <c r="L1559" t="str">
        <f>TEXT(NetflixData[[#This Row],[date]],"mmm")</f>
        <v>Dec</v>
      </c>
      <c r="M1559" t="str">
        <f>TEXT(NetflixData[[#This Row],[date]],"mmm yyyy")</f>
        <v>Dec 2022</v>
      </c>
      <c r="N1559" t="str">
        <f t="shared" si="72"/>
        <v>Non-Trading Day</v>
      </c>
      <c r="O1559" t="str">
        <f t="shared" si="73"/>
        <v>No Change</v>
      </c>
      <c r="P1559" t="str">
        <f t="shared" si="74"/>
        <v>Neutral</v>
      </c>
    </row>
    <row r="1560" spans="1:16" x14ac:dyDescent="0.3">
      <c r="A1560" s="1">
        <v>44913</v>
      </c>
      <c r="B1560">
        <v>29.07</v>
      </c>
      <c r="C1560">
        <v>0</v>
      </c>
      <c r="D1560">
        <v>0</v>
      </c>
      <c r="E1560">
        <v>37</v>
      </c>
      <c r="F1560">
        <v>2.59</v>
      </c>
      <c r="G1560">
        <v>0.17599999999999999</v>
      </c>
      <c r="H1560">
        <v>0</v>
      </c>
      <c r="J1560">
        <v>0</v>
      </c>
      <c r="K1560">
        <f>YEAR(NetflixData[[#This Row],[date]])</f>
        <v>2022</v>
      </c>
      <c r="L1560" t="str">
        <f>TEXT(NetflixData[[#This Row],[date]],"mmm")</f>
        <v>Dec</v>
      </c>
      <c r="M1560" t="str">
        <f>TEXT(NetflixData[[#This Row],[date]],"mmm yyyy")</f>
        <v>Dec 2022</v>
      </c>
      <c r="N1560" t="str">
        <f t="shared" si="72"/>
        <v>Trading Day</v>
      </c>
      <c r="O1560" t="str">
        <f t="shared" si="73"/>
        <v>No Change</v>
      </c>
      <c r="P1560" t="str">
        <f t="shared" si="74"/>
        <v>Positive</v>
      </c>
    </row>
    <row r="1561" spans="1:16" x14ac:dyDescent="0.3">
      <c r="A1561" s="1">
        <v>44914</v>
      </c>
      <c r="B1561">
        <v>28.83</v>
      </c>
      <c r="C1561">
        <v>61637000</v>
      </c>
      <c r="D1561">
        <v>-0.49399999999999999</v>
      </c>
      <c r="E1561">
        <v>42</v>
      </c>
      <c r="F1561">
        <v>2.62</v>
      </c>
      <c r="G1561">
        <v>0.21049999999999999</v>
      </c>
      <c r="H1561">
        <v>0</v>
      </c>
      <c r="J1561">
        <v>1</v>
      </c>
      <c r="K1561">
        <f>YEAR(NetflixData[[#This Row],[date]])</f>
        <v>2022</v>
      </c>
      <c r="L1561" t="str">
        <f>TEXT(NetflixData[[#This Row],[date]],"mmm")</f>
        <v>Dec</v>
      </c>
      <c r="M1561" t="str">
        <f>TEXT(NetflixData[[#This Row],[date]],"mmm yyyy")</f>
        <v>Dec 2022</v>
      </c>
      <c r="N1561" t="str">
        <f t="shared" si="72"/>
        <v>Trading Day</v>
      </c>
      <c r="O1561" t="str">
        <f t="shared" si="73"/>
        <v>Negative</v>
      </c>
      <c r="P1561" t="str">
        <f t="shared" si="74"/>
        <v>Positive</v>
      </c>
    </row>
    <row r="1562" spans="1:16" x14ac:dyDescent="0.3">
      <c r="A1562" s="1">
        <v>44915</v>
      </c>
      <c r="B1562">
        <v>28.82</v>
      </c>
      <c r="C1562">
        <v>69181000</v>
      </c>
      <c r="D1562">
        <v>2.4710000000000001</v>
      </c>
      <c r="E1562">
        <v>33</v>
      </c>
      <c r="F1562">
        <v>2.09</v>
      </c>
      <c r="G1562">
        <v>5.67E-2</v>
      </c>
      <c r="H1562">
        <v>0</v>
      </c>
      <c r="J1562">
        <v>1</v>
      </c>
      <c r="K1562">
        <f>YEAR(NetflixData[[#This Row],[date]])</f>
        <v>2022</v>
      </c>
      <c r="L1562" t="str">
        <f>TEXT(NetflixData[[#This Row],[date]],"mmm")</f>
        <v>Dec</v>
      </c>
      <c r="M1562" t="str">
        <f>TEXT(NetflixData[[#This Row],[date]],"mmm yyyy")</f>
        <v>Dec 2022</v>
      </c>
      <c r="N1562" t="str">
        <f t="shared" si="72"/>
        <v>Trading Day</v>
      </c>
      <c r="O1562" t="str">
        <f t="shared" si="73"/>
        <v>Positive</v>
      </c>
      <c r="P1562" t="str">
        <f t="shared" si="74"/>
        <v>Neutral</v>
      </c>
    </row>
    <row r="1563" spans="1:16" x14ac:dyDescent="0.3">
      <c r="A1563" s="1">
        <v>44916</v>
      </c>
      <c r="B1563">
        <v>29.8</v>
      </c>
      <c r="C1563">
        <v>63762000</v>
      </c>
      <c r="D1563">
        <v>2.7480000000000002</v>
      </c>
      <c r="E1563">
        <v>34</v>
      </c>
      <c r="F1563">
        <v>2.85</v>
      </c>
      <c r="G1563">
        <v>0.1236</v>
      </c>
      <c r="H1563">
        <v>0</v>
      </c>
      <c r="J1563">
        <v>1</v>
      </c>
      <c r="K1563">
        <f>YEAR(NetflixData[[#This Row],[date]])</f>
        <v>2022</v>
      </c>
      <c r="L1563" t="str">
        <f>TEXT(NetflixData[[#This Row],[date]],"mmm")</f>
        <v>Dec</v>
      </c>
      <c r="M1563" t="str">
        <f>TEXT(NetflixData[[#This Row],[date]],"mmm yyyy")</f>
        <v>Dec 2022</v>
      </c>
      <c r="N1563" t="str">
        <f t="shared" si="72"/>
        <v>Trading Day</v>
      </c>
      <c r="O1563" t="str">
        <f t="shared" si="73"/>
        <v>Positive</v>
      </c>
      <c r="P1563" t="str">
        <f t="shared" si="74"/>
        <v>Positive</v>
      </c>
    </row>
    <row r="1564" spans="1:16" x14ac:dyDescent="0.3">
      <c r="A1564" s="1">
        <v>44917</v>
      </c>
      <c r="B1564">
        <v>29.77</v>
      </c>
      <c r="C1564">
        <v>78562000</v>
      </c>
      <c r="D1564">
        <v>-0.114</v>
      </c>
      <c r="E1564">
        <v>46</v>
      </c>
      <c r="F1564">
        <v>2.54</v>
      </c>
      <c r="G1564">
        <v>0.16339999999999999</v>
      </c>
      <c r="H1564">
        <v>0</v>
      </c>
      <c r="J1564">
        <v>1</v>
      </c>
      <c r="K1564">
        <f>YEAR(NetflixData[[#This Row],[date]])</f>
        <v>2022</v>
      </c>
      <c r="L1564" t="str">
        <f>TEXT(NetflixData[[#This Row],[date]],"mmm")</f>
        <v>Dec</v>
      </c>
      <c r="M1564" t="str">
        <f>TEXT(NetflixData[[#This Row],[date]],"mmm yyyy")</f>
        <v>Dec 2022</v>
      </c>
      <c r="N1564" t="str">
        <f t="shared" si="72"/>
        <v>Trading Day</v>
      </c>
      <c r="O1564" t="str">
        <f t="shared" si="73"/>
        <v>Negative</v>
      </c>
      <c r="P1564" t="str">
        <f t="shared" si="74"/>
        <v>Positive</v>
      </c>
    </row>
    <row r="1565" spans="1:16" x14ac:dyDescent="0.3">
      <c r="A1565" s="1">
        <v>44918</v>
      </c>
      <c r="B1565">
        <v>29.5</v>
      </c>
      <c r="C1565">
        <v>42511000</v>
      </c>
      <c r="D1565">
        <v>-0.41199999999999998</v>
      </c>
      <c r="E1565">
        <v>29</v>
      </c>
      <c r="F1565">
        <v>2.62</v>
      </c>
      <c r="G1565">
        <v>0.1275</v>
      </c>
      <c r="H1565">
        <v>0</v>
      </c>
      <c r="J1565">
        <v>1</v>
      </c>
      <c r="K1565">
        <f>YEAR(NetflixData[[#This Row],[date]])</f>
        <v>2022</v>
      </c>
      <c r="L1565" t="str">
        <f>TEXT(NetflixData[[#This Row],[date]],"mmm")</f>
        <v>Dec</v>
      </c>
      <c r="M1565" t="str">
        <f>TEXT(NetflixData[[#This Row],[date]],"mmm yyyy")</f>
        <v>Dec 2022</v>
      </c>
      <c r="N1565" t="str">
        <f t="shared" si="72"/>
        <v>Non-Trading Day</v>
      </c>
      <c r="O1565" t="str">
        <f t="shared" si="73"/>
        <v>Negative</v>
      </c>
      <c r="P1565" t="str">
        <f t="shared" si="74"/>
        <v>Positive</v>
      </c>
    </row>
    <row r="1566" spans="1:16" x14ac:dyDescent="0.3">
      <c r="A1566" s="1">
        <v>44919</v>
      </c>
      <c r="B1566">
        <v>29.5</v>
      </c>
      <c r="C1566">
        <v>0</v>
      </c>
      <c r="D1566">
        <v>0</v>
      </c>
      <c r="E1566">
        <v>32</v>
      </c>
      <c r="F1566">
        <v>2.38</v>
      </c>
      <c r="G1566">
        <v>7.4099999999999999E-2</v>
      </c>
      <c r="H1566">
        <v>0</v>
      </c>
      <c r="J1566">
        <v>0</v>
      </c>
      <c r="K1566">
        <f>YEAR(NetflixData[[#This Row],[date]])</f>
        <v>2022</v>
      </c>
      <c r="L1566" t="str">
        <f>TEXT(NetflixData[[#This Row],[date]],"mmm")</f>
        <v>Dec</v>
      </c>
      <c r="M1566" t="str">
        <f>TEXT(NetflixData[[#This Row],[date]],"mmm yyyy")</f>
        <v>Dec 2022</v>
      </c>
      <c r="N1566" t="str">
        <f t="shared" si="72"/>
        <v>Non-Trading Day</v>
      </c>
      <c r="O1566" t="str">
        <f t="shared" si="73"/>
        <v>No Change</v>
      </c>
      <c r="P1566" t="str">
        <f t="shared" si="74"/>
        <v>Neutral</v>
      </c>
    </row>
    <row r="1567" spans="1:16" x14ac:dyDescent="0.3">
      <c r="A1567" s="1">
        <v>44920</v>
      </c>
      <c r="B1567">
        <v>29.5</v>
      </c>
      <c r="C1567">
        <v>0</v>
      </c>
      <c r="D1567">
        <v>0</v>
      </c>
      <c r="E1567">
        <v>30</v>
      </c>
      <c r="F1567">
        <v>2.83</v>
      </c>
      <c r="G1567">
        <v>5.8799999999999998E-2</v>
      </c>
      <c r="H1567">
        <v>0</v>
      </c>
      <c r="J1567">
        <v>0</v>
      </c>
      <c r="K1567">
        <f>YEAR(NetflixData[[#This Row],[date]])</f>
        <v>2022</v>
      </c>
      <c r="L1567" t="str">
        <f>TEXT(NetflixData[[#This Row],[date]],"mmm")</f>
        <v>Dec</v>
      </c>
      <c r="M1567" t="str">
        <f>TEXT(NetflixData[[#This Row],[date]],"mmm yyyy")</f>
        <v>Dec 2022</v>
      </c>
      <c r="N1567" t="str">
        <f t="shared" si="72"/>
        <v>Non-Trading Day</v>
      </c>
      <c r="O1567" t="str">
        <f t="shared" si="73"/>
        <v>No Change</v>
      </c>
      <c r="P1567" t="str">
        <f t="shared" si="74"/>
        <v>Neutral</v>
      </c>
    </row>
    <row r="1568" spans="1:16" x14ac:dyDescent="0.3">
      <c r="A1568" s="1">
        <v>44921</v>
      </c>
      <c r="B1568">
        <v>29.5</v>
      </c>
      <c r="C1568">
        <v>0</v>
      </c>
      <c r="D1568">
        <v>0</v>
      </c>
      <c r="E1568">
        <v>26</v>
      </c>
      <c r="F1568">
        <v>2.69</v>
      </c>
      <c r="G1568">
        <v>0.17330000000000001</v>
      </c>
      <c r="H1568">
        <v>0</v>
      </c>
      <c r="J1568">
        <v>0</v>
      </c>
      <c r="K1568">
        <f>YEAR(NetflixData[[#This Row],[date]])</f>
        <v>2022</v>
      </c>
      <c r="L1568" t="str">
        <f>TEXT(NetflixData[[#This Row],[date]],"mmm")</f>
        <v>Dec</v>
      </c>
      <c r="M1568" t="str">
        <f>TEXT(NetflixData[[#This Row],[date]],"mmm yyyy")</f>
        <v>Dec 2022</v>
      </c>
      <c r="N1568" t="str">
        <f t="shared" si="72"/>
        <v>Trading Day</v>
      </c>
      <c r="O1568" t="str">
        <f t="shared" si="73"/>
        <v>No Change</v>
      </c>
      <c r="P1568" t="str">
        <f t="shared" si="74"/>
        <v>Positive</v>
      </c>
    </row>
    <row r="1569" spans="1:16" x14ac:dyDescent="0.3">
      <c r="A1569" s="1">
        <v>44922</v>
      </c>
      <c r="B1569">
        <v>28.42</v>
      </c>
      <c r="C1569">
        <v>57781000</v>
      </c>
      <c r="D1569">
        <v>-3.077</v>
      </c>
      <c r="E1569">
        <v>34</v>
      </c>
      <c r="F1569">
        <v>2.3199999999999998</v>
      </c>
      <c r="G1569">
        <v>1.17E-2</v>
      </c>
      <c r="H1569">
        <v>0</v>
      </c>
      <c r="J1569">
        <v>1</v>
      </c>
      <c r="K1569">
        <f>YEAR(NetflixData[[#This Row],[date]])</f>
        <v>2022</v>
      </c>
      <c r="L1569" t="str">
        <f>TEXT(NetflixData[[#This Row],[date]],"mmm")</f>
        <v>Dec</v>
      </c>
      <c r="M1569" t="str">
        <f>TEXT(NetflixData[[#This Row],[date]],"mmm yyyy")</f>
        <v>Dec 2022</v>
      </c>
      <c r="N1569" t="str">
        <f t="shared" si="72"/>
        <v>Trading Day</v>
      </c>
      <c r="O1569" t="str">
        <f t="shared" si="73"/>
        <v>Negative</v>
      </c>
      <c r="P1569" t="str">
        <f t="shared" si="74"/>
        <v>Neutral</v>
      </c>
    </row>
    <row r="1570" spans="1:16" x14ac:dyDescent="0.3">
      <c r="A1570" s="1">
        <v>44923</v>
      </c>
      <c r="B1570">
        <v>27.69</v>
      </c>
      <c r="C1570">
        <v>59644000</v>
      </c>
      <c r="D1570">
        <v>-1.788</v>
      </c>
      <c r="E1570">
        <v>32</v>
      </c>
      <c r="F1570">
        <v>3.06</v>
      </c>
      <c r="G1570">
        <v>0.13469999999999999</v>
      </c>
      <c r="H1570">
        <v>0</v>
      </c>
      <c r="J1570">
        <v>1</v>
      </c>
      <c r="K1570">
        <f>YEAR(NetflixData[[#This Row],[date]])</f>
        <v>2022</v>
      </c>
      <c r="L1570" t="str">
        <f>TEXT(NetflixData[[#This Row],[date]],"mmm")</f>
        <v>Dec</v>
      </c>
      <c r="M1570" t="str">
        <f>TEXT(NetflixData[[#This Row],[date]],"mmm yyyy")</f>
        <v>Dec 2022</v>
      </c>
      <c r="N1570" t="str">
        <f t="shared" si="72"/>
        <v>Trading Day</v>
      </c>
      <c r="O1570" t="str">
        <f t="shared" si="73"/>
        <v>Negative</v>
      </c>
      <c r="P1570" t="str">
        <f t="shared" si="74"/>
        <v>Positive</v>
      </c>
    </row>
    <row r="1571" spans="1:16" x14ac:dyDescent="0.3">
      <c r="A1571" s="1">
        <v>44924</v>
      </c>
      <c r="B1571">
        <v>29.11</v>
      </c>
      <c r="C1571">
        <v>95885000</v>
      </c>
      <c r="D1571">
        <v>2.8039999999999998</v>
      </c>
      <c r="E1571">
        <v>40</v>
      </c>
      <c r="F1571">
        <v>2.82</v>
      </c>
      <c r="G1571">
        <v>0.18360000000000001</v>
      </c>
      <c r="H1571">
        <v>0</v>
      </c>
      <c r="J1571">
        <v>1</v>
      </c>
      <c r="K1571">
        <f>YEAR(NetflixData[[#This Row],[date]])</f>
        <v>2022</v>
      </c>
      <c r="L1571" t="str">
        <f>TEXT(NetflixData[[#This Row],[date]],"mmm")</f>
        <v>Dec</v>
      </c>
      <c r="M1571" t="str">
        <f>TEXT(NetflixData[[#This Row],[date]],"mmm yyyy")</f>
        <v>Dec 2022</v>
      </c>
      <c r="N1571" t="str">
        <f t="shared" si="72"/>
        <v>Trading Day</v>
      </c>
      <c r="O1571" t="str">
        <f t="shared" si="73"/>
        <v>Positive</v>
      </c>
      <c r="P1571" t="str">
        <f t="shared" si="74"/>
        <v>Positive</v>
      </c>
    </row>
    <row r="1572" spans="1:16" x14ac:dyDescent="0.3">
      <c r="A1572" s="1">
        <v>44925</v>
      </c>
      <c r="B1572">
        <v>29.49</v>
      </c>
      <c r="C1572">
        <v>75669000</v>
      </c>
      <c r="D1572">
        <v>3.2749999999999999</v>
      </c>
      <c r="E1572">
        <v>32</v>
      </c>
      <c r="F1572">
        <v>2.97</v>
      </c>
      <c r="G1572">
        <v>0.28399999999999997</v>
      </c>
      <c r="H1572">
        <v>0</v>
      </c>
      <c r="J1572">
        <v>1</v>
      </c>
      <c r="K1572">
        <f>YEAR(NetflixData[[#This Row],[date]])</f>
        <v>2022</v>
      </c>
      <c r="L1572" t="str">
        <f>TEXT(NetflixData[[#This Row],[date]],"mmm")</f>
        <v>Dec</v>
      </c>
      <c r="M1572" t="str">
        <f>TEXT(NetflixData[[#This Row],[date]],"mmm yyyy")</f>
        <v>Dec 2022</v>
      </c>
      <c r="N1572" t="str">
        <f t="shared" si="72"/>
        <v>Non-Trading Day</v>
      </c>
      <c r="O1572" t="str">
        <f t="shared" si="73"/>
        <v>Positive</v>
      </c>
      <c r="P1572" t="str">
        <f t="shared" si="74"/>
        <v>Positive</v>
      </c>
    </row>
    <row r="1573" spans="1:16" x14ac:dyDescent="0.3">
      <c r="A1573" s="1">
        <v>44926</v>
      </c>
      <c r="B1573">
        <v>29.49</v>
      </c>
      <c r="C1573">
        <v>0</v>
      </c>
      <c r="D1573">
        <v>0</v>
      </c>
      <c r="E1573">
        <v>34</v>
      </c>
      <c r="F1573">
        <v>3.09</v>
      </c>
      <c r="G1573">
        <v>0.2838</v>
      </c>
      <c r="H1573">
        <v>0</v>
      </c>
      <c r="J1573">
        <v>0</v>
      </c>
      <c r="K1573">
        <f>YEAR(NetflixData[[#This Row],[date]])</f>
        <v>2022</v>
      </c>
      <c r="L1573" t="str">
        <f>TEXT(NetflixData[[#This Row],[date]],"mmm")</f>
        <v>Dec</v>
      </c>
      <c r="M1573" t="str">
        <f>TEXT(NetflixData[[#This Row],[date]],"mmm yyyy")</f>
        <v>Dec 2022</v>
      </c>
      <c r="N1573" t="str">
        <f t="shared" si="72"/>
        <v>Non-Trading Day</v>
      </c>
      <c r="O1573" t="str">
        <f t="shared" si="73"/>
        <v>No Change</v>
      </c>
      <c r="P1573" t="str">
        <f t="shared" si="74"/>
        <v>Positive</v>
      </c>
    </row>
    <row r="1574" spans="1:16" x14ac:dyDescent="0.3">
      <c r="A1574" s="1">
        <v>44927</v>
      </c>
      <c r="B1574">
        <v>29.49</v>
      </c>
      <c r="C1574">
        <v>0</v>
      </c>
      <c r="D1574">
        <v>0</v>
      </c>
      <c r="E1574">
        <v>41</v>
      </c>
      <c r="F1574">
        <v>2.12</v>
      </c>
      <c r="G1574">
        <v>-4.8300000000000003E-2</v>
      </c>
      <c r="H1574">
        <v>0</v>
      </c>
      <c r="J1574">
        <v>0</v>
      </c>
      <c r="K1574">
        <f>YEAR(NetflixData[[#This Row],[date]])</f>
        <v>2023</v>
      </c>
      <c r="L1574" t="str">
        <f>TEXT(NetflixData[[#This Row],[date]],"mmm")</f>
        <v>Jan</v>
      </c>
      <c r="M1574" t="str">
        <f>TEXT(NetflixData[[#This Row],[date]],"mmm yyyy")</f>
        <v>Jan 2023</v>
      </c>
      <c r="N1574" t="str">
        <f t="shared" si="72"/>
        <v>Non-Trading Day</v>
      </c>
      <c r="O1574" t="str">
        <f t="shared" si="73"/>
        <v>No Change</v>
      </c>
      <c r="P1574" t="str">
        <f t="shared" si="74"/>
        <v>Neutral</v>
      </c>
    </row>
    <row r="1575" spans="1:16" x14ac:dyDescent="0.3">
      <c r="A1575" s="1">
        <v>44928</v>
      </c>
      <c r="B1575">
        <v>29.49</v>
      </c>
      <c r="C1575">
        <v>0</v>
      </c>
      <c r="D1575">
        <v>0</v>
      </c>
      <c r="E1575">
        <v>28</v>
      </c>
      <c r="F1575">
        <v>2.61</v>
      </c>
      <c r="G1575">
        <v>7.5200000000000003E-2</v>
      </c>
      <c r="H1575">
        <v>0</v>
      </c>
      <c r="J1575">
        <v>0</v>
      </c>
      <c r="K1575">
        <f>YEAR(NetflixData[[#This Row],[date]])</f>
        <v>2023</v>
      </c>
      <c r="L1575" t="str">
        <f>TEXT(NetflixData[[#This Row],[date]],"mmm")</f>
        <v>Jan</v>
      </c>
      <c r="M1575" t="str">
        <f>TEXT(NetflixData[[#This Row],[date]],"mmm yyyy")</f>
        <v>Jan 2023</v>
      </c>
      <c r="N1575" t="str">
        <f t="shared" si="72"/>
        <v>Trading Day</v>
      </c>
      <c r="O1575" t="str">
        <f t="shared" si="73"/>
        <v>No Change</v>
      </c>
      <c r="P1575" t="str">
        <f t="shared" si="74"/>
        <v>Neutral</v>
      </c>
    </row>
    <row r="1576" spans="1:16" x14ac:dyDescent="0.3">
      <c r="A1576" s="1">
        <v>44929</v>
      </c>
      <c r="B1576">
        <v>29.5</v>
      </c>
      <c r="C1576">
        <v>67640000</v>
      </c>
      <c r="D1576">
        <v>-1.0429999999999999</v>
      </c>
      <c r="E1576">
        <v>39</v>
      </c>
      <c r="F1576">
        <v>2.41</v>
      </c>
      <c r="G1576">
        <v>0.25700000000000001</v>
      </c>
      <c r="H1576">
        <v>0</v>
      </c>
      <c r="J1576">
        <v>1</v>
      </c>
      <c r="K1576">
        <f>YEAR(NetflixData[[#This Row],[date]])</f>
        <v>2023</v>
      </c>
      <c r="L1576" t="str">
        <f>TEXT(NetflixData[[#This Row],[date]],"mmm")</f>
        <v>Jan</v>
      </c>
      <c r="M1576" t="str">
        <f>TEXT(NetflixData[[#This Row],[date]],"mmm yyyy")</f>
        <v>Jan 2023</v>
      </c>
      <c r="N1576" t="str">
        <f t="shared" si="72"/>
        <v>Trading Day</v>
      </c>
      <c r="O1576" t="str">
        <f t="shared" si="73"/>
        <v>Negative</v>
      </c>
      <c r="P1576" t="str">
        <f t="shared" si="74"/>
        <v>Positive</v>
      </c>
    </row>
    <row r="1577" spans="1:16" x14ac:dyDescent="0.3">
      <c r="A1577" s="1">
        <v>44930</v>
      </c>
      <c r="B1577">
        <v>30.94</v>
      </c>
      <c r="C1577">
        <v>93451000</v>
      </c>
      <c r="D1577">
        <v>3.7450000000000001</v>
      </c>
      <c r="E1577">
        <v>36</v>
      </c>
      <c r="F1577">
        <v>2.69</v>
      </c>
      <c r="G1577">
        <v>4.87E-2</v>
      </c>
      <c r="H1577">
        <v>0</v>
      </c>
      <c r="J1577">
        <v>1</v>
      </c>
      <c r="K1577">
        <f>YEAR(NetflixData[[#This Row],[date]])</f>
        <v>2023</v>
      </c>
      <c r="L1577" t="str">
        <f>TEXT(NetflixData[[#This Row],[date]],"mmm")</f>
        <v>Jan</v>
      </c>
      <c r="M1577" t="str">
        <f>TEXT(NetflixData[[#This Row],[date]],"mmm yyyy")</f>
        <v>Jan 2023</v>
      </c>
      <c r="N1577" t="str">
        <f t="shared" si="72"/>
        <v>Trading Day</v>
      </c>
      <c r="O1577" t="str">
        <f t="shared" si="73"/>
        <v>Positive</v>
      </c>
      <c r="P1577" t="str">
        <f t="shared" si="74"/>
        <v>Neutral</v>
      </c>
    </row>
    <row r="1578" spans="1:16" x14ac:dyDescent="0.3">
      <c r="A1578" s="1">
        <v>44931</v>
      </c>
      <c r="B1578">
        <v>30.97</v>
      </c>
      <c r="C1578">
        <v>83284000</v>
      </c>
      <c r="D1578">
        <v>0.879</v>
      </c>
      <c r="E1578">
        <v>32</v>
      </c>
      <c r="F1578">
        <v>2.97</v>
      </c>
      <c r="G1578">
        <v>0.2399</v>
      </c>
      <c r="H1578">
        <v>0</v>
      </c>
      <c r="J1578">
        <v>1</v>
      </c>
      <c r="K1578">
        <f>YEAR(NetflixData[[#This Row],[date]])</f>
        <v>2023</v>
      </c>
      <c r="L1578" t="str">
        <f>TEXT(NetflixData[[#This Row],[date]],"mmm")</f>
        <v>Jan</v>
      </c>
      <c r="M1578" t="str">
        <f>TEXT(NetflixData[[#This Row],[date]],"mmm yyyy")</f>
        <v>Jan 2023</v>
      </c>
      <c r="N1578" t="str">
        <f t="shared" si="72"/>
        <v>Trading Day</v>
      </c>
      <c r="O1578" t="str">
        <f t="shared" si="73"/>
        <v>Positive</v>
      </c>
      <c r="P1578" t="str">
        <f t="shared" si="74"/>
        <v>Positive</v>
      </c>
    </row>
    <row r="1579" spans="1:16" x14ac:dyDescent="0.3">
      <c r="A1579" s="1">
        <v>44932</v>
      </c>
      <c r="B1579">
        <v>31.56</v>
      </c>
      <c r="C1579">
        <v>89598000</v>
      </c>
      <c r="D1579">
        <v>1.2769999999999999</v>
      </c>
      <c r="E1579">
        <v>32</v>
      </c>
      <c r="F1579">
        <v>2.5299999999999998</v>
      </c>
      <c r="G1579">
        <v>8.2799999999999999E-2</v>
      </c>
      <c r="H1579">
        <v>0</v>
      </c>
      <c r="J1579">
        <v>1</v>
      </c>
      <c r="K1579">
        <f>YEAR(NetflixData[[#This Row],[date]])</f>
        <v>2023</v>
      </c>
      <c r="L1579" t="str">
        <f>TEXT(NetflixData[[#This Row],[date]],"mmm")</f>
        <v>Jan</v>
      </c>
      <c r="M1579" t="str">
        <f>TEXT(NetflixData[[#This Row],[date]],"mmm yyyy")</f>
        <v>Jan 2023</v>
      </c>
      <c r="N1579" t="str">
        <f t="shared" si="72"/>
        <v>Non-Trading Day</v>
      </c>
      <c r="O1579" t="str">
        <f t="shared" si="73"/>
        <v>Positive</v>
      </c>
      <c r="P1579" t="str">
        <f t="shared" si="74"/>
        <v>Neutral</v>
      </c>
    </row>
    <row r="1580" spans="1:16" x14ac:dyDescent="0.3">
      <c r="A1580" s="1">
        <v>44933</v>
      </c>
      <c r="B1580">
        <v>31.56</v>
      </c>
      <c r="C1580">
        <v>0</v>
      </c>
      <c r="D1580">
        <v>0</v>
      </c>
      <c r="E1580">
        <v>43</v>
      </c>
      <c r="F1580">
        <v>2.0699999999999998</v>
      </c>
      <c r="G1580">
        <v>-6.6299999999999998E-2</v>
      </c>
      <c r="H1580">
        <v>0</v>
      </c>
      <c r="J1580">
        <v>0</v>
      </c>
      <c r="K1580">
        <f>YEAR(NetflixData[[#This Row],[date]])</f>
        <v>2023</v>
      </c>
      <c r="L1580" t="str">
        <f>TEXT(NetflixData[[#This Row],[date]],"mmm")</f>
        <v>Jan</v>
      </c>
      <c r="M1580" t="str">
        <f>TEXT(NetflixData[[#This Row],[date]],"mmm yyyy")</f>
        <v>Jan 2023</v>
      </c>
      <c r="N1580" t="str">
        <f t="shared" si="72"/>
        <v>Non-Trading Day</v>
      </c>
      <c r="O1580" t="str">
        <f t="shared" si="73"/>
        <v>No Change</v>
      </c>
      <c r="P1580" t="str">
        <f t="shared" si="74"/>
        <v>Neutral</v>
      </c>
    </row>
    <row r="1581" spans="1:16" x14ac:dyDescent="0.3">
      <c r="A1581" s="1">
        <v>44934</v>
      </c>
      <c r="B1581">
        <v>31.56</v>
      </c>
      <c r="C1581">
        <v>0</v>
      </c>
      <c r="D1581">
        <v>0</v>
      </c>
      <c r="E1581">
        <v>44</v>
      </c>
      <c r="F1581">
        <v>2.16</v>
      </c>
      <c r="G1581">
        <v>1.7999999999999999E-2</v>
      </c>
      <c r="H1581">
        <v>0</v>
      </c>
      <c r="J1581">
        <v>0</v>
      </c>
      <c r="K1581">
        <f>YEAR(NetflixData[[#This Row],[date]])</f>
        <v>2023</v>
      </c>
      <c r="L1581" t="str">
        <f>TEXT(NetflixData[[#This Row],[date]],"mmm")</f>
        <v>Jan</v>
      </c>
      <c r="M1581" t="str">
        <f>TEXT(NetflixData[[#This Row],[date]],"mmm yyyy")</f>
        <v>Jan 2023</v>
      </c>
      <c r="N1581" t="str">
        <f t="shared" si="72"/>
        <v>Trading Day</v>
      </c>
      <c r="O1581" t="str">
        <f t="shared" si="73"/>
        <v>No Change</v>
      </c>
      <c r="P1581" t="str">
        <f t="shared" si="74"/>
        <v>Neutral</v>
      </c>
    </row>
    <row r="1582" spans="1:16" x14ac:dyDescent="0.3">
      <c r="A1582" s="1">
        <v>44935</v>
      </c>
      <c r="B1582">
        <v>31.52</v>
      </c>
      <c r="C1582">
        <v>67666000</v>
      </c>
      <c r="D1582">
        <v>-0.52400000000000002</v>
      </c>
      <c r="E1582">
        <v>47</v>
      </c>
      <c r="F1582">
        <v>1.87</v>
      </c>
      <c r="G1582">
        <v>5.5999999999999999E-3</v>
      </c>
      <c r="H1582">
        <v>0</v>
      </c>
      <c r="J1582">
        <v>1</v>
      </c>
      <c r="K1582">
        <f>YEAR(NetflixData[[#This Row],[date]])</f>
        <v>2023</v>
      </c>
      <c r="L1582" t="str">
        <f>TEXT(NetflixData[[#This Row],[date]],"mmm")</f>
        <v>Jan</v>
      </c>
      <c r="M1582" t="str">
        <f>TEXT(NetflixData[[#This Row],[date]],"mmm yyyy")</f>
        <v>Jan 2023</v>
      </c>
      <c r="N1582" t="str">
        <f t="shared" si="72"/>
        <v>Trading Day</v>
      </c>
      <c r="O1582" t="str">
        <f t="shared" si="73"/>
        <v>Negative</v>
      </c>
      <c r="P1582" t="str">
        <f t="shared" si="74"/>
        <v>Neutral</v>
      </c>
    </row>
    <row r="1583" spans="1:16" x14ac:dyDescent="0.3">
      <c r="A1583" s="1">
        <v>44936</v>
      </c>
      <c r="B1583">
        <v>32.75</v>
      </c>
      <c r="C1583">
        <v>130723000</v>
      </c>
      <c r="D1583">
        <v>5.2949999999999999</v>
      </c>
      <c r="E1583">
        <v>40</v>
      </c>
      <c r="F1583">
        <v>2.5</v>
      </c>
      <c r="G1583">
        <v>0.1163</v>
      </c>
      <c r="H1583">
        <v>0</v>
      </c>
      <c r="J1583">
        <v>1</v>
      </c>
      <c r="K1583">
        <f>YEAR(NetflixData[[#This Row],[date]])</f>
        <v>2023</v>
      </c>
      <c r="L1583" t="str">
        <f>TEXT(NetflixData[[#This Row],[date]],"mmm")</f>
        <v>Jan</v>
      </c>
      <c r="M1583" t="str">
        <f>TEXT(NetflixData[[#This Row],[date]],"mmm yyyy")</f>
        <v>Jan 2023</v>
      </c>
      <c r="N1583" t="str">
        <f t="shared" si="72"/>
        <v>Trading Day</v>
      </c>
      <c r="O1583" t="str">
        <f t="shared" si="73"/>
        <v>Positive</v>
      </c>
      <c r="P1583" t="str">
        <f t="shared" si="74"/>
        <v>Positive</v>
      </c>
    </row>
    <row r="1584" spans="1:16" x14ac:dyDescent="0.3">
      <c r="A1584" s="1">
        <v>44937</v>
      </c>
      <c r="B1584">
        <v>32.729999999999997</v>
      </c>
      <c r="C1584">
        <v>95797000</v>
      </c>
      <c r="D1584">
        <v>0.23300000000000001</v>
      </c>
      <c r="E1584">
        <v>26</v>
      </c>
      <c r="F1584">
        <v>2.85</v>
      </c>
      <c r="G1584">
        <v>0.18940000000000001</v>
      </c>
      <c r="H1584">
        <v>0</v>
      </c>
      <c r="J1584">
        <v>1</v>
      </c>
      <c r="K1584">
        <f>YEAR(NetflixData[[#This Row],[date]])</f>
        <v>2023</v>
      </c>
      <c r="L1584" t="str">
        <f>TEXT(NetflixData[[#This Row],[date]],"mmm")</f>
        <v>Jan</v>
      </c>
      <c r="M1584" t="str">
        <f>TEXT(NetflixData[[#This Row],[date]],"mmm yyyy")</f>
        <v>Jan 2023</v>
      </c>
      <c r="N1584" t="str">
        <f t="shared" si="72"/>
        <v>Trading Day</v>
      </c>
      <c r="O1584" t="str">
        <f t="shared" si="73"/>
        <v>Positive</v>
      </c>
      <c r="P1584" t="str">
        <f t="shared" si="74"/>
        <v>Positive</v>
      </c>
    </row>
    <row r="1585" spans="1:16" x14ac:dyDescent="0.3">
      <c r="A1585" s="1">
        <v>44938</v>
      </c>
      <c r="B1585">
        <v>33.01</v>
      </c>
      <c r="C1585">
        <v>108562000</v>
      </c>
      <c r="D1585">
        <v>-0.71299999999999997</v>
      </c>
      <c r="E1585">
        <v>30</v>
      </c>
      <c r="F1585">
        <v>1.97</v>
      </c>
      <c r="G1585">
        <v>6.8599999999999994E-2</v>
      </c>
      <c r="H1585">
        <v>0</v>
      </c>
      <c r="J1585">
        <v>1</v>
      </c>
      <c r="K1585">
        <f>YEAR(NetflixData[[#This Row],[date]])</f>
        <v>2023</v>
      </c>
      <c r="L1585" t="str">
        <f>TEXT(NetflixData[[#This Row],[date]],"mmm")</f>
        <v>Jan</v>
      </c>
      <c r="M1585" t="str">
        <f>TEXT(NetflixData[[#This Row],[date]],"mmm yyyy")</f>
        <v>Jan 2023</v>
      </c>
      <c r="N1585" t="str">
        <f t="shared" si="72"/>
        <v>Trading Day</v>
      </c>
      <c r="O1585" t="str">
        <f t="shared" si="73"/>
        <v>Negative</v>
      </c>
      <c r="P1585" t="str">
        <f t="shared" si="74"/>
        <v>Neutral</v>
      </c>
    </row>
    <row r="1586" spans="1:16" x14ac:dyDescent="0.3">
      <c r="A1586" s="1">
        <v>44939</v>
      </c>
      <c r="B1586">
        <v>33.28</v>
      </c>
      <c r="C1586">
        <v>82868000</v>
      </c>
      <c r="D1586">
        <v>0.86399999999999999</v>
      </c>
      <c r="E1586">
        <v>33</v>
      </c>
      <c r="F1586">
        <v>2.2400000000000002</v>
      </c>
      <c r="G1586">
        <v>0.15570000000000001</v>
      </c>
      <c r="H1586">
        <v>0</v>
      </c>
      <c r="J1586">
        <v>1</v>
      </c>
      <c r="K1586">
        <f>YEAR(NetflixData[[#This Row],[date]])</f>
        <v>2023</v>
      </c>
      <c r="L1586" t="str">
        <f>TEXT(NetflixData[[#This Row],[date]],"mmm")</f>
        <v>Jan</v>
      </c>
      <c r="M1586" t="str">
        <f>TEXT(NetflixData[[#This Row],[date]],"mmm yyyy")</f>
        <v>Jan 2023</v>
      </c>
      <c r="N1586" t="str">
        <f t="shared" si="72"/>
        <v>Non-Trading Day</v>
      </c>
      <c r="O1586" t="str">
        <f t="shared" si="73"/>
        <v>Positive</v>
      </c>
      <c r="P1586" t="str">
        <f t="shared" si="74"/>
        <v>Positive</v>
      </c>
    </row>
    <row r="1587" spans="1:16" x14ac:dyDescent="0.3">
      <c r="A1587" s="1">
        <v>44940</v>
      </c>
      <c r="B1587">
        <v>33.28</v>
      </c>
      <c r="C1587">
        <v>0</v>
      </c>
      <c r="D1587">
        <v>0</v>
      </c>
      <c r="E1587">
        <v>42</v>
      </c>
      <c r="F1587">
        <v>2.48</v>
      </c>
      <c r="G1587">
        <v>0.1976</v>
      </c>
      <c r="H1587">
        <v>0</v>
      </c>
      <c r="J1587">
        <v>0</v>
      </c>
      <c r="K1587">
        <f>YEAR(NetflixData[[#This Row],[date]])</f>
        <v>2023</v>
      </c>
      <c r="L1587" t="str">
        <f>TEXT(NetflixData[[#This Row],[date]],"mmm")</f>
        <v>Jan</v>
      </c>
      <c r="M1587" t="str">
        <f>TEXT(NetflixData[[#This Row],[date]],"mmm yyyy")</f>
        <v>Jan 2023</v>
      </c>
      <c r="N1587" t="str">
        <f t="shared" si="72"/>
        <v>Non-Trading Day</v>
      </c>
      <c r="O1587" t="str">
        <f t="shared" si="73"/>
        <v>No Change</v>
      </c>
      <c r="P1587" t="str">
        <f t="shared" si="74"/>
        <v>Positive</v>
      </c>
    </row>
    <row r="1588" spans="1:16" x14ac:dyDescent="0.3">
      <c r="A1588" s="1">
        <v>44941</v>
      </c>
      <c r="B1588">
        <v>33.28</v>
      </c>
      <c r="C1588">
        <v>0</v>
      </c>
      <c r="D1588">
        <v>0</v>
      </c>
      <c r="E1588">
        <v>35</v>
      </c>
      <c r="F1588">
        <v>2</v>
      </c>
      <c r="G1588">
        <v>4.1500000000000002E-2</v>
      </c>
      <c r="H1588">
        <v>0</v>
      </c>
      <c r="J1588">
        <v>0</v>
      </c>
      <c r="K1588">
        <f>YEAR(NetflixData[[#This Row],[date]])</f>
        <v>2023</v>
      </c>
      <c r="L1588" t="str">
        <f>TEXT(NetflixData[[#This Row],[date]],"mmm")</f>
        <v>Jan</v>
      </c>
      <c r="M1588" t="str">
        <f>TEXT(NetflixData[[#This Row],[date]],"mmm yyyy")</f>
        <v>Jan 2023</v>
      </c>
      <c r="N1588" t="str">
        <f t="shared" si="72"/>
        <v>Non-Trading Day</v>
      </c>
      <c r="O1588" t="str">
        <f t="shared" si="73"/>
        <v>No Change</v>
      </c>
      <c r="P1588" t="str">
        <f t="shared" si="74"/>
        <v>Neutral</v>
      </c>
    </row>
    <row r="1589" spans="1:16" x14ac:dyDescent="0.3">
      <c r="A1589" s="1">
        <v>44942</v>
      </c>
      <c r="B1589">
        <v>33.28</v>
      </c>
      <c r="C1589">
        <v>0</v>
      </c>
      <c r="D1589">
        <v>0</v>
      </c>
      <c r="E1589">
        <v>25</v>
      </c>
      <c r="F1589">
        <v>3</v>
      </c>
      <c r="G1589">
        <v>0.46110000000000001</v>
      </c>
      <c r="H1589">
        <v>0</v>
      </c>
      <c r="J1589">
        <v>0</v>
      </c>
      <c r="K1589">
        <f>YEAR(NetflixData[[#This Row],[date]])</f>
        <v>2023</v>
      </c>
      <c r="L1589" t="str">
        <f>TEXT(NetflixData[[#This Row],[date]],"mmm")</f>
        <v>Jan</v>
      </c>
      <c r="M1589" t="str">
        <f>TEXT(NetflixData[[#This Row],[date]],"mmm yyyy")</f>
        <v>Jan 2023</v>
      </c>
      <c r="N1589" t="str">
        <f t="shared" si="72"/>
        <v>Trading Day</v>
      </c>
      <c r="O1589" t="str">
        <f t="shared" si="73"/>
        <v>No Change</v>
      </c>
      <c r="P1589" t="str">
        <f t="shared" si="74"/>
        <v>Positive</v>
      </c>
    </row>
    <row r="1590" spans="1:16" x14ac:dyDescent="0.3">
      <c r="A1590" s="1">
        <v>44943</v>
      </c>
      <c r="B1590">
        <v>32.619999999999997</v>
      </c>
      <c r="C1590">
        <v>92470000</v>
      </c>
      <c r="D1590">
        <v>-1.468</v>
      </c>
      <c r="E1590">
        <v>33</v>
      </c>
      <c r="F1590">
        <v>1.94</v>
      </c>
      <c r="G1590">
        <v>0.1273</v>
      </c>
      <c r="H1590">
        <v>0</v>
      </c>
      <c r="J1590">
        <v>1</v>
      </c>
      <c r="K1590">
        <f>YEAR(NetflixData[[#This Row],[date]])</f>
        <v>2023</v>
      </c>
      <c r="L1590" t="str">
        <f>TEXT(NetflixData[[#This Row],[date]],"mmm")</f>
        <v>Jan</v>
      </c>
      <c r="M1590" t="str">
        <f>TEXT(NetflixData[[#This Row],[date]],"mmm yyyy")</f>
        <v>Jan 2023</v>
      </c>
      <c r="N1590" t="str">
        <f t="shared" si="72"/>
        <v>Trading Day</v>
      </c>
      <c r="O1590" t="str">
        <f t="shared" si="73"/>
        <v>Negative</v>
      </c>
      <c r="P1590" t="str">
        <f t="shared" si="74"/>
        <v>Positive</v>
      </c>
    </row>
    <row r="1591" spans="1:16" x14ac:dyDescent="0.3">
      <c r="A1591" s="1">
        <v>44944</v>
      </c>
      <c r="B1591">
        <v>32.630000000000003</v>
      </c>
      <c r="C1591">
        <v>78141000</v>
      </c>
      <c r="D1591">
        <v>-0.129</v>
      </c>
      <c r="E1591">
        <v>25</v>
      </c>
      <c r="F1591">
        <v>3.24</v>
      </c>
      <c r="G1591">
        <v>0.3165</v>
      </c>
      <c r="H1591">
        <v>0</v>
      </c>
      <c r="J1591">
        <v>1</v>
      </c>
      <c r="K1591">
        <f>YEAR(NetflixData[[#This Row],[date]])</f>
        <v>2023</v>
      </c>
      <c r="L1591" t="str">
        <f>TEXT(NetflixData[[#This Row],[date]],"mmm")</f>
        <v>Jan</v>
      </c>
      <c r="M1591" t="str">
        <f>TEXT(NetflixData[[#This Row],[date]],"mmm yyyy")</f>
        <v>Jan 2023</v>
      </c>
      <c r="N1591" t="str">
        <f t="shared" si="72"/>
        <v>Trading Day</v>
      </c>
      <c r="O1591" t="str">
        <f t="shared" si="73"/>
        <v>Negative</v>
      </c>
      <c r="P1591" t="str">
        <f t="shared" si="74"/>
        <v>Positive</v>
      </c>
    </row>
    <row r="1592" spans="1:16" x14ac:dyDescent="0.3">
      <c r="A1592" s="1">
        <v>44945</v>
      </c>
      <c r="B1592">
        <v>31.58</v>
      </c>
      <c r="C1592">
        <v>180082000</v>
      </c>
      <c r="D1592">
        <v>-2.105</v>
      </c>
      <c r="E1592">
        <v>31</v>
      </c>
      <c r="F1592">
        <v>2.3199999999999998</v>
      </c>
      <c r="G1592">
        <v>4.1799999999999997E-2</v>
      </c>
      <c r="H1592">
        <v>0</v>
      </c>
      <c r="J1592">
        <v>1</v>
      </c>
      <c r="K1592">
        <f>YEAR(NetflixData[[#This Row],[date]])</f>
        <v>2023</v>
      </c>
      <c r="L1592" t="str">
        <f>TEXT(NetflixData[[#This Row],[date]],"mmm")</f>
        <v>Jan</v>
      </c>
      <c r="M1592" t="str">
        <f>TEXT(NetflixData[[#This Row],[date]],"mmm yyyy")</f>
        <v>Jan 2023</v>
      </c>
      <c r="N1592" t="str">
        <f t="shared" si="72"/>
        <v>Trading Day</v>
      </c>
      <c r="O1592" t="str">
        <f t="shared" si="73"/>
        <v>Negative</v>
      </c>
      <c r="P1592" t="str">
        <f t="shared" si="74"/>
        <v>Neutral</v>
      </c>
    </row>
    <row r="1593" spans="1:16" x14ac:dyDescent="0.3">
      <c r="A1593" s="1">
        <v>44946</v>
      </c>
      <c r="B1593">
        <v>34.25</v>
      </c>
      <c r="C1593">
        <v>284303000</v>
      </c>
      <c r="D1593">
        <v>1.6950000000000001</v>
      </c>
      <c r="E1593">
        <v>26</v>
      </c>
      <c r="F1593">
        <v>2.5</v>
      </c>
      <c r="G1593">
        <v>0.128</v>
      </c>
      <c r="H1593">
        <v>0</v>
      </c>
      <c r="J1593">
        <v>1</v>
      </c>
      <c r="K1593">
        <f>YEAR(NetflixData[[#This Row],[date]])</f>
        <v>2023</v>
      </c>
      <c r="L1593" t="str">
        <f>TEXT(NetflixData[[#This Row],[date]],"mmm")</f>
        <v>Jan</v>
      </c>
      <c r="M1593" t="str">
        <f>TEXT(NetflixData[[#This Row],[date]],"mmm yyyy")</f>
        <v>Jan 2023</v>
      </c>
      <c r="N1593" t="str">
        <f t="shared" si="72"/>
        <v>Non-Trading Day</v>
      </c>
      <c r="O1593" t="str">
        <f t="shared" si="73"/>
        <v>Positive</v>
      </c>
      <c r="P1593" t="str">
        <f t="shared" si="74"/>
        <v>Positive</v>
      </c>
    </row>
    <row r="1594" spans="1:16" x14ac:dyDescent="0.3">
      <c r="A1594" s="1">
        <v>44947</v>
      </c>
      <c r="B1594">
        <v>34.25</v>
      </c>
      <c r="C1594">
        <v>0</v>
      </c>
      <c r="D1594">
        <v>0</v>
      </c>
      <c r="E1594">
        <v>25</v>
      </c>
      <c r="F1594">
        <v>2.52</v>
      </c>
      <c r="G1594">
        <v>0.26740000000000003</v>
      </c>
      <c r="H1594">
        <v>0</v>
      </c>
      <c r="J1594">
        <v>0</v>
      </c>
      <c r="K1594">
        <f>YEAR(NetflixData[[#This Row],[date]])</f>
        <v>2023</v>
      </c>
      <c r="L1594" t="str">
        <f>TEXT(NetflixData[[#This Row],[date]],"mmm")</f>
        <v>Jan</v>
      </c>
      <c r="M1594" t="str">
        <f>TEXT(NetflixData[[#This Row],[date]],"mmm yyyy")</f>
        <v>Jan 2023</v>
      </c>
      <c r="N1594" t="str">
        <f t="shared" si="72"/>
        <v>Non-Trading Day</v>
      </c>
      <c r="O1594" t="str">
        <f t="shared" si="73"/>
        <v>No Change</v>
      </c>
      <c r="P1594" t="str">
        <f t="shared" si="74"/>
        <v>Positive</v>
      </c>
    </row>
    <row r="1595" spans="1:16" x14ac:dyDescent="0.3">
      <c r="A1595" s="1">
        <v>44948</v>
      </c>
      <c r="B1595">
        <v>34.25</v>
      </c>
      <c r="C1595">
        <v>0</v>
      </c>
      <c r="D1595">
        <v>0</v>
      </c>
      <c r="E1595">
        <v>39</v>
      </c>
      <c r="F1595">
        <v>2.2599999999999998</v>
      </c>
      <c r="G1595">
        <v>-6.1800000000000001E-2</v>
      </c>
      <c r="H1595">
        <v>0</v>
      </c>
      <c r="J1595">
        <v>0</v>
      </c>
      <c r="K1595">
        <f>YEAR(NetflixData[[#This Row],[date]])</f>
        <v>2023</v>
      </c>
      <c r="L1595" t="str">
        <f>TEXT(NetflixData[[#This Row],[date]],"mmm")</f>
        <v>Jan</v>
      </c>
      <c r="M1595" t="str">
        <f>TEXT(NetflixData[[#This Row],[date]],"mmm yyyy")</f>
        <v>Jan 2023</v>
      </c>
      <c r="N1595" t="str">
        <f t="shared" si="72"/>
        <v>Trading Day</v>
      </c>
      <c r="O1595" t="str">
        <f t="shared" si="73"/>
        <v>No Change</v>
      </c>
      <c r="P1595" t="str">
        <f t="shared" si="74"/>
        <v>Neutral</v>
      </c>
    </row>
    <row r="1596" spans="1:16" x14ac:dyDescent="0.3">
      <c r="A1596" s="1">
        <v>44949</v>
      </c>
      <c r="B1596">
        <v>35.74</v>
      </c>
      <c r="C1596">
        <v>156469000</v>
      </c>
      <c r="D1596">
        <v>4.5940000000000003</v>
      </c>
      <c r="E1596">
        <v>27</v>
      </c>
      <c r="F1596">
        <v>2.74</v>
      </c>
      <c r="G1596">
        <v>-3.4700000000000002E-2</v>
      </c>
      <c r="H1596">
        <v>0</v>
      </c>
      <c r="J1596">
        <v>1</v>
      </c>
      <c r="K1596">
        <f>YEAR(NetflixData[[#This Row],[date]])</f>
        <v>2023</v>
      </c>
      <c r="L1596" t="str">
        <f>TEXT(NetflixData[[#This Row],[date]],"mmm")</f>
        <v>Jan</v>
      </c>
      <c r="M1596" t="str">
        <f>TEXT(NetflixData[[#This Row],[date]],"mmm yyyy")</f>
        <v>Jan 2023</v>
      </c>
      <c r="N1596" t="str">
        <f t="shared" si="72"/>
        <v>Trading Day</v>
      </c>
      <c r="O1596" t="str">
        <f t="shared" si="73"/>
        <v>Positive</v>
      </c>
      <c r="P1596" t="str">
        <f t="shared" si="74"/>
        <v>Neutral</v>
      </c>
    </row>
    <row r="1597" spans="1:16" x14ac:dyDescent="0.3">
      <c r="A1597" s="1">
        <v>44950</v>
      </c>
      <c r="B1597">
        <v>36.380000000000003</v>
      </c>
      <c r="C1597">
        <v>117965000</v>
      </c>
      <c r="D1597">
        <v>1.762</v>
      </c>
      <c r="E1597">
        <v>32</v>
      </c>
      <c r="F1597">
        <v>2.69</v>
      </c>
      <c r="G1597">
        <v>8.2299999999999998E-2</v>
      </c>
      <c r="H1597">
        <v>0</v>
      </c>
      <c r="J1597">
        <v>1</v>
      </c>
      <c r="K1597">
        <f>YEAR(NetflixData[[#This Row],[date]])</f>
        <v>2023</v>
      </c>
      <c r="L1597" t="str">
        <f>TEXT(NetflixData[[#This Row],[date]],"mmm")</f>
        <v>Jan</v>
      </c>
      <c r="M1597" t="str">
        <f>TEXT(NetflixData[[#This Row],[date]],"mmm yyyy")</f>
        <v>Jan 2023</v>
      </c>
      <c r="N1597" t="str">
        <f t="shared" si="72"/>
        <v>Trading Day</v>
      </c>
      <c r="O1597" t="str">
        <f t="shared" si="73"/>
        <v>Positive</v>
      </c>
      <c r="P1597" t="str">
        <f t="shared" si="74"/>
        <v>Neutral</v>
      </c>
    </row>
    <row r="1598" spans="1:16" x14ac:dyDescent="0.3">
      <c r="A1598" s="1">
        <v>44951</v>
      </c>
      <c r="B1598">
        <v>36.799999999999997</v>
      </c>
      <c r="C1598">
        <v>77669000</v>
      </c>
      <c r="D1598">
        <v>2.0499999999999998</v>
      </c>
      <c r="E1598">
        <v>37</v>
      </c>
      <c r="F1598">
        <v>2.84</v>
      </c>
      <c r="G1598">
        <v>0.2757</v>
      </c>
      <c r="H1598">
        <v>0</v>
      </c>
      <c r="J1598">
        <v>1</v>
      </c>
      <c r="K1598">
        <f>YEAR(NetflixData[[#This Row],[date]])</f>
        <v>2023</v>
      </c>
      <c r="L1598" t="str">
        <f>TEXT(NetflixData[[#This Row],[date]],"mmm")</f>
        <v>Jan</v>
      </c>
      <c r="M1598" t="str">
        <f>TEXT(NetflixData[[#This Row],[date]],"mmm yyyy")</f>
        <v>Jan 2023</v>
      </c>
      <c r="N1598" t="str">
        <f t="shared" si="72"/>
        <v>Trading Day</v>
      </c>
      <c r="O1598" t="str">
        <f t="shared" si="73"/>
        <v>Positive</v>
      </c>
      <c r="P1598" t="str">
        <f t="shared" si="74"/>
        <v>Positive</v>
      </c>
    </row>
    <row r="1599" spans="1:16" x14ac:dyDescent="0.3">
      <c r="A1599" s="1">
        <v>44952</v>
      </c>
      <c r="B1599">
        <v>36.49</v>
      </c>
      <c r="C1599">
        <v>82568000</v>
      </c>
      <c r="D1599">
        <v>-1.0580000000000001</v>
      </c>
      <c r="E1599">
        <v>25</v>
      </c>
      <c r="F1599">
        <v>2.48</v>
      </c>
      <c r="G1599">
        <v>0.2329</v>
      </c>
      <c r="H1599">
        <v>0</v>
      </c>
      <c r="J1599">
        <v>1</v>
      </c>
      <c r="K1599">
        <f>YEAR(NetflixData[[#This Row],[date]])</f>
        <v>2023</v>
      </c>
      <c r="L1599" t="str">
        <f>TEXT(NetflixData[[#This Row],[date]],"mmm")</f>
        <v>Jan</v>
      </c>
      <c r="M1599" t="str">
        <f>TEXT(NetflixData[[#This Row],[date]],"mmm yyyy")</f>
        <v>Jan 2023</v>
      </c>
      <c r="N1599" t="str">
        <f t="shared" si="72"/>
        <v>Trading Day</v>
      </c>
      <c r="O1599" t="str">
        <f t="shared" si="73"/>
        <v>Negative</v>
      </c>
      <c r="P1599" t="str">
        <f t="shared" si="74"/>
        <v>Positive</v>
      </c>
    </row>
    <row r="1600" spans="1:16" x14ac:dyDescent="0.3">
      <c r="A1600" s="1">
        <v>44953</v>
      </c>
      <c r="B1600">
        <v>36.08</v>
      </c>
      <c r="C1600">
        <v>67035000</v>
      </c>
      <c r="D1600">
        <v>-0.66900000000000004</v>
      </c>
      <c r="E1600">
        <v>33</v>
      </c>
      <c r="F1600">
        <v>2.09</v>
      </c>
      <c r="G1600">
        <v>-4.2900000000000001E-2</v>
      </c>
      <c r="H1600">
        <v>0</v>
      </c>
      <c r="J1600">
        <v>1</v>
      </c>
      <c r="K1600">
        <f>YEAR(NetflixData[[#This Row],[date]])</f>
        <v>2023</v>
      </c>
      <c r="L1600" t="str">
        <f>TEXT(NetflixData[[#This Row],[date]],"mmm")</f>
        <v>Jan</v>
      </c>
      <c r="M1600" t="str">
        <f>TEXT(NetflixData[[#This Row],[date]],"mmm yyyy")</f>
        <v>Jan 2023</v>
      </c>
      <c r="N1600" t="str">
        <f t="shared" si="72"/>
        <v>Non-Trading Day</v>
      </c>
      <c r="O1600" t="str">
        <f t="shared" si="73"/>
        <v>Negative</v>
      </c>
      <c r="P1600" t="str">
        <f t="shared" si="74"/>
        <v>Neutral</v>
      </c>
    </row>
    <row r="1601" spans="1:16" x14ac:dyDescent="0.3">
      <c r="A1601" s="1">
        <v>44954</v>
      </c>
      <c r="B1601">
        <v>36.08</v>
      </c>
      <c r="C1601">
        <v>0</v>
      </c>
      <c r="D1601">
        <v>0</v>
      </c>
      <c r="E1601">
        <v>37</v>
      </c>
      <c r="F1601">
        <v>2.16</v>
      </c>
      <c r="G1601">
        <v>0.1135</v>
      </c>
      <c r="H1601">
        <v>0</v>
      </c>
      <c r="J1601">
        <v>0</v>
      </c>
      <c r="K1601">
        <f>YEAR(NetflixData[[#This Row],[date]])</f>
        <v>2023</v>
      </c>
      <c r="L1601" t="str">
        <f>TEXT(NetflixData[[#This Row],[date]],"mmm")</f>
        <v>Jan</v>
      </c>
      <c r="M1601" t="str">
        <f>TEXT(NetflixData[[#This Row],[date]],"mmm yyyy")</f>
        <v>Jan 2023</v>
      </c>
      <c r="N1601" t="str">
        <f t="shared" si="72"/>
        <v>Non-Trading Day</v>
      </c>
      <c r="O1601" t="str">
        <f t="shared" si="73"/>
        <v>No Change</v>
      </c>
      <c r="P1601" t="str">
        <f t="shared" si="74"/>
        <v>Positive</v>
      </c>
    </row>
    <row r="1602" spans="1:16" x14ac:dyDescent="0.3">
      <c r="A1602" s="1">
        <v>44955</v>
      </c>
      <c r="B1602">
        <v>36.08</v>
      </c>
      <c r="C1602">
        <v>0</v>
      </c>
      <c r="D1602">
        <v>0</v>
      </c>
      <c r="E1602">
        <v>28</v>
      </c>
      <c r="F1602">
        <v>2.61</v>
      </c>
      <c r="G1602">
        <v>0.153</v>
      </c>
      <c r="H1602">
        <v>0</v>
      </c>
      <c r="J1602">
        <v>0</v>
      </c>
      <c r="K1602">
        <f>YEAR(NetflixData[[#This Row],[date]])</f>
        <v>2023</v>
      </c>
      <c r="L1602" t="str">
        <f>TEXT(NetflixData[[#This Row],[date]],"mmm")</f>
        <v>Jan</v>
      </c>
      <c r="M1602" t="str">
        <f>TEXT(NetflixData[[#This Row],[date]],"mmm yyyy")</f>
        <v>Jan 2023</v>
      </c>
      <c r="N1602" t="str">
        <f t="shared" ref="N1602:N1665" si="75">IF(J1603=1,"Trading Day","Non-Trading Day")</f>
        <v>Trading Day</v>
      </c>
      <c r="O1602" t="str">
        <f t="shared" ref="O1602:O1665" si="76">IF(D1602&gt;0,"Positive",IF(D1602&lt;0,"Negative","No Change"))</f>
        <v>No Change</v>
      </c>
      <c r="P1602" t="str">
        <f t="shared" ref="P1602:P1665" si="77">IF(G1602&gt;0.1,"Positive",IF(G1602&lt;-0.1,"Negative","Neutral"))</f>
        <v>Positive</v>
      </c>
    </row>
    <row r="1603" spans="1:16" x14ac:dyDescent="0.3">
      <c r="A1603" s="1">
        <v>44956</v>
      </c>
      <c r="B1603">
        <v>35.31</v>
      </c>
      <c r="C1603">
        <v>51276000</v>
      </c>
      <c r="D1603">
        <v>-1.4870000000000001</v>
      </c>
      <c r="E1603">
        <v>26</v>
      </c>
      <c r="F1603">
        <v>2.46</v>
      </c>
      <c r="G1603">
        <v>0.15720000000000001</v>
      </c>
      <c r="H1603">
        <v>0</v>
      </c>
      <c r="J1603">
        <v>1</v>
      </c>
      <c r="K1603">
        <f>YEAR(NetflixData[[#This Row],[date]])</f>
        <v>2023</v>
      </c>
      <c r="L1603" t="str">
        <f>TEXT(NetflixData[[#This Row],[date]],"mmm")</f>
        <v>Jan</v>
      </c>
      <c r="M1603" t="str">
        <f>TEXT(NetflixData[[#This Row],[date]],"mmm yyyy")</f>
        <v>Jan 2023</v>
      </c>
      <c r="N1603" t="str">
        <f t="shared" si="75"/>
        <v>Trading Day</v>
      </c>
      <c r="O1603" t="str">
        <f t="shared" si="76"/>
        <v>Negative</v>
      </c>
      <c r="P1603" t="str">
        <f t="shared" si="77"/>
        <v>Positive</v>
      </c>
    </row>
    <row r="1604" spans="1:16" x14ac:dyDescent="0.3">
      <c r="A1604" s="1">
        <v>44957</v>
      </c>
      <c r="B1604">
        <v>35.39</v>
      </c>
      <c r="C1604">
        <v>56607000</v>
      </c>
      <c r="D1604">
        <v>1.109</v>
      </c>
      <c r="E1604">
        <v>27</v>
      </c>
      <c r="F1604">
        <v>2.96</v>
      </c>
      <c r="G1604">
        <v>5.8299999999999998E-2</v>
      </c>
      <c r="H1604">
        <v>0</v>
      </c>
      <c r="J1604">
        <v>1</v>
      </c>
      <c r="K1604">
        <f>YEAR(NetflixData[[#This Row],[date]])</f>
        <v>2023</v>
      </c>
      <c r="L1604" t="str">
        <f>TEXT(NetflixData[[#This Row],[date]],"mmm")</f>
        <v>Jan</v>
      </c>
      <c r="M1604" t="str">
        <f>TEXT(NetflixData[[#This Row],[date]],"mmm yyyy")</f>
        <v>Jan 2023</v>
      </c>
      <c r="N1604" t="str">
        <f t="shared" si="75"/>
        <v>Trading Day</v>
      </c>
      <c r="O1604" t="str">
        <f t="shared" si="76"/>
        <v>Positive</v>
      </c>
      <c r="P1604" t="str">
        <f t="shared" si="77"/>
        <v>Neutral</v>
      </c>
    </row>
    <row r="1605" spans="1:16" x14ac:dyDescent="0.3">
      <c r="A1605" s="1">
        <v>44958</v>
      </c>
      <c r="B1605">
        <v>36.200000000000003</v>
      </c>
      <c r="C1605">
        <v>80052000</v>
      </c>
      <c r="D1605">
        <v>2.298</v>
      </c>
      <c r="E1605">
        <v>45</v>
      </c>
      <c r="F1605">
        <v>2.02</v>
      </c>
      <c r="G1605">
        <v>8.4000000000000005E-2</v>
      </c>
      <c r="H1605">
        <v>0</v>
      </c>
      <c r="J1605">
        <v>1</v>
      </c>
      <c r="K1605">
        <f>YEAR(NetflixData[[#This Row],[date]])</f>
        <v>2023</v>
      </c>
      <c r="L1605" t="str">
        <f>TEXT(NetflixData[[#This Row],[date]],"mmm")</f>
        <v>Feb</v>
      </c>
      <c r="M1605" t="str">
        <f>TEXT(NetflixData[[#This Row],[date]],"mmm yyyy")</f>
        <v>Feb 2023</v>
      </c>
      <c r="N1605" t="str">
        <f t="shared" si="75"/>
        <v>Trading Day</v>
      </c>
      <c r="O1605" t="str">
        <f t="shared" si="76"/>
        <v>Positive</v>
      </c>
      <c r="P1605" t="str">
        <f t="shared" si="77"/>
        <v>Neutral</v>
      </c>
    </row>
    <row r="1606" spans="1:16" x14ac:dyDescent="0.3">
      <c r="A1606" s="1">
        <v>44959</v>
      </c>
      <c r="B1606">
        <v>36.69</v>
      </c>
      <c r="C1606">
        <v>78570000</v>
      </c>
      <c r="D1606">
        <v>0.47399999999999998</v>
      </c>
      <c r="E1606">
        <v>64</v>
      </c>
      <c r="F1606">
        <v>1.78</v>
      </c>
      <c r="G1606">
        <v>-1.4800000000000001E-2</v>
      </c>
      <c r="H1606">
        <v>0</v>
      </c>
      <c r="J1606">
        <v>1</v>
      </c>
      <c r="K1606">
        <f>YEAR(NetflixData[[#This Row],[date]])</f>
        <v>2023</v>
      </c>
      <c r="L1606" t="str">
        <f>TEXT(NetflixData[[#This Row],[date]],"mmm")</f>
        <v>Feb</v>
      </c>
      <c r="M1606" t="str">
        <f>TEXT(NetflixData[[#This Row],[date]],"mmm yyyy")</f>
        <v>Feb 2023</v>
      </c>
      <c r="N1606" t="str">
        <f t="shared" si="75"/>
        <v>Trading Day</v>
      </c>
      <c r="O1606" t="str">
        <f t="shared" si="76"/>
        <v>Positive</v>
      </c>
      <c r="P1606" t="str">
        <f t="shared" si="77"/>
        <v>Neutral</v>
      </c>
    </row>
    <row r="1607" spans="1:16" x14ac:dyDescent="0.3">
      <c r="A1607" s="1">
        <v>44960</v>
      </c>
      <c r="B1607">
        <v>36.590000000000003</v>
      </c>
      <c r="C1607">
        <v>94020000</v>
      </c>
      <c r="D1607">
        <v>1.899</v>
      </c>
      <c r="E1607">
        <v>68</v>
      </c>
      <c r="F1607">
        <v>1.65</v>
      </c>
      <c r="G1607">
        <v>0.17180000000000001</v>
      </c>
      <c r="H1607">
        <v>0</v>
      </c>
      <c r="J1607">
        <v>1</v>
      </c>
      <c r="K1607">
        <f>YEAR(NetflixData[[#This Row],[date]])</f>
        <v>2023</v>
      </c>
      <c r="L1607" t="str">
        <f>TEXT(NetflixData[[#This Row],[date]],"mmm")</f>
        <v>Feb</v>
      </c>
      <c r="M1607" t="str">
        <f>TEXT(NetflixData[[#This Row],[date]],"mmm yyyy")</f>
        <v>Feb 2023</v>
      </c>
      <c r="N1607" t="str">
        <f t="shared" si="75"/>
        <v>Non-Trading Day</v>
      </c>
      <c r="O1607" t="str">
        <f t="shared" si="76"/>
        <v>Positive</v>
      </c>
      <c r="P1607" t="str">
        <f t="shared" si="77"/>
        <v>Positive</v>
      </c>
    </row>
    <row r="1608" spans="1:16" x14ac:dyDescent="0.3">
      <c r="A1608" s="1">
        <v>44961</v>
      </c>
      <c r="B1608">
        <v>36.590000000000003</v>
      </c>
      <c r="C1608">
        <v>0</v>
      </c>
      <c r="D1608">
        <v>0</v>
      </c>
      <c r="E1608">
        <v>28</v>
      </c>
      <c r="F1608">
        <v>2.1800000000000002</v>
      </c>
      <c r="G1608">
        <v>0.1363</v>
      </c>
      <c r="H1608">
        <v>0</v>
      </c>
      <c r="J1608">
        <v>0</v>
      </c>
      <c r="K1608">
        <f>YEAR(NetflixData[[#This Row],[date]])</f>
        <v>2023</v>
      </c>
      <c r="L1608" t="str">
        <f>TEXT(NetflixData[[#This Row],[date]],"mmm")</f>
        <v>Feb</v>
      </c>
      <c r="M1608" t="str">
        <f>TEXT(NetflixData[[#This Row],[date]],"mmm yyyy")</f>
        <v>Feb 2023</v>
      </c>
      <c r="N1608" t="str">
        <f t="shared" si="75"/>
        <v>Non-Trading Day</v>
      </c>
      <c r="O1608" t="str">
        <f t="shared" si="76"/>
        <v>No Change</v>
      </c>
      <c r="P1608" t="str">
        <f t="shared" si="77"/>
        <v>Positive</v>
      </c>
    </row>
    <row r="1609" spans="1:16" x14ac:dyDescent="0.3">
      <c r="A1609" s="1">
        <v>44962</v>
      </c>
      <c r="B1609">
        <v>36.590000000000003</v>
      </c>
      <c r="C1609">
        <v>0</v>
      </c>
      <c r="D1609">
        <v>0</v>
      </c>
      <c r="E1609">
        <v>43</v>
      </c>
      <c r="F1609">
        <v>2.33</v>
      </c>
      <c r="G1609">
        <v>0.20430000000000001</v>
      </c>
      <c r="H1609">
        <v>0</v>
      </c>
      <c r="J1609">
        <v>0</v>
      </c>
      <c r="K1609">
        <f>YEAR(NetflixData[[#This Row],[date]])</f>
        <v>2023</v>
      </c>
      <c r="L1609" t="str">
        <f>TEXT(NetflixData[[#This Row],[date]],"mmm")</f>
        <v>Feb</v>
      </c>
      <c r="M1609" t="str">
        <f>TEXT(NetflixData[[#This Row],[date]],"mmm yyyy")</f>
        <v>Feb 2023</v>
      </c>
      <c r="N1609" t="str">
        <f t="shared" si="75"/>
        <v>Trading Day</v>
      </c>
      <c r="O1609" t="str">
        <f t="shared" si="76"/>
        <v>No Change</v>
      </c>
      <c r="P1609" t="str">
        <f t="shared" si="77"/>
        <v>Positive</v>
      </c>
    </row>
    <row r="1610" spans="1:16" x14ac:dyDescent="0.3">
      <c r="A1610" s="1">
        <v>44963</v>
      </c>
      <c r="B1610">
        <v>36.15</v>
      </c>
      <c r="C1610">
        <v>49949000</v>
      </c>
      <c r="D1610">
        <v>-0.59399999999999997</v>
      </c>
      <c r="E1610">
        <v>19</v>
      </c>
      <c r="F1610">
        <v>2.2599999999999998</v>
      </c>
      <c r="G1610">
        <v>-0.16209999999999999</v>
      </c>
      <c r="H1610">
        <v>0</v>
      </c>
      <c r="J1610">
        <v>1</v>
      </c>
      <c r="K1610">
        <f>YEAR(NetflixData[[#This Row],[date]])</f>
        <v>2023</v>
      </c>
      <c r="L1610" t="str">
        <f>TEXT(NetflixData[[#This Row],[date]],"mmm")</f>
        <v>Feb</v>
      </c>
      <c r="M1610" t="str">
        <f>TEXT(NetflixData[[#This Row],[date]],"mmm yyyy")</f>
        <v>Feb 2023</v>
      </c>
      <c r="N1610" t="str">
        <f t="shared" si="75"/>
        <v>Trading Day</v>
      </c>
      <c r="O1610" t="str">
        <f t="shared" si="76"/>
        <v>Negative</v>
      </c>
      <c r="P1610" t="str">
        <f t="shared" si="77"/>
        <v>Negative</v>
      </c>
    </row>
    <row r="1611" spans="1:16" x14ac:dyDescent="0.3">
      <c r="A1611" s="1">
        <v>44964</v>
      </c>
      <c r="B1611">
        <v>36.29</v>
      </c>
      <c r="C1611">
        <v>62894000</v>
      </c>
      <c r="D1611">
        <v>1.238</v>
      </c>
      <c r="E1611">
        <v>29</v>
      </c>
      <c r="F1611">
        <v>2.34</v>
      </c>
      <c r="G1611">
        <v>0.18160000000000001</v>
      </c>
      <c r="H1611">
        <v>0</v>
      </c>
      <c r="J1611">
        <v>1</v>
      </c>
      <c r="K1611">
        <f>YEAR(NetflixData[[#This Row],[date]])</f>
        <v>2023</v>
      </c>
      <c r="L1611" t="str">
        <f>TEXT(NetflixData[[#This Row],[date]],"mmm")</f>
        <v>Feb</v>
      </c>
      <c r="M1611" t="str">
        <f>TEXT(NetflixData[[#This Row],[date]],"mmm yyyy")</f>
        <v>Feb 2023</v>
      </c>
      <c r="N1611" t="str">
        <f t="shared" si="75"/>
        <v>Trading Day</v>
      </c>
      <c r="O1611" t="str">
        <f t="shared" si="76"/>
        <v>Positive</v>
      </c>
      <c r="P1611" t="str">
        <f t="shared" si="77"/>
        <v>Positive</v>
      </c>
    </row>
    <row r="1612" spans="1:16" x14ac:dyDescent="0.3">
      <c r="A1612" s="1">
        <v>44965</v>
      </c>
      <c r="B1612">
        <v>36.68</v>
      </c>
      <c r="C1612">
        <v>62532000</v>
      </c>
      <c r="D1612">
        <v>1.8919999999999999</v>
      </c>
      <c r="E1612">
        <v>34</v>
      </c>
      <c r="F1612">
        <v>2.09</v>
      </c>
      <c r="G1612">
        <v>-9.2700000000000005E-2</v>
      </c>
      <c r="H1612">
        <v>0</v>
      </c>
      <c r="J1612">
        <v>1</v>
      </c>
      <c r="K1612">
        <f>YEAR(NetflixData[[#This Row],[date]])</f>
        <v>2023</v>
      </c>
      <c r="L1612" t="str">
        <f>TEXT(NetflixData[[#This Row],[date]],"mmm")</f>
        <v>Feb</v>
      </c>
      <c r="M1612" t="str">
        <f>TEXT(NetflixData[[#This Row],[date]],"mmm yyyy")</f>
        <v>Feb 2023</v>
      </c>
      <c r="N1612" t="str">
        <f t="shared" si="75"/>
        <v>Trading Day</v>
      </c>
      <c r="O1612" t="str">
        <f t="shared" si="76"/>
        <v>Positive</v>
      </c>
      <c r="P1612" t="str">
        <f t="shared" si="77"/>
        <v>Neutral</v>
      </c>
    </row>
    <row r="1613" spans="1:16" x14ac:dyDescent="0.3">
      <c r="A1613" s="1">
        <v>44966</v>
      </c>
      <c r="B1613">
        <v>36.25</v>
      </c>
      <c r="C1613">
        <v>69011000</v>
      </c>
      <c r="D1613">
        <v>-2.661</v>
      </c>
      <c r="E1613">
        <v>41</v>
      </c>
      <c r="F1613">
        <v>1.49</v>
      </c>
      <c r="G1613">
        <v>-2.1000000000000001E-2</v>
      </c>
      <c r="H1613">
        <v>0</v>
      </c>
      <c r="J1613">
        <v>1</v>
      </c>
      <c r="K1613">
        <f>YEAR(NetflixData[[#This Row],[date]])</f>
        <v>2023</v>
      </c>
      <c r="L1613" t="str">
        <f>TEXT(NetflixData[[#This Row],[date]],"mmm")</f>
        <v>Feb</v>
      </c>
      <c r="M1613" t="str">
        <f>TEXT(NetflixData[[#This Row],[date]],"mmm yyyy")</f>
        <v>Feb 2023</v>
      </c>
      <c r="N1613" t="str">
        <f t="shared" si="75"/>
        <v>Trading Day</v>
      </c>
      <c r="O1613" t="str">
        <f t="shared" si="76"/>
        <v>Negative</v>
      </c>
      <c r="P1613" t="str">
        <f t="shared" si="77"/>
        <v>Neutral</v>
      </c>
    </row>
    <row r="1614" spans="1:16" x14ac:dyDescent="0.3">
      <c r="A1614" s="1">
        <v>44967</v>
      </c>
      <c r="B1614">
        <v>34.74</v>
      </c>
      <c r="C1614">
        <v>72911000</v>
      </c>
      <c r="D1614">
        <v>-3.2850000000000001</v>
      </c>
      <c r="E1614">
        <v>56</v>
      </c>
      <c r="F1614">
        <v>1.48</v>
      </c>
      <c r="G1614">
        <v>0.1017</v>
      </c>
      <c r="H1614">
        <v>0</v>
      </c>
      <c r="J1614">
        <v>1</v>
      </c>
      <c r="K1614">
        <f>YEAR(NetflixData[[#This Row],[date]])</f>
        <v>2023</v>
      </c>
      <c r="L1614" t="str">
        <f>TEXT(NetflixData[[#This Row],[date]],"mmm")</f>
        <v>Feb</v>
      </c>
      <c r="M1614" t="str">
        <f>TEXT(NetflixData[[#This Row],[date]],"mmm yyyy")</f>
        <v>Feb 2023</v>
      </c>
      <c r="N1614" t="str">
        <f t="shared" si="75"/>
        <v>Non-Trading Day</v>
      </c>
      <c r="O1614" t="str">
        <f t="shared" si="76"/>
        <v>Negative</v>
      </c>
      <c r="P1614" t="str">
        <f t="shared" si="77"/>
        <v>Positive</v>
      </c>
    </row>
    <row r="1615" spans="1:16" x14ac:dyDescent="0.3">
      <c r="A1615" s="1">
        <v>44968</v>
      </c>
      <c r="B1615">
        <v>34.74</v>
      </c>
      <c r="C1615">
        <v>0</v>
      </c>
      <c r="D1615">
        <v>0</v>
      </c>
      <c r="E1615">
        <v>65</v>
      </c>
      <c r="F1615">
        <v>1.83</v>
      </c>
      <c r="G1615">
        <v>3.4599999999999999E-2</v>
      </c>
      <c r="H1615">
        <v>0</v>
      </c>
      <c r="J1615">
        <v>0</v>
      </c>
      <c r="K1615">
        <f>YEAR(NetflixData[[#This Row],[date]])</f>
        <v>2023</v>
      </c>
      <c r="L1615" t="str">
        <f>TEXT(NetflixData[[#This Row],[date]],"mmm")</f>
        <v>Feb</v>
      </c>
      <c r="M1615" t="str">
        <f>TEXT(NetflixData[[#This Row],[date]],"mmm yyyy")</f>
        <v>Feb 2023</v>
      </c>
      <c r="N1615" t="str">
        <f t="shared" si="75"/>
        <v>Non-Trading Day</v>
      </c>
      <c r="O1615" t="str">
        <f t="shared" si="76"/>
        <v>No Change</v>
      </c>
      <c r="P1615" t="str">
        <f t="shared" si="77"/>
        <v>Neutral</v>
      </c>
    </row>
    <row r="1616" spans="1:16" x14ac:dyDescent="0.3">
      <c r="A1616" s="1">
        <v>44969</v>
      </c>
      <c r="B1616">
        <v>34.74</v>
      </c>
      <c r="C1616">
        <v>0</v>
      </c>
      <c r="D1616">
        <v>0</v>
      </c>
      <c r="E1616">
        <v>45</v>
      </c>
      <c r="F1616">
        <v>1.78</v>
      </c>
      <c r="G1616">
        <v>0.125</v>
      </c>
      <c r="H1616">
        <v>0</v>
      </c>
      <c r="J1616">
        <v>0</v>
      </c>
      <c r="K1616">
        <f>YEAR(NetflixData[[#This Row],[date]])</f>
        <v>2023</v>
      </c>
      <c r="L1616" t="str">
        <f>TEXT(NetflixData[[#This Row],[date]],"mmm")</f>
        <v>Feb</v>
      </c>
      <c r="M1616" t="str">
        <f>TEXT(NetflixData[[#This Row],[date]],"mmm yyyy")</f>
        <v>Feb 2023</v>
      </c>
      <c r="N1616" t="str">
        <f t="shared" si="75"/>
        <v>Trading Day</v>
      </c>
      <c r="O1616" t="str">
        <f t="shared" si="76"/>
        <v>No Change</v>
      </c>
      <c r="P1616" t="str">
        <f t="shared" si="77"/>
        <v>Positive</v>
      </c>
    </row>
    <row r="1617" spans="1:16" x14ac:dyDescent="0.3">
      <c r="A1617" s="1">
        <v>44970</v>
      </c>
      <c r="B1617">
        <v>35.86</v>
      </c>
      <c r="C1617">
        <v>71344000</v>
      </c>
      <c r="D1617">
        <v>2.5950000000000002</v>
      </c>
      <c r="E1617">
        <v>39</v>
      </c>
      <c r="F1617">
        <v>2.2799999999999998</v>
      </c>
      <c r="G1617">
        <v>0.23350000000000001</v>
      </c>
      <c r="H1617">
        <v>0</v>
      </c>
      <c r="J1617">
        <v>1</v>
      </c>
      <c r="K1617">
        <f>YEAR(NetflixData[[#This Row],[date]])</f>
        <v>2023</v>
      </c>
      <c r="L1617" t="str">
        <f>TEXT(NetflixData[[#This Row],[date]],"mmm")</f>
        <v>Feb</v>
      </c>
      <c r="M1617" t="str">
        <f>TEXT(NetflixData[[#This Row],[date]],"mmm yyyy")</f>
        <v>Feb 2023</v>
      </c>
      <c r="N1617" t="str">
        <f t="shared" si="75"/>
        <v>Trading Day</v>
      </c>
      <c r="O1617" t="str">
        <f t="shared" si="76"/>
        <v>Positive</v>
      </c>
      <c r="P1617" t="str">
        <f t="shared" si="77"/>
        <v>Positive</v>
      </c>
    </row>
    <row r="1618" spans="1:16" x14ac:dyDescent="0.3">
      <c r="A1618" s="1">
        <v>44971</v>
      </c>
      <c r="B1618">
        <v>36</v>
      </c>
      <c r="C1618">
        <v>46248000</v>
      </c>
      <c r="D1618">
        <v>0.67400000000000004</v>
      </c>
      <c r="E1618">
        <v>35</v>
      </c>
      <c r="F1618">
        <v>1.83</v>
      </c>
      <c r="G1618">
        <v>-3.5299999999999998E-2</v>
      </c>
      <c r="H1618">
        <v>0</v>
      </c>
      <c r="J1618">
        <v>1</v>
      </c>
      <c r="K1618">
        <f>YEAR(NetflixData[[#This Row],[date]])</f>
        <v>2023</v>
      </c>
      <c r="L1618" t="str">
        <f>TEXT(NetflixData[[#This Row],[date]],"mmm")</f>
        <v>Feb</v>
      </c>
      <c r="M1618" t="str">
        <f>TEXT(NetflixData[[#This Row],[date]],"mmm yyyy")</f>
        <v>Feb 2023</v>
      </c>
      <c r="N1618" t="str">
        <f t="shared" si="75"/>
        <v>Trading Day</v>
      </c>
      <c r="O1618" t="str">
        <f t="shared" si="76"/>
        <v>Positive</v>
      </c>
      <c r="P1618" t="str">
        <f t="shared" si="77"/>
        <v>Neutral</v>
      </c>
    </row>
    <row r="1619" spans="1:16" x14ac:dyDescent="0.3">
      <c r="A1619" s="1">
        <v>44972</v>
      </c>
      <c r="B1619">
        <v>36.14</v>
      </c>
      <c r="C1619">
        <v>39660000</v>
      </c>
      <c r="D1619">
        <v>1.343</v>
      </c>
      <c r="E1619">
        <v>38</v>
      </c>
      <c r="F1619">
        <v>2.21</v>
      </c>
      <c r="G1619">
        <v>8.2400000000000001E-2</v>
      </c>
      <c r="H1619">
        <v>0</v>
      </c>
      <c r="J1619">
        <v>1</v>
      </c>
      <c r="K1619">
        <f>YEAR(NetflixData[[#This Row],[date]])</f>
        <v>2023</v>
      </c>
      <c r="L1619" t="str">
        <f>TEXT(NetflixData[[#This Row],[date]],"mmm")</f>
        <v>Feb</v>
      </c>
      <c r="M1619" t="str">
        <f>TEXT(NetflixData[[#This Row],[date]],"mmm yyyy")</f>
        <v>Feb 2023</v>
      </c>
      <c r="N1619" t="str">
        <f t="shared" si="75"/>
        <v>Trading Day</v>
      </c>
      <c r="O1619" t="str">
        <f t="shared" si="76"/>
        <v>Positive</v>
      </c>
      <c r="P1619" t="str">
        <f t="shared" si="77"/>
        <v>Neutral</v>
      </c>
    </row>
    <row r="1620" spans="1:16" x14ac:dyDescent="0.3">
      <c r="A1620" s="1">
        <v>44973</v>
      </c>
      <c r="B1620">
        <v>35.07</v>
      </c>
      <c r="C1620">
        <v>52157000</v>
      </c>
      <c r="D1620">
        <v>-1.208</v>
      </c>
      <c r="E1620">
        <v>40</v>
      </c>
      <c r="F1620">
        <v>2.02</v>
      </c>
      <c r="G1620">
        <v>-7.4999999999999997E-3</v>
      </c>
      <c r="H1620">
        <v>0</v>
      </c>
      <c r="J1620">
        <v>1</v>
      </c>
      <c r="K1620">
        <f>YEAR(NetflixData[[#This Row],[date]])</f>
        <v>2023</v>
      </c>
      <c r="L1620" t="str">
        <f>TEXT(NetflixData[[#This Row],[date]],"mmm")</f>
        <v>Feb</v>
      </c>
      <c r="M1620" t="str">
        <f>TEXT(NetflixData[[#This Row],[date]],"mmm yyyy")</f>
        <v>Feb 2023</v>
      </c>
      <c r="N1620" t="str">
        <f t="shared" si="75"/>
        <v>Trading Day</v>
      </c>
      <c r="O1620" t="str">
        <f t="shared" si="76"/>
        <v>Negative</v>
      </c>
      <c r="P1620" t="str">
        <f t="shared" si="77"/>
        <v>Neutral</v>
      </c>
    </row>
    <row r="1621" spans="1:16" x14ac:dyDescent="0.3">
      <c r="A1621" s="1">
        <v>44974</v>
      </c>
      <c r="B1621">
        <v>34.799999999999997</v>
      </c>
      <c r="C1621">
        <v>52947000</v>
      </c>
      <c r="D1621">
        <v>1.4E-2</v>
      </c>
      <c r="E1621">
        <v>32</v>
      </c>
      <c r="F1621">
        <v>2.56</v>
      </c>
      <c r="G1621">
        <v>8.7400000000000005E-2</v>
      </c>
      <c r="H1621">
        <v>0</v>
      </c>
      <c r="J1621">
        <v>1</v>
      </c>
      <c r="K1621">
        <f>YEAR(NetflixData[[#This Row],[date]])</f>
        <v>2023</v>
      </c>
      <c r="L1621" t="str">
        <f>TEXT(NetflixData[[#This Row],[date]],"mmm")</f>
        <v>Feb</v>
      </c>
      <c r="M1621" t="str">
        <f>TEXT(NetflixData[[#This Row],[date]],"mmm yyyy")</f>
        <v>Feb 2023</v>
      </c>
      <c r="N1621" t="str">
        <f t="shared" si="75"/>
        <v>Non-Trading Day</v>
      </c>
      <c r="O1621" t="str">
        <f t="shared" si="76"/>
        <v>Positive</v>
      </c>
      <c r="P1621" t="str">
        <f t="shared" si="77"/>
        <v>Neutral</v>
      </c>
    </row>
    <row r="1622" spans="1:16" x14ac:dyDescent="0.3">
      <c r="A1622" s="1">
        <v>44975</v>
      </c>
      <c r="B1622">
        <v>34.799999999999997</v>
      </c>
      <c r="C1622">
        <v>0</v>
      </c>
      <c r="D1622">
        <v>0</v>
      </c>
      <c r="E1622">
        <v>32</v>
      </c>
      <c r="F1622">
        <v>2.2799999999999998</v>
      </c>
      <c r="G1622">
        <v>0.13250000000000001</v>
      </c>
      <c r="H1622">
        <v>0</v>
      </c>
      <c r="J1622">
        <v>0</v>
      </c>
      <c r="K1622">
        <f>YEAR(NetflixData[[#This Row],[date]])</f>
        <v>2023</v>
      </c>
      <c r="L1622" t="str">
        <f>TEXT(NetflixData[[#This Row],[date]],"mmm")</f>
        <v>Feb</v>
      </c>
      <c r="M1622" t="str">
        <f>TEXT(NetflixData[[#This Row],[date]],"mmm yyyy")</f>
        <v>Feb 2023</v>
      </c>
      <c r="N1622" t="str">
        <f t="shared" si="75"/>
        <v>Non-Trading Day</v>
      </c>
      <c r="O1622" t="str">
        <f t="shared" si="76"/>
        <v>No Change</v>
      </c>
      <c r="P1622" t="str">
        <f t="shared" si="77"/>
        <v>Positive</v>
      </c>
    </row>
    <row r="1623" spans="1:16" x14ac:dyDescent="0.3">
      <c r="A1623" s="1">
        <v>44976</v>
      </c>
      <c r="B1623">
        <v>34.799999999999997</v>
      </c>
      <c r="C1623">
        <v>0</v>
      </c>
      <c r="D1623">
        <v>0</v>
      </c>
      <c r="E1623">
        <v>38</v>
      </c>
      <c r="F1623">
        <v>2.1800000000000002</v>
      </c>
      <c r="G1623">
        <v>0.12740000000000001</v>
      </c>
      <c r="H1623">
        <v>0</v>
      </c>
      <c r="J1623">
        <v>0</v>
      </c>
      <c r="K1623">
        <f>YEAR(NetflixData[[#This Row],[date]])</f>
        <v>2023</v>
      </c>
      <c r="L1623" t="str">
        <f>TEXT(NetflixData[[#This Row],[date]],"mmm")</f>
        <v>Feb</v>
      </c>
      <c r="M1623" t="str">
        <f>TEXT(NetflixData[[#This Row],[date]],"mmm yyyy")</f>
        <v>Feb 2023</v>
      </c>
      <c r="N1623" t="str">
        <f t="shared" si="75"/>
        <v>Non-Trading Day</v>
      </c>
      <c r="O1623" t="str">
        <f t="shared" si="76"/>
        <v>No Change</v>
      </c>
      <c r="P1623" t="str">
        <f t="shared" si="77"/>
        <v>Positive</v>
      </c>
    </row>
    <row r="1624" spans="1:16" x14ac:dyDescent="0.3">
      <c r="A1624" s="1">
        <v>44977</v>
      </c>
      <c r="B1624">
        <v>34.799999999999997</v>
      </c>
      <c r="C1624">
        <v>0</v>
      </c>
      <c r="D1624">
        <v>0</v>
      </c>
      <c r="E1624">
        <v>23</v>
      </c>
      <c r="F1624">
        <v>1.57</v>
      </c>
      <c r="G1624">
        <v>5.1299999999999998E-2</v>
      </c>
      <c r="H1624">
        <v>0</v>
      </c>
      <c r="J1624">
        <v>0</v>
      </c>
      <c r="K1624">
        <f>YEAR(NetflixData[[#This Row],[date]])</f>
        <v>2023</v>
      </c>
      <c r="L1624" t="str">
        <f>TEXT(NetflixData[[#This Row],[date]],"mmm")</f>
        <v>Feb</v>
      </c>
      <c r="M1624" t="str">
        <f>TEXT(NetflixData[[#This Row],[date]],"mmm yyyy")</f>
        <v>Feb 2023</v>
      </c>
      <c r="N1624" t="str">
        <f t="shared" si="75"/>
        <v>Trading Day</v>
      </c>
      <c r="O1624" t="str">
        <f t="shared" si="76"/>
        <v>No Change</v>
      </c>
      <c r="P1624" t="str">
        <f t="shared" si="77"/>
        <v>Neutral</v>
      </c>
    </row>
    <row r="1625" spans="1:16" x14ac:dyDescent="0.3">
      <c r="A1625" s="1">
        <v>44978</v>
      </c>
      <c r="B1625">
        <v>33.75</v>
      </c>
      <c r="C1625">
        <v>57103000</v>
      </c>
      <c r="D1625">
        <v>-1.56</v>
      </c>
      <c r="E1625">
        <v>36</v>
      </c>
      <c r="F1625">
        <v>2.31</v>
      </c>
      <c r="G1625">
        <v>7.17E-2</v>
      </c>
      <c r="H1625">
        <v>0</v>
      </c>
      <c r="J1625">
        <v>1</v>
      </c>
      <c r="K1625">
        <f>YEAR(NetflixData[[#This Row],[date]])</f>
        <v>2023</v>
      </c>
      <c r="L1625" t="str">
        <f>TEXT(NetflixData[[#This Row],[date]],"mmm")</f>
        <v>Feb</v>
      </c>
      <c r="M1625" t="str">
        <f>TEXT(NetflixData[[#This Row],[date]],"mmm yyyy")</f>
        <v>Feb 2023</v>
      </c>
      <c r="N1625" t="str">
        <f t="shared" si="75"/>
        <v>Trading Day</v>
      </c>
      <c r="O1625" t="str">
        <f t="shared" si="76"/>
        <v>Negative</v>
      </c>
      <c r="P1625" t="str">
        <f t="shared" si="77"/>
        <v>Neutral</v>
      </c>
    </row>
    <row r="1626" spans="1:16" x14ac:dyDescent="0.3">
      <c r="A1626" s="1">
        <v>44979</v>
      </c>
      <c r="B1626">
        <v>33.49</v>
      </c>
      <c r="C1626">
        <v>45462000</v>
      </c>
      <c r="D1626">
        <v>-0.77600000000000002</v>
      </c>
      <c r="E1626">
        <v>36</v>
      </c>
      <c r="F1626">
        <v>2.2200000000000002</v>
      </c>
      <c r="G1626">
        <v>0.1371</v>
      </c>
      <c r="H1626">
        <v>0</v>
      </c>
      <c r="J1626">
        <v>1</v>
      </c>
      <c r="K1626">
        <f>YEAR(NetflixData[[#This Row],[date]])</f>
        <v>2023</v>
      </c>
      <c r="L1626" t="str">
        <f>TEXT(NetflixData[[#This Row],[date]],"mmm")</f>
        <v>Feb</v>
      </c>
      <c r="M1626" t="str">
        <f>TEXT(NetflixData[[#This Row],[date]],"mmm yyyy")</f>
        <v>Feb 2023</v>
      </c>
      <c r="N1626" t="str">
        <f t="shared" si="75"/>
        <v>Trading Day</v>
      </c>
      <c r="O1626" t="str">
        <f t="shared" si="76"/>
        <v>Negative</v>
      </c>
      <c r="P1626" t="str">
        <f t="shared" si="77"/>
        <v>Positive</v>
      </c>
    </row>
    <row r="1627" spans="1:16" x14ac:dyDescent="0.3">
      <c r="A1627" s="1">
        <v>44980</v>
      </c>
      <c r="B1627">
        <v>32.369999999999997</v>
      </c>
      <c r="C1627">
        <v>132387000</v>
      </c>
      <c r="D1627">
        <v>-2.2879999999999998</v>
      </c>
      <c r="E1627">
        <v>30</v>
      </c>
      <c r="F1627">
        <v>2.57</v>
      </c>
      <c r="G1627">
        <v>0.1439</v>
      </c>
      <c r="H1627">
        <v>0</v>
      </c>
      <c r="J1627">
        <v>1</v>
      </c>
      <c r="K1627">
        <f>YEAR(NetflixData[[#This Row],[date]])</f>
        <v>2023</v>
      </c>
      <c r="L1627" t="str">
        <f>TEXT(NetflixData[[#This Row],[date]],"mmm")</f>
        <v>Feb</v>
      </c>
      <c r="M1627" t="str">
        <f>TEXT(NetflixData[[#This Row],[date]],"mmm yyyy")</f>
        <v>Feb 2023</v>
      </c>
      <c r="N1627" t="str">
        <f t="shared" si="75"/>
        <v>Trading Day</v>
      </c>
      <c r="O1627" t="str">
        <f t="shared" si="76"/>
        <v>Negative</v>
      </c>
      <c r="P1627" t="str">
        <f t="shared" si="77"/>
        <v>Positive</v>
      </c>
    </row>
    <row r="1628" spans="1:16" x14ac:dyDescent="0.3">
      <c r="A1628" s="1">
        <v>44981</v>
      </c>
      <c r="B1628">
        <v>31.72</v>
      </c>
      <c r="C1628">
        <v>68307000</v>
      </c>
      <c r="D1628">
        <v>-0.67300000000000004</v>
      </c>
      <c r="E1628">
        <v>32</v>
      </c>
      <c r="F1628">
        <v>2.56</v>
      </c>
      <c r="G1628">
        <v>0.2099</v>
      </c>
      <c r="H1628">
        <v>0</v>
      </c>
      <c r="J1628">
        <v>1</v>
      </c>
      <c r="K1628">
        <f>YEAR(NetflixData[[#This Row],[date]])</f>
        <v>2023</v>
      </c>
      <c r="L1628" t="str">
        <f>TEXT(NetflixData[[#This Row],[date]],"mmm")</f>
        <v>Feb</v>
      </c>
      <c r="M1628" t="str">
        <f>TEXT(NetflixData[[#This Row],[date]],"mmm yyyy")</f>
        <v>Feb 2023</v>
      </c>
      <c r="N1628" t="str">
        <f t="shared" si="75"/>
        <v>Non-Trading Day</v>
      </c>
      <c r="O1628" t="str">
        <f t="shared" si="76"/>
        <v>Negative</v>
      </c>
      <c r="P1628" t="str">
        <f t="shared" si="77"/>
        <v>Positive</v>
      </c>
    </row>
    <row r="1629" spans="1:16" x14ac:dyDescent="0.3">
      <c r="A1629" s="1">
        <v>44982</v>
      </c>
      <c r="B1629">
        <v>31.72</v>
      </c>
      <c r="C1629">
        <v>0</v>
      </c>
      <c r="D1629">
        <v>0</v>
      </c>
      <c r="E1629">
        <v>35</v>
      </c>
      <c r="F1629">
        <v>2.4900000000000002</v>
      </c>
      <c r="G1629">
        <v>0.214</v>
      </c>
      <c r="H1629">
        <v>0</v>
      </c>
      <c r="J1629">
        <v>0</v>
      </c>
      <c r="K1629">
        <f>YEAR(NetflixData[[#This Row],[date]])</f>
        <v>2023</v>
      </c>
      <c r="L1629" t="str">
        <f>TEXT(NetflixData[[#This Row],[date]],"mmm")</f>
        <v>Feb</v>
      </c>
      <c r="M1629" t="str">
        <f>TEXT(NetflixData[[#This Row],[date]],"mmm yyyy")</f>
        <v>Feb 2023</v>
      </c>
      <c r="N1629" t="str">
        <f t="shared" si="75"/>
        <v>Non-Trading Day</v>
      </c>
      <c r="O1629" t="str">
        <f t="shared" si="76"/>
        <v>No Change</v>
      </c>
      <c r="P1629" t="str">
        <f t="shared" si="77"/>
        <v>Positive</v>
      </c>
    </row>
    <row r="1630" spans="1:16" x14ac:dyDescent="0.3">
      <c r="A1630" s="1">
        <v>44983</v>
      </c>
      <c r="B1630">
        <v>31.72</v>
      </c>
      <c r="C1630">
        <v>0</v>
      </c>
      <c r="D1630">
        <v>0</v>
      </c>
      <c r="E1630">
        <v>35</v>
      </c>
      <c r="F1630">
        <v>2.6</v>
      </c>
      <c r="G1630">
        <v>0.12909999999999999</v>
      </c>
      <c r="H1630">
        <v>0</v>
      </c>
      <c r="J1630">
        <v>0</v>
      </c>
      <c r="K1630">
        <f>YEAR(NetflixData[[#This Row],[date]])</f>
        <v>2023</v>
      </c>
      <c r="L1630" t="str">
        <f>TEXT(NetflixData[[#This Row],[date]],"mmm")</f>
        <v>Feb</v>
      </c>
      <c r="M1630" t="str">
        <f>TEXT(NetflixData[[#This Row],[date]],"mmm yyyy")</f>
        <v>Feb 2023</v>
      </c>
      <c r="N1630" t="str">
        <f t="shared" si="75"/>
        <v>Trading Day</v>
      </c>
      <c r="O1630" t="str">
        <f t="shared" si="76"/>
        <v>No Change</v>
      </c>
      <c r="P1630" t="str">
        <f t="shared" si="77"/>
        <v>Positive</v>
      </c>
    </row>
    <row r="1631" spans="1:16" x14ac:dyDescent="0.3">
      <c r="A1631" s="1">
        <v>44984</v>
      </c>
      <c r="B1631">
        <v>32.299999999999997</v>
      </c>
      <c r="C1631">
        <v>61426000</v>
      </c>
      <c r="D1631">
        <v>-0.25900000000000001</v>
      </c>
      <c r="E1631">
        <v>21</v>
      </c>
      <c r="F1631">
        <v>2.57</v>
      </c>
      <c r="G1631">
        <v>0.214</v>
      </c>
      <c r="H1631">
        <v>0</v>
      </c>
      <c r="J1631">
        <v>1</v>
      </c>
      <c r="K1631">
        <f>YEAR(NetflixData[[#This Row],[date]])</f>
        <v>2023</v>
      </c>
      <c r="L1631" t="str">
        <f>TEXT(NetflixData[[#This Row],[date]],"mmm")</f>
        <v>Feb</v>
      </c>
      <c r="M1631" t="str">
        <f>TEXT(NetflixData[[#This Row],[date]],"mmm yyyy")</f>
        <v>Feb 2023</v>
      </c>
      <c r="N1631" t="str">
        <f t="shared" si="75"/>
        <v>Trading Day</v>
      </c>
      <c r="O1631" t="str">
        <f t="shared" si="76"/>
        <v>Negative</v>
      </c>
      <c r="P1631" t="str">
        <f t="shared" si="77"/>
        <v>Positive</v>
      </c>
    </row>
    <row r="1632" spans="1:16" x14ac:dyDescent="0.3">
      <c r="A1632" s="1">
        <v>44985</v>
      </c>
      <c r="B1632">
        <v>32.21</v>
      </c>
      <c r="C1632">
        <v>36761000</v>
      </c>
      <c r="D1632">
        <v>-0.48499999999999999</v>
      </c>
      <c r="E1632">
        <v>21</v>
      </c>
      <c r="F1632">
        <v>2.19</v>
      </c>
      <c r="G1632">
        <v>4.9700000000000001E-2</v>
      </c>
      <c r="H1632">
        <v>0</v>
      </c>
      <c r="J1632">
        <v>1</v>
      </c>
      <c r="K1632">
        <f>YEAR(NetflixData[[#This Row],[date]])</f>
        <v>2023</v>
      </c>
      <c r="L1632" t="str">
        <f>TEXT(NetflixData[[#This Row],[date]],"mmm")</f>
        <v>Feb</v>
      </c>
      <c r="M1632" t="str">
        <f>TEXT(NetflixData[[#This Row],[date]],"mmm yyyy")</f>
        <v>Feb 2023</v>
      </c>
      <c r="N1632" t="str">
        <f t="shared" si="75"/>
        <v>Trading Day</v>
      </c>
      <c r="O1632" t="str">
        <f t="shared" si="76"/>
        <v>Negative</v>
      </c>
      <c r="P1632" t="str">
        <f t="shared" si="77"/>
        <v>Neutral</v>
      </c>
    </row>
    <row r="1633" spans="1:16" x14ac:dyDescent="0.3">
      <c r="A1633" s="1">
        <v>44986</v>
      </c>
      <c r="B1633">
        <v>31.35</v>
      </c>
      <c r="C1633">
        <v>49113000</v>
      </c>
      <c r="D1633">
        <v>-2.5099999999999998</v>
      </c>
      <c r="E1633">
        <v>29</v>
      </c>
      <c r="F1633">
        <v>2.4500000000000002</v>
      </c>
      <c r="G1633">
        <v>0.13750000000000001</v>
      </c>
      <c r="H1633">
        <v>0</v>
      </c>
      <c r="J1633">
        <v>1</v>
      </c>
      <c r="K1633">
        <f>YEAR(NetflixData[[#This Row],[date]])</f>
        <v>2023</v>
      </c>
      <c r="L1633" t="str">
        <f>TEXT(NetflixData[[#This Row],[date]],"mmm")</f>
        <v>Mar</v>
      </c>
      <c r="M1633" t="str">
        <f>TEXT(NetflixData[[#This Row],[date]],"mmm yyyy")</f>
        <v>Mar 2023</v>
      </c>
      <c r="N1633" t="str">
        <f t="shared" si="75"/>
        <v>Trading Day</v>
      </c>
      <c r="O1633" t="str">
        <f t="shared" si="76"/>
        <v>Negative</v>
      </c>
      <c r="P1633" t="str">
        <f t="shared" si="77"/>
        <v>Positive</v>
      </c>
    </row>
    <row r="1634" spans="1:16" x14ac:dyDescent="0.3">
      <c r="A1634" s="1">
        <v>44987</v>
      </c>
      <c r="B1634">
        <v>31.19</v>
      </c>
      <c r="C1634">
        <v>49110000</v>
      </c>
      <c r="D1634">
        <v>0.29599999999999999</v>
      </c>
      <c r="E1634">
        <v>26</v>
      </c>
      <c r="F1634">
        <v>2.65</v>
      </c>
      <c r="G1634">
        <v>0.2596</v>
      </c>
      <c r="H1634">
        <v>0</v>
      </c>
      <c r="J1634">
        <v>1</v>
      </c>
      <c r="K1634">
        <f>YEAR(NetflixData[[#This Row],[date]])</f>
        <v>2023</v>
      </c>
      <c r="L1634" t="str">
        <f>TEXT(NetflixData[[#This Row],[date]],"mmm")</f>
        <v>Mar</v>
      </c>
      <c r="M1634" t="str">
        <f>TEXT(NetflixData[[#This Row],[date]],"mmm yyyy")</f>
        <v>Mar 2023</v>
      </c>
      <c r="N1634" t="str">
        <f t="shared" si="75"/>
        <v>Trading Day</v>
      </c>
      <c r="O1634" t="str">
        <f t="shared" si="76"/>
        <v>Positive</v>
      </c>
      <c r="P1634" t="str">
        <f t="shared" si="77"/>
        <v>Positive</v>
      </c>
    </row>
    <row r="1635" spans="1:16" x14ac:dyDescent="0.3">
      <c r="A1635" s="1">
        <v>44988</v>
      </c>
      <c r="B1635">
        <v>31.52</v>
      </c>
      <c r="C1635">
        <v>59533000</v>
      </c>
      <c r="D1635">
        <v>-8.5999999999999993E-2</v>
      </c>
      <c r="E1635">
        <v>19</v>
      </c>
      <c r="F1635">
        <v>1.95</v>
      </c>
      <c r="G1635">
        <v>-4.0800000000000003E-2</v>
      </c>
      <c r="H1635">
        <v>0</v>
      </c>
      <c r="J1635">
        <v>1</v>
      </c>
      <c r="K1635">
        <f>YEAR(NetflixData[[#This Row],[date]])</f>
        <v>2023</v>
      </c>
      <c r="L1635" t="str">
        <f>TEXT(NetflixData[[#This Row],[date]],"mmm")</f>
        <v>Mar</v>
      </c>
      <c r="M1635" t="str">
        <f>TEXT(NetflixData[[#This Row],[date]],"mmm yyyy")</f>
        <v>Mar 2023</v>
      </c>
      <c r="N1635" t="str">
        <f t="shared" si="75"/>
        <v>Non-Trading Day</v>
      </c>
      <c r="O1635" t="str">
        <f t="shared" si="76"/>
        <v>Negative</v>
      </c>
      <c r="P1635" t="str">
        <f t="shared" si="77"/>
        <v>Neutral</v>
      </c>
    </row>
    <row r="1636" spans="1:16" x14ac:dyDescent="0.3">
      <c r="A1636" s="1">
        <v>44989</v>
      </c>
      <c r="B1636">
        <v>31.52</v>
      </c>
      <c r="C1636">
        <v>0</v>
      </c>
      <c r="D1636">
        <v>0</v>
      </c>
      <c r="E1636">
        <v>38</v>
      </c>
      <c r="F1636">
        <v>2.58</v>
      </c>
      <c r="G1636">
        <v>0.2462</v>
      </c>
      <c r="H1636">
        <v>0</v>
      </c>
      <c r="J1636">
        <v>0</v>
      </c>
      <c r="K1636">
        <f>YEAR(NetflixData[[#This Row],[date]])</f>
        <v>2023</v>
      </c>
      <c r="L1636" t="str">
        <f>TEXT(NetflixData[[#This Row],[date]],"mmm")</f>
        <v>Mar</v>
      </c>
      <c r="M1636" t="str">
        <f>TEXT(NetflixData[[#This Row],[date]],"mmm yyyy")</f>
        <v>Mar 2023</v>
      </c>
      <c r="N1636" t="str">
        <f t="shared" si="75"/>
        <v>Non-Trading Day</v>
      </c>
      <c r="O1636" t="str">
        <f t="shared" si="76"/>
        <v>No Change</v>
      </c>
      <c r="P1636" t="str">
        <f t="shared" si="77"/>
        <v>Positive</v>
      </c>
    </row>
    <row r="1637" spans="1:16" x14ac:dyDescent="0.3">
      <c r="A1637" s="1">
        <v>44990</v>
      </c>
      <c r="B1637">
        <v>31.52</v>
      </c>
      <c r="C1637">
        <v>0</v>
      </c>
      <c r="D1637">
        <v>0</v>
      </c>
      <c r="E1637">
        <v>40</v>
      </c>
      <c r="F1637">
        <v>2.4</v>
      </c>
      <c r="G1637">
        <v>0.13650000000000001</v>
      </c>
      <c r="H1637">
        <v>0</v>
      </c>
      <c r="J1637">
        <v>0</v>
      </c>
      <c r="K1637">
        <f>YEAR(NetflixData[[#This Row],[date]])</f>
        <v>2023</v>
      </c>
      <c r="L1637" t="str">
        <f>TEXT(NetflixData[[#This Row],[date]],"mmm")</f>
        <v>Mar</v>
      </c>
      <c r="M1637" t="str">
        <f>TEXT(NetflixData[[#This Row],[date]],"mmm yyyy")</f>
        <v>Mar 2023</v>
      </c>
      <c r="N1637" t="str">
        <f t="shared" si="75"/>
        <v>Trading Day</v>
      </c>
      <c r="O1637" t="str">
        <f t="shared" si="76"/>
        <v>No Change</v>
      </c>
      <c r="P1637" t="str">
        <f t="shared" si="77"/>
        <v>Positive</v>
      </c>
    </row>
    <row r="1638" spans="1:16" x14ac:dyDescent="0.3">
      <c r="A1638" s="1">
        <v>44991</v>
      </c>
      <c r="B1638">
        <v>31.2</v>
      </c>
      <c r="C1638">
        <v>56607000</v>
      </c>
      <c r="D1638">
        <v>-1.5680000000000001</v>
      </c>
      <c r="E1638">
        <v>25</v>
      </c>
      <c r="F1638">
        <v>2.2799999999999998</v>
      </c>
      <c r="G1638">
        <v>0.16300000000000001</v>
      </c>
      <c r="H1638">
        <v>0</v>
      </c>
      <c r="J1638">
        <v>1</v>
      </c>
      <c r="K1638">
        <f>YEAR(NetflixData[[#This Row],[date]])</f>
        <v>2023</v>
      </c>
      <c r="L1638" t="str">
        <f>TEXT(NetflixData[[#This Row],[date]],"mmm")</f>
        <v>Mar</v>
      </c>
      <c r="M1638" t="str">
        <f>TEXT(NetflixData[[#This Row],[date]],"mmm yyyy")</f>
        <v>Mar 2023</v>
      </c>
      <c r="N1638" t="str">
        <f t="shared" si="75"/>
        <v>Trading Day</v>
      </c>
      <c r="O1638" t="str">
        <f t="shared" si="76"/>
        <v>Negative</v>
      </c>
      <c r="P1638" t="str">
        <f t="shared" si="77"/>
        <v>Positive</v>
      </c>
    </row>
    <row r="1639" spans="1:16" x14ac:dyDescent="0.3">
      <c r="A1639" s="1">
        <v>44992</v>
      </c>
      <c r="B1639">
        <v>30.85</v>
      </c>
      <c r="C1639">
        <v>45531000</v>
      </c>
      <c r="D1639">
        <v>-1.3460000000000001</v>
      </c>
      <c r="E1639">
        <v>37</v>
      </c>
      <c r="F1639">
        <v>2.0299999999999998</v>
      </c>
      <c r="G1639">
        <v>7.6999999999999999E-2</v>
      </c>
      <c r="H1639">
        <v>0</v>
      </c>
      <c r="J1639">
        <v>1</v>
      </c>
      <c r="K1639">
        <f>YEAR(NetflixData[[#This Row],[date]])</f>
        <v>2023</v>
      </c>
      <c r="L1639" t="str">
        <f>TEXT(NetflixData[[#This Row],[date]],"mmm")</f>
        <v>Mar</v>
      </c>
      <c r="M1639" t="str">
        <f>TEXT(NetflixData[[#This Row],[date]],"mmm yyyy")</f>
        <v>Mar 2023</v>
      </c>
      <c r="N1639" t="str">
        <f t="shared" si="75"/>
        <v>Trading Day</v>
      </c>
      <c r="O1639" t="str">
        <f t="shared" si="76"/>
        <v>Negative</v>
      </c>
      <c r="P1639" t="str">
        <f t="shared" si="77"/>
        <v>Neutral</v>
      </c>
    </row>
    <row r="1640" spans="1:16" x14ac:dyDescent="0.3">
      <c r="A1640" s="1">
        <v>44993</v>
      </c>
      <c r="B1640">
        <v>31.18</v>
      </c>
      <c r="C1640">
        <v>34795000</v>
      </c>
      <c r="D1640">
        <v>0.80800000000000005</v>
      </c>
      <c r="E1640">
        <v>31</v>
      </c>
      <c r="F1640">
        <v>2.1</v>
      </c>
      <c r="G1640">
        <v>5.2900000000000003E-2</v>
      </c>
      <c r="H1640">
        <v>0</v>
      </c>
      <c r="J1640">
        <v>1</v>
      </c>
      <c r="K1640">
        <f>YEAR(NetflixData[[#This Row],[date]])</f>
        <v>2023</v>
      </c>
      <c r="L1640" t="str">
        <f>TEXT(NetflixData[[#This Row],[date]],"mmm")</f>
        <v>Mar</v>
      </c>
      <c r="M1640" t="str">
        <f>TEXT(NetflixData[[#This Row],[date]],"mmm yyyy")</f>
        <v>Mar 2023</v>
      </c>
      <c r="N1640" t="str">
        <f t="shared" si="75"/>
        <v>Trading Day</v>
      </c>
      <c r="O1640" t="str">
        <f t="shared" si="76"/>
        <v>Positive</v>
      </c>
      <c r="P1640" t="str">
        <f t="shared" si="77"/>
        <v>Neutral</v>
      </c>
    </row>
    <row r="1641" spans="1:16" x14ac:dyDescent="0.3">
      <c r="A1641" s="1">
        <v>44994</v>
      </c>
      <c r="B1641">
        <v>29.78</v>
      </c>
      <c r="C1641">
        <v>74434000</v>
      </c>
      <c r="D1641">
        <v>-4.5819999999999999</v>
      </c>
      <c r="E1641">
        <v>25</v>
      </c>
      <c r="F1641">
        <v>2.2000000000000002</v>
      </c>
      <c r="G1641">
        <v>-5.0900000000000001E-2</v>
      </c>
      <c r="H1641">
        <v>0</v>
      </c>
      <c r="J1641">
        <v>1</v>
      </c>
      <c r="K1641">
        <f>YEAR(NetflixData[[#This Row],[date]])</f>
        <v>2023</v>
      </c>
      <c r="L1641" t="str">
        <f>TEXT(NetflixData[[#This Row],[date]],"mmm")</f>
        <v>Mar</v>
      </c>
      <c r="M1641" t="str">
        <f>TEXT(NetflixData[[#This Row],[date]],"mmm yyyy")</f>
        <v>Mar 2023</v>
      </c>
      <c r="N1641" t="str">
        <f t="shared" si="75"/>
        <v>Trading Day</v>
      </c>
      <c r="O1641" t="str">
        <f t="shared" si="76"/>
        <v>Negative</v>
      </c>
      <c r="P1641" t="str">
        <f t="shared" si="77"/>
        <v>Neutral</v>
      </c>
    </row>
    <row r="1642" spans="1:16" x14ac:dyDescent="0.3">
      <c r="A1642" s="1">
        <v>44995</v>
      </c>
      <c r="B1642">
        <v>29.28</v>
      </c>
      <c r="C1642">
        <v>57593000</v>
      </c>
      <c r="D1642">
        <v>-1.7250000000000001</v>
      </c>
      <c r="E1642">
        <v>30</v>
      </c>
      <c r="F1642">
        <v>2.2999999999999998</v>
      </c>
      <c r="G1642">
        <v>0.1206</v>
      </c>
      <c r="H1642">
        <v>0</v>
      </c>
      <c r="J1642">
        <v>1</v>
      </c>
      <c r="K1642">
        <f>YEAR(NetflixData[[#This Row],[date]])</f>
        <v>2023</v>
      </c>
      <c r="L1642" t="str">
        <f>TEXT(NetflixData[[#This Row],[date]],"mmm")</f>
        <v>Mar</v>
      </c>
      <c r="M1642" t="str">
        <f>TEXT(NetflixData[[#This Row],[date]],"mmm yyyy")</f>
        <v>Mar 2023</v>
      </c>
      <c r="N1642" t="str">
        <f t="shared" si="75"/>
        <v>Non-Trading Day</v>
      </c>
      <c r="O1642" t="str">
        <f t="shared" si="76"/>
        <v>Negative</v>
      </c>
      <c r="P1642" t="str">
        <f t="shared" si="77"/>
        <v>Positive</v>
      </c>
    </row>
    <row r="1643" spans="1:16" x14ac:dyDescent="0.3">
      <c r="A1643" s="1">
        <v>44996</v>
      </c>
      <c r="B1643">
        <v>29.28</v>
      </c>
      <c r="C1643">
        <v>0</v>
      </c>
      <c r="D1643">
        <v>0</v>
      </c>
      <c r="E1643">
        <v>38</v>
      </c>
      <c r="F1643">
        <v>2.2599999999999998</v>
      </c>
      <c r="G1643">
        <v>6.1600000000000002E-2</v>
      </c>
      <c r="H1643">
        <v>0</v>
      </c>
      <c r="J1643">
        <v>0</v>
      </c>
      <c r="K1643">
        <f>YEAR(NetflixData[[#This Row],[date]])</f>
        <v>2023</v>
      </c>
      <c r="L1643" t="str">
        <f>TEXT(NetflixData[[#This Row],[date]],"mmm")</f>
        <v>Mar</v>
      </c>
      <c r="M1643" t="str">
        <f>TEXT(NetflixData[[#This Row],[date]],"mmm yyyy")</f>
        <v>Mar 2023</v>
      </c>
      <c r="N1643" t="str">
        <f t="shared" si="75"/>
        <v>Non-Trading Day</v>
      </c>
      <c r="O1643" t="str">
        <f t="shared" si="76"/>
        <v>No Change</v>
      </c>
      <c r="P1643" t="str">
        <f t="shared" si="77"/>
        <v>Neutral</v>
      </c>
    </row>
    <row r="1644" spans="1:16" x14ac:dyDescent="0.3">
      <c r="A1644" s="1">
        <v>44997</v>
      </c>
      <c r="B1644">
        <v>29.28</v>
      </c>
      <c r="C1644">
        <v>0</v>
      </c>
      <c r="D1644">
        <v>0</v>
      </c>
      <c r="E1644">
        <v>21</v>
      </c>
      <c r="F1644">
        <v>2.52</v>
      </c>
      <c r="G1644">
        <v>5.2400000000000002E-2</v>
      </c>
      <c r="H1644">
        <v>0</v>
      </c>
      <c r="J1644">
        <v>0</v>
      </c>
      <c r="K1644">
        <f>YEAR(NetflixData[[#This Row],[date]])</f>
        <v>2023</v>
      </c>
      <c r="L1644" t="str">
        <f>TEXT(NetflixData[[#This Row],[date]],"mmm")</f>
        <v>Mar</v>
      </c>
      <c r="M1644" t="str">
        <f>TEXT(NetflixData[[#This Row],[date]],"mmm yyyy")</f>
        <v>Mar 2023</v>
      </c>
      <c r="N1644" t="str">
        <f t="shared" si="75"/>
        <v>Trading Day</v>
      </c>
      <c r="O1644" t="str">
        <f t="shared" si="76"/>
        <v>No Change</v>
      </c>
      <c r="P1644" t="str">
        <f t="shared" si="77"/>
        <v>Neutral</v>
      </c>
    </row>
    <row r="1645" spans="1:16" x14ac:dyDescent="0.3">
      <c r="A1645" s="1">
        <v>44998</v>
      </c>
      <c r="B1645">
        <v>29.35</v>
      </c>
      <c r="C1645">
        <v>62924000</v>
      </c>
      <c r="D1645">
        <v>2.1469999999999998</v>
      </c>
      <c r="E1645">
        <v>24</v>
      </c>
      <c r="F1645">
        <v>2.29</v>
      </c>
      <c r="G1645">
        <v>0.1419</v>
      </c>
      <c r="H1645">
        <v>0</v>
      </c>
      <c r="J1645">
        <v>1</v>
      </c>
      <c r="K1645">
        <f>YEAR(NetflixData[[#This Row],[date]])</f>
        <v>2023</v>
      </c>
      <c r="L1645" t="str">
        <f>TEXT(NetflixData[[#This Row],[date]],"mmm")</f>
        <v>Mar</v>
      </c>
      <c r="M1645" t="str">
        <f>TEXT(NetflixData[[#This Row],[date]],"mmm yyyy")</f>
        <v>Mar 2023</v>
      </c>
      <c r="N1645" t="str">
        <f t="shared" si="75"/>
        <v>Trading Day</v>
      </c>
      <c r="O1645" t="str">
        <f t="shared" si="76"/>
        <v>Positive</v>
      </c>
      <c r="P1645" t="str">
        <f t="shared" si="77"/>
        <v>Positive</v>
      </c>
    </row>
    <row r="1646" spans="1:16" x14ac:dyDescent="0.3">
      <c r="A1646" s="1">
        <v>44999</v>
      </c>
      <c r="B1646">
        <v>29.49</v>
      </c>
      <c r="C1646">
        <v>59567000</v>
      </c>
      <c r="D1646">
        <v>-0.34799999999999998</v>
      </c>
      <c r="E1646">
        <v>28</v>
      </c>
      <c r="F1646">
        <v>2</v>
      </c>
      <c r="G1646">
        <v>0.12089999999999999</v>
      </c>
      <c r="H1646">
        <v>0</v>
      </c>
      <c r="J1646">
        <v>1</v>
      </c>
      <c r="K1646">
        <f>YEAR(NetflixData[[#This Row],[date]])</f>
        <v>2023</v>
      </c>
      <c r="L1646" t="str">
        <f>TEXT(NetflixData[[#This Row],[date]],"mmm")</f>
        <v>Mar</v>
      </c>
      <c r="M1646" t="str">
        <f>TEXT(NetflixData[[#This Row],[date]],"mmm yyyy")</f>
        <v>Mar 2023</v>
      </c>
      <c r="N1646" t="str">
        <f t="shared" si="75"/>
        <v>Trading Day</v>
      </c>
      <c r="O1646" t="str">
        <f t="shared" si="76"/>
        <v>Negative</v>
      </c>
      <c r="P1646" t="str">
        <f t="shared" si="77"/>
        <v>Positive</v>
      </c>
    </row>
    <row r="1647" spans="1:16" x14ac:dyDescent="0.3">
      <c r="A1647" s="1">
        <v>45000</v>
      </c>
      <c r="B1647">
        <v>30.38</v>
      </c>
      <c r="C1647">
        <v>92153000</v>
      </c>
      <c r="D1647">
        <v>3.8559999999999999</v>
      </c>
      <c r="E1647">
        <v>25</v>
      </c>
      <c r="F1647">
        <v>2.64</v>
      </c>
      <c r="G1647">
        <v>0.23050000000000001</v>
      </c>
      <c r="H1647">
        <v>0</v>
      </c>
      <c r="J1647">
        <v>1</v>
      </c>
      <c r="K1647">
        <f>YEAR(NetflixData[[#This Row],[date]])</f>
        <v>2023</v>
      </c>
      <c r="L1647" t="str">
        <f>TEXT(NetflixData[[#This Row],[date]],"mmm")</f>
        <v>Mar</v>
      </c>
      <c r="M1647" t="str">
        <f>TEXT(NetflixData[[#This Row],[date]],"mmm yyyy")</f>
        <v>Mar 2023</v>
      </c>
      <c r="N1647" t="str">
        <f t="shared" si="75"/>
        <v>Trading Day</v>
      </c>
      <c r="O1647" t="str">
        <f t="shared" si="76"/>
        <v>Positive</v>
      </c>
      <c r="P1647" t="str">
        <f t="shared" si="77"/>
        <v>Positive</v>
      </c>
    </row>
    <row r="1648" spans="1:16" x14ac:dyDescent="0.3">
      <c r="A1648" s="1">
        <v>45001</v>
      </c>
      <c r="B1648">
        <v>31.01</v>
      </c>
      <c r="C1648">
        <v>79037000</v>
      </c>
      <c r="D1648">
        <v>1.742</v>
      </c>
      <c r="E1648">
        <v>33</v>
      </c>
      <c r="F1648">
        <v>2.61</v>
      </c>
      <c r="G1648">
        <v>0.23930000000000001</v>
      </c>
      <c r="H1648">
        <v>0</v>
      </c>
      <c r="J1648">
        <v>1</v>
      </c>
      <c r="K1648">
        <f>YEAR(NetflixData[[#This Row],[date]])</f>
        <v>2023</v>
      </c>
      <c r="L1648" t="str">
        <f>TEXT(NetflixData[[#This Row],[date]],"mmm")</f>
        <v>Mar</v>
      </c>
      <c r="M1648" t="str">
        <f>TEXT(NetflixData[[#This Row],[date]],"mmm yyyy")</f>
        <v>Mar 2023</v>
      </c>
      <c r="N1648" t="str">
        <f t="shared" si="75"/>
        <v>Trading Day</v>
      </c>
      <c r="O1648" t="str">
        <f t="shared" si="76"/>
        <v>Positive</v>
      </c>
      <c r="P1648" t="str">
        <f t="shared" si="77"/>
        <v>Positive</v>
      </c>
    </row>
    <row r="1649" spans="1:16" x14ac:dyDescent="0.3">
      <c r="A1649" s="1">
        <v>45002</v>
      </c>
      <c r="B1649">
        <v>30.35</v>
      </c>
      <c r="C1649">
        <v>69188000</v>
      </c>
      <c r="D1649">
        <v>-2.1160000000000001</v>
      </c>
      <c r="E1649">
        <v>41</v>
      </c>
      <c r="F1649">
        <v>2.9</v>
      </c>
      <c r="G1649">
        <v>0.15989999999999999</v>
      </c>
      <c r="H1649">
        <v>0</v>
      </c>
      <c r="J1649">
        <v>1</v>
      </c>
      <c r="K1649">
        <f>YEAR(NetflixData[[#This Row],[date]])</f>
        <v>2023</v>
      </c>
      <c r="L1649" t="str">
        <f>TEXT(NetflixData[[#This Row],[date]],"mmm")</f>
        <v>Mar</v>
      </c>
      <c r="M1649" t="str">
        <f>TEXT(NetflixData[[#This Row],[date]],"mmm yyyy")</f>
        <v>Mar 2023</v>
      </c>
      <c r="N1649" t="str">
        <f t="shared" si="75"/>
        <v>Non-Trading Day</v>
      </c>
      <c r="O1649" t="str">
        <f t="shared" si="76"/>
        <v>Negative</v>
      </c>
      <c r="P1649" t="str">
        <f t="shared" si="77"/>
        <v>Positive</v>
      </c>
    </row>
    <row r="1650" spans="1:16" x14ac:dyDescent="0.3">
      <c r="A1650" s="1">
        <v>45003</v>
      </c>
      <c r="B1650">
        <v>30.35</v>
      </c>
      <c r="C1650">
        <v>0</v>
      </c>
      <c r="D1650">
        <v>0</v>
      </c>
      <c r="E1650">
        <v>35</v>
      </c>
      <c r="F1650">
        <v>2.46</v>
      </c>
      <c r="G1650">
        <v>0.1118</v>
      </c>
      <c r="H1650">
        <v>0</v>
      </c>
      <c r="J1650">
        <v>0</v>
      </c>
      <c r="K1650">
        <f>YEAR(NetflixData[[#This Row],[date]])</f>
        <v>2023</v>
      </c>
      <c r="L1650" t="str">
        <f>TEXT(NetflixData[[#This Row],[date]],"mmm")</f>
        <v>Mar</v>
      </c>
      <c r="M1650" t="str">
        <f>TEXT(NetflixData[[#This Row],[date]],"mmm yyyy")</f>
        <v>Mar 2023</v>
      </c>
      <c r="N1650" t="str">
        <f t="shared" si="75"/>
        <v>Non-Trading Day</v>
      </c>
      <c r="O1650" t="str">
        <f t="shared" si="76"/>
        <v>No Change</v>
      </c>
      <c r="P1650" t="str">
        <f t="shared" si="77"/>
        <v>Positive</v>
      </c>
    </row>
    <row r="1651" spans="1:16" x14ac:dyDescent="0.3">
      <c r="A1651" s="1">
        <v>45004</v>
      </c>
      <c r="B1651">
        <v>30.35</v>
      </c>
      <c r="C1651">
        <v>0</v>
      </c>
      <c r="D1651">
        <v>0</v>
      </c>
      <c r="E1651">
        <v>25</v>
      </c>
      <c r="F1651">
        <v>2.6</v>
      </c>
      <c r="G1651">
        <v>0.1216</v>
      </c>
      <c r="H1651">
        <v>0</v>
      </c>
      <c r="J1651">
        <v>0</v>
      </c>
      <c r="K1651">
        <f>YEAR(NetflixData[[#This Row],[date]])</f>
        <v>2023</v>
      </c>
      <c r="L1651" t="str">
        <f>TEXT(NetflixData[[#This Row],[date]],"mmm")</f>
        <v>Mar</v>
      </c>
      <c r="M1651" t="str">
        <f>TEXT(NetflixData[[#This Row],[date]],"mmm yyyy")</f>
        <v>Mar 2023</v>
      </c>
      <c r="N1651" t="str">
        <f t="shared" si="75"/>
        <v>Trading Day</v>
      </c>
      <c r="O1651" t="str">
        <f t="shared" si="76"/>
        <v>No Change</v>
      </c>
      <c r="P1651" t="str">
        <f t="shared" si="77"/>
        <v>Positive</v>
      </c>
    </row>
    <row r="1652" spans="1:16" x14ac:dyDescent="0.3">
      <c r="A1652" s="1">
        <v>45005</v>
      </c>
      <c r="B1652">
        <v>30.51</v>
      </c>
      <c r="C1652">
        <v>51134000</v>
      </c>
      <c r="D1652">
        <v>1.7809999999999999</v>
      </c>
      <c r="E1652">
        <v>30</v>
      </c>
      <c r="F1652">
        <v>2.6</v>
      </c>
      <c r="G1652">
        <v>5.04E-2</v>
      </c>
      <c r="H1652">
        <v>0</v>
      </c>
      <c r="J1652">
        <v>1</v>
      </c>
      <c r="K1652">
        <f>YEAR(NetflixData[[#This Row],[date]])</f>
        <v>2023</v>
      </c>
      <c r="L1652" t="str">
        <f>TEXT(NetflixData[[#This Row],[date]],"mmm")</f>
        <v>Mar</v>
      </c>
      <c r="M1652" t="str">
        <f>TEXT(NetflixData[[#This Row],[date]],"mmm yyyy")</f>
        <v>Mar 2023</v>
      </c>
      <c r="N1652" t="str">
        <f t="shared" si="75"/>
        <v>Trading Day</v>
      </c>
      <c r="O1652" t="str">
        <f t="shared" si="76"/>
        <v>Positive</v>
      </c>
      <c r="P1652" t="str">
        <f t="shared" si="77"/>
        <v>Neutral</v>
      </c>
    </row>
    <row r="1653" spans="1:16" x14ac:dyDescent="0.3">
      <c r="A1653" s="1">
        <v>45006</v>
      </c>
      <c r="B1653">
        <v>30.58</v>
      </c>
      <c r="C1653">
        <v>48863000</v>
      </c>
      <c r="D1653">
        <v>-0.17299999999999999</v>
      </c>
      <c r="E1653">
        <v>29</v>
      </c>
      <c r="F1653">
        <v>2.79</v>
      </c>
      <c r="G1653">
        <v>0.2142</v>
      </c>
      <c r="H1653">
        <v>0</v>
      </c>
      <c r="J1653">
        <v>1</v>
      </c>
      <c r="K1653">
        <f>YEAR(NetflixData[[#This Row],[date]])</f>
        <v>2023</v>
      </c>
      <c r="L1653" t="str">
        <f>TEXT(NetflixData[[#This Row],[date]],"mmm")</f>
        <v>Mar</v>
      </c>
      <c r="M1653" t="str">
        <f>TEXT(NetflixData[[#This Row],[date]],"mmm yyyy")</f>
        <v>Mar 2023</v>
      </c>
      <c r="N1653" t="str">
        <f t="shared" si="75"/>
        <v>Trading Day</v>
      </c>
      <c r="O1653" t="str">
        <f t="shared" si="76"/>
        <v>Negative</v>
      </c>
      <c r="P1653" t="str">
        <f t="shared" si="77"/>
        <v>Positive</v>
      </c>
    </row>
    <row r="1654" spans="1:16" x14ac:dyDescent="0.3">
      <c r="A1654" s="1">
        <v>45007</v>
      </c>
      <c r="B1654">
        <v>29.39</v>
      </c>
      <c r="C1654">
        <v>58080000</v>
      </c>
      <c r="D1654">
        <v>-4.0510000000000002</v>
      </c>
      <c r="E1654">
        <v>21</v>
      </c>
      <c r="F1654">
        <v>2.67</v>
      </c>
      <c r="G1654">
        <v>7.6899999999999996E-2</v>
      </c>
      <c r="H1654">
        <v>0</v>
      </c>
      <c r="J1654">
        <v>1</v>
      </c>
      <c r="K1654">
        <f>YEAR(NetflixData[[#This Row],[date]])</f>
        <v>2023</v>
      </c>
      <c r="L1654" t="str">
        <f>TEXT(NetflixData[[#This Row],[date]],"mmm")</f>
        <v>Mar</v>
      </c>
      <c r="M1654" t="str">
        <f>TEXT(NetflixData[[#This Row],[date]],"mmm yyyy")</f>
        <v>Mar 2023</v>
      </c>
      <c r="N1654" t="str">
        <f t="shared" si="75"/>
        <v>Trading Day</v>
      </c>
      <c r="O1654" t="str">
        <f t="shared" si="76"/>
        <v>Negative</v>
      </c>
      <c r="P1654" t="str">
        <f t="shared" si="77"/>
        <v>Neutral</v>
      </c>
    </row>
    <row r="1655" spans="1:16" x14ac:dyDescent="0.3">
      <c r="A1655" s="1">
        <v>45008</v>
      </c>
      <c r="B1655">
        <v>32.04</v>
      </c>
      <c r="C1655">
        <v>156533000</v>
      </c>
      <c r="D1655">
        <v>5.15</v>
      </c>
      <c r="E1655">
        <v>31</v>
      </c>
      <c r="F1655">
        <v>2.19</v>
      </c>
      <c r="G1655">
        <v>0.13969999999999999</v>
      </c>
      <c r="H1655">
        <v>0</v>
      </c>
      <c r="J1655">
        <v>1</v>
      </c>
      <c r="K1655">
        <f>YEAR(NetflixData[[#This Row],[date]])</f>
        <v>2023</v>
      </c>
      <c r="L1655" t="str">
        <f>TEXT(NetflixData[[#This Row],[date]],"mmm")</f>
        <v>Mar</v>
      </c>
      <c r="M1655" t="str">
        <f>TEXT(NetflixData[[#This Row],[date]],"mmm yyyy")</f>
        <v>Mar 2023</v>
      </c>
      <c r="N1655" t="str">
        <f t="shared" si="75"/>
        <v>Trading Day</v>
      </c>
      <c r="O1655" t="str">
        <f t="shared" si="76"/>
        <v>Positive</v>
      </c>
      <c r="P1655" t="str">
        <f t="shared" si="77"/>
        <v>Positive</v>
      </c>
    </row>
    <row r="1656" spans="1:16" x14ac:dyDescent="0.3">
      <c r="A1656" s="1">
        <v>45009</v>
      </c>
      <c r="B1656">
        <v>32.840000000000003</v>
      </c>
      <c r="C1656">
        <v>129917000</v>
      </c>
      <c r="D1656">
        <v>2.42</v>
      </c>
      <c r="E1656">
        <v>32</v>
      </c>
      <c r="F1656">
        <v>2.12</v>
      </c>
      <c r="G1656">
        <v>1.03E-2</v>
      </c>
      <c r="H1656">
        <v>0</v>
      </c>
      <c r="J1656">
        <v>1</v>
      </c>
      <c r="K1656">
        <f>YEAR(NetflixData[[#This Row],[date]])</f>
        <v>2023</v>
      </c>
      <c r="L1656" t="str">
        <f>TEXT(NetflixData[[#This Row],[date]],"mmm")</f>
        <v>Mar</v>
      </c>
      <c r="M1656" t="str">
        <f>TEXT(NetflixData[[#This Row],[date]],"mmm yyyy")</f>
        <v>Mar 2023</v>
      </c>
      <c r="N1656" t="str">
        <f t="shared" si="75"/>
        <v>Non-Trading Day</v>
      </c>
      <c r="O1656" t="str">
        <f t="shared" si="76"/>
        <v>Positive</v>
      </c>
      <c r="P1656" t="str">
        <f t="shared" si="77"/>
        <v>Neutral</v>
      </c>
    </row>
    <row r="1657" spans="1:16" x14ac:dyDescent="0.3">
      <c r="A1657" s="1">
        <v>45010</v>
      </c>
      <c r="B1657">
        <v>32.840000000000003</v>
      </c>
      <c r="C1657">
        <v>0</v>
      </c>
      <c r="D1657">
        <v>0</v>
      </c>
      <c r="E1657">
        <v>37</v>
      </c>
      <c r="F1657">
        <v>2.2400000000000002</v>
      </c>
      <c r="G1657">
        <v>0.16470000000000001</v>
      </c>
      <c r="H1657">
        <v>0</v>
      </c>
      <c r="J1657">
        <v>0</v>
      </c>
      <c r="K1657">
        <f>YEAR(NetflixData[[#This Row],[date]])</f>
        <v>2023</v>
      </c>
      <c r="L1657" t="str">
        <f>TEXT(NetflixData[[#This Row],[date]],"mmm")</f>
        <v>Mar</v>
      </c>
      <c r="M1657" t="str">
        <f>TEXT(NetflixData[[#This Row],[date]],"mmm yyyy")</f>
        <v>Mar 2023</v>
      </c>
      <c r="N1657" t="str">
        <f t="shared" si="75"/>
        <v>Non-Trading Day</v>
      </c>
      <c r="O1657" t="str">
        <f t="shared" si="76"/>
        <v>No Change</v>
      </c>
      <c r="P1657" t="str">
        <f t="shared" si="77"/>
        <v>Positive</v>
      </c>
    </row>
    <row r="1658" spans="1:16" x14ac:dyDescent="0.3">
      <c r="A1658" s="1">
        <v>45011</v>
      </c>
      <c r="B1658">
        <v>32.840000000000003</v>
      </c>
      <c r="C1658">
        <v>0</v>
      </c>
      <c r="D1658">
        <v>0</v>
      </c>
      <c r="E1658">
        <v>36</v>
      </c>
      <c r="F1658">
        <v>2.19</v>
      </c>
      <c r="G1658">
        <v>3.2800000000000003E-2</v>
      </c>
      <c r="H1658">
        <v>0</v>
      </c>
      <c r="J1658">
        <v>0</v>
      </c>
      <c r="K1658">
        <f>YEAR(NetflixData[[#This Row],[date]])</f>
        <v>2023</v>
      </c>
      <c r="L1658" t="str">
        <f>TEXT(NetflixData[[#This Row],[date]],"mmm")</f>
        <v>Mar</v>
      </c>
      <c r="M1658" t="str">
        <f>TEXT(NetflixData[[#This Row],[date]],"mmm yyyy")</f>
        <v>Mar 2023</v>
      </c>
      <c r="N1658" t="str">
        <f t="shared" si="75"/>
        <v>Trading Day</v>
      </c>
      <c r="O1658" t="str">
        <f t="shared" si="76"/>
        <v>No Change</v>
      </c>
      <c r="P1658" t="str">
        <f t="shared" si="77"/>
        <v>Neutral</v>
      </c>
    </row>
    <row r="1659" spans="1:16" x14ac:dyDescent="0.3">
      <c r="A1659" s="1">
        <v>45012</v>
      </c>
      <c r="B1659">
        <v>32.770000000000003</v>
      </c>
      <c r="C1659">
        <v>86258000</v>
      </c>
      <c r="D1659">
        <v>3.4000000000000002E-2</v>
      </c>
      <c r="E1659">
        <v>28</v>
      </c>
      <c r="F1659">
        <v>1.93</v>
      </c>
      <c r="G1659">
        <v>7.1999999999999995E-2</v>
      </c>
      <c r="H1659">
        <v>0</v>
      </c>
      <c r="J1659">
        <v>1</v>
      </c>
      <c r="K1659">
        <f>YEAR(NetflixData[[#This Row],[date]])</f>
        <v>2023</v>
      </c>
      <c r="L1659" t="str">
        <f>TEXT(NetflixData[[#This Row],[date]],"mmm")</f>
        <v>Mar</v>
      </c>
      <c r="M1659" t="str">
        <f>TEXT(NetflixData[[#This Row],[date]],"mmm yyyy")</f>
        <v>Mar 2023</v>
      </c>
      <c r="N1659" t="str">
        <f t="shared" si="75"/>
        <v>Trading Day</v>
      </c>
      <c r="O1659" t="str">
        <f t="shared" si="76"/>
        <v>Positive</v>
      </c>
      <c r="P1659" t="str">
        <f t="shared" si="77"/>
        <v>Neutral</v>
      </c>
    </row>
    <row r="1660" spans="1:16" x14ac:dyDescent="0.3">
      <c r="A1660" s="1">
        <v>45013</v>
      </c>
      <c r="B1660">
        <v>32.35</v>
      </c>
      <c r="C1660">
        <v>64894000</v>
      </c>
      <c r="D1660">
        <v>-0.77900000000000003</v>
      </c>
      <c r="E1660">
        <v>18</v>
      </c>
      <c r="F1660">
        <v>1.61</v>
      </c>
      <c r="G1660">
        <v>0.16320000000000001</v>
      </c>
      <c r="H1660">
        <v>0</v>
      </c>
      <c r="J1660">
        <v>1</v>
      </c>
      <c r="K1660">
        <f>YEAR(NetflixData[[#This Row],[date]])</f>
        <v>2023</v>
      </c>
      <c r="L1660" t="str">
        <f>TEXT(NetflixData[[#This Row],[date]],"mmm")</f>
        <v>Mar</v>
      </c>
      <c r="M1660" t="str">
        <f>TEXT(NetflixData[[#This Row],[date]],"mmm yyyy")</f>
        <v>Mar 2023</v>
      </c>
      <c r="N1660" t="str">
        <f t="shared" si="75"/>
        <v>Trading Day</v>
      </c>
      <c r="O1660" t="str">
        <f t="shared" si="76"/>
        <v>Negative</v>
      </c>
      <c r="P1660" t="str">
        <f t="shared" si="77"/>
        <v>Positive</v>
      </c>
    </row>
    <row r="1661" spans="1:16" x14ac:dyDescent="0.3">
      <c r="A1661" s="1">
        <v>45014</v>
      </c>
      <c r="B1661">
        <v>33.200000000000003</v>
      </c>
      <c r="C1661">
        <v>62873000</v>
      </c>
      <c r="D1661">
        <v>1.7589999999999999</v>
      </c>
      <c r="E1661">
        <v>23</v>
      </c>
      <c r="F1661">
        <v>2</v>
      </c>
      <c r="G1661">
        <v>4.9200000000000001E-2</v>
      </c>
      <c r="H1661">
        <v>0</v>
      </c>
      <c r="J1661">
        <v>1</v>
      </c>
      <c r="K1661">
        <f>YEAR(NetflixData[[#This Row],[date]])</f>
        <v>2023</v>
      </c>
      <c r="L1661" t="str">
        <f>TEXT(NetflixData[[#This Row],[date]],"mmm")</f>
        <v>Mar</v>
      </c>
      <c r="M1661" t="str">
        <f>TEXT(NetflixData[[#This Row],[date]],"mmm yyyy")</f>
        <v>Mar 2023</v>
      </c>
      <c r="N1661" t="str">
        <f t="shared" si="75"/>
        <v>Trading Day</v>
      </c>
      <c r="O1661" t="str">
        <f t="shared" si="76"/>
        <v>Positive</v>
      </c>
      <c r="P1661" t="str">
        <f t="shared" si="77"/>
        <v>Neutral</v>
      </c>
    </row>
    <row r="1662" spans="1:16" x14ac:dyDescent="0.3">
      <c r="A1662" s="1">
        <v>45015</v>
      </c>
      <c r="B1662">
        <v>33.840000000000003</v>
      </c>
      <c r="C1662">
        <v>71315000</v>
      </c>
      <c r="D1662">
        <v>-0.54100000000000004</v>
      </c>
      <c r="E1662">
        <v>23</v>
      </c>
      <c r="F1662">
        <v>1.87</v>
      </c>
      <c r="G1662">
        <v>-2.8E-3</v>
      </c>
      <c r="H1662">
        <v>0</v>
      </c>
      <c r="J1662">
        <v>1</v>
      </c>
      <c r="K1662">
        <f>YEAR(NetflixData[[#This Row],[date]])</f>
        <v>2023</v>
      </c>
      <c r="L1662" t="str">
        <f>TEXT(NetflixData[[#This Row],[date]],"mmm")</f>
        <v>Mar</v>
      </c>
      <c r="M1662" t="str">
        <f>TEXT(NetflixData[[#This Row],[date]],"mmm yyyy")</f>
        <v>Mar 2023</v>
      </c>
      <c r="N1662" t="str">
        <f t="shared" si="75"/>
        <v>Trading Day</v>
      </c>
      <c r="O1662" t="str">
        <f t="shared" si="76"/>
        <v>Negative</v>
      </c>
      <c r="P1662" t="str">
        <f t="shared" si="77"/>
        <v>Neutral</v>
      </c>
    </row>
    <row r="1663" spans="1:16" x14ac:dyDescent="0.3">
      <c r="A1663" s="1">
        <v>45016</v>
      </c>
      <c r="B1663">
        <v>34.549999999999997</v>
      </c>
      <c r="C1663">
        <v>56102000</v>
      </c>
      <c r="D1663">
        <v>1.597</v>
      </c>
      <c r="E1663">
        <v>27</v>
      </c>
      <c r="F1663">
        <v>2.74</v>
      </c>
      <c r="G1663">
        <v>8.5900000000000004E-2</v>
      </c>
      <c r="H1663">
        <v>0</v>
      </c>
      <c r="J1663">
        <v>1</v>
      </c>
      <c r="K1663">
        <f>YEAR(NetflixData[[#This Row],[date]])</f>
        <v>2023</v>
      </c>
      <c r="L1663" t="str">
        <f>TEXT(NetflixData[[#This Row],[date]],"mmm")</f>
        <v>Mar</v>
      </c>
      <c r="M1663" t="str">
        <f>TEXT(NetflixData[[#This Row],[date]],"mmm yyyy")</f>
        <v>Mar 2023</v>
      </c>
      <c r="N1663" t="str">
        <f t="shared" si="75"/>
        <v>Non-Trading Day</v>
      </c>
      <c r="O1663" t="str">
        <f t="shared" si="76"/>
        <v>Positive</v>
      </c>
      <c r="P1663" t="str">
        <f t="shared" si="77"/>
        <v>Neutral</v>
      </c>
    </row>
    <row r="1664" spans="1:16" x14ac:dyDescent="0.3">
      <c r="A1664" s="1">
        <v>45017</v>
      </c>
      <c r="B1664">
        <v>34.549999999999997</v>
      </c>
      <c r="C1664">
        <v>0</v>
      </c>
      <c r="D1664">
        <v>0</v>
      </c>
      <c r="E1664">
        <v>31</v>
      </c>
      <c r="F1664">
        <v>2.42</v>
      </c>
      <c r="G1664">
        <v>-1.04E-2</v>
      </c>
      <c r="H1664">
        <v>0</v>
      </c>
      <c r="J1664">
        <v>0</v>
      </c>
      <c r="K1664">
        <f>YEAR(NetflixData[[#This Row],[date]])</f>
        <v>2023</v>
      </c>
      <c r="L1664" t="str">
        <f>TEXT(NetflixData[[#This Row],[date]],"mmm")</f>
        <v>Apr</v>
      </c>
      <c r="M1664" t="str">
        <f>TEXT(NetflixData[[#This Row],[date]],"mmm yyyy")</f>
        <v>Apr 2023</v>
      </c>
      <c r="N1664" t="str">
        <f t="shared" si="75"/>
        <v>Non-Trading Day</v>
      </c>
      <c r="O1664" t="str">
        <f t="shared" si="76"/>
        <v>No Change</v>
      </c>
      <c r="P1664" t="str">
        <f t="shared" si="77"/>
        <v>Neutral</v>
      </c>
    </row>
    <row r="1665" spans="1:16" x14ac:dyDescent="0.3">
      <c r="A1665" s="1">
        <v>45018</v>
      </c>
      <c r="B1665">
        <v>34.549999999999997</v>
      </c>
      <c r="C1665">
        <v>0</v>
      </c>
      <c r="D1665">
        <v>0</v>
      </c>
      <c r="E1665">
        <v>32</v>
      </c>
      <c r="F1665">
        <v>2.78</v>
      </c>
      <c r="G1665">
        <v>0.39529999999999998</v>
      </c>
      <c r="H1665">
        <v>0</v>
      </c>
      <c r="J1665">
        <v>0</v>
      </c>
      <c r="K1665">
        <f>YEAR(NetflixData[[#This Row],[date]])</f>
        <v>2023</v>
      </c>
      <c r="L1665" t="str">
        <f>TEXT(NetflixData[[#This Row],[date]],"mmm")</f>
        <v>Apr</v>
      </c>
      <c r="M1665" t="str">
        <f>TEXT(NetflixData[[#This Row],[date]],"mmm yyyy")</f>
        <v>Apr 2023</v>
      </c>
      <c r="N1665" t="str">
        <f t="shared" si="75"/>
        <v>Trading Day</v>
      </c>
      <c r="O1665" t="str">
        <f t="shared" si="76"/>
        <v>No Change</v>
      </c>
      <c r="P1665" t="str">
        <f t="shared" si="77"/>
        <v>Positive</v>
      </c>
    </row>
    <row r="1666" spans="1:16" x14ac:dyDescent="0.3">
      <c r="A1666" s="1">
        <v>45019</v>
      </c>
      <c r="B1666">
        <v>34.83</v>
      </c>
      <c r="C1666">
        <v>44137000</v>
      </c>
      <c r="D1666">
        <v>1.887</v>
      </c>
      <c r="E1666">
        <v>25</v>
      </c>
      <c r="F1666">
        <v>2.36</v>
      </c>
      <c r="G1666">
        <v>7.7499999999999999E-2</v>
      </c>
      <c r="H1666">
        <v>0</v>
      </c>
      <c r="J1666">
        <v>1</v>
      </c>
      <c r="K1666">
        <f>YEAR(NetflixData[[#This Row],[date]])</f>
        <v>2023</v>
      </c>
      <c r="L1666" t="str">
        <f>TEXT(NetflixData[[#This Row],[date]],"mmm")</f>
        <v>Apr</v>
      </c>
      <c r="M1666" t="str">
        <f>TEXT(NetflixData[[#This Row],[date]],"mmm yyyy")</f>
        <v>Apr 2023</v>
      </c>
      <c r="N1666" t="str">
        <f t="shared" ref="N1666:N1729" si="78">IF(J1667=1,"Trading Day","Non-Trading Day")</f>
        <v>Trading Day</v>
      </c>
      <c r="O1666" t="str">
        <f t="shared" ref="O1666:O1729" si="79">IF(D1666&gt;0,"Positive",IF(D1666&lt;0,"Negative","No Change"))</f>
        <v>Positive</v>
      </c>
      <c r="P1666" t="str">
        <f t="shared" ref="P1666:P1729" si="80">IF(G1666&gt;0.1,"Positive",IF(G1666&lt;-0.1,"Negative","Neutral"))</f>
        <v>Neutral</v>
      </c>
    </row>
    <row r="1667" spans="1:16" x14ac:dyDescent="0.3">
      <c r="A1667" s="1">
        <v>45020</v>
      </c>
      <c r="B1667">
        <v>34.67</v>
      </c>
      <c r="C1667">
        <v>32981000</v>
      </c>
      <c r="D1667">
        <v>-0.499</v>
      </c>
      <c r="E1667">
        <v>28</v>
      </c>
      <c r="F1667">
        <v>2.1800000000000002</v>
      </c>
      <c r="G1667">
        <v>0.1807</v>
      </c>
      <c r="H1667">
        <v>0</v>
      </c>
      <c r="J1667">
        <v>1</v>
      </c>
      <c r="K1667">
        <f>YEAR(NetflixData[[#This Row],[date]])</f>
        <v>2023</v>
      </c>
      <c r="L1667" t="str">
        <f>TEXT(NetflixData[[#This Row],[date]],"mmm")</f>
        <v>Apr</v>
      </c>
      <c r="M1667" t="str">
        <f>TEXT(NetflixData[[#This Row],[date]],"mmm yyyy")</f>
        <v>Apr 2023</v>
      </c>
      <c r="N1667" t="str">
        <f t="shared" si="78"/>
        <v>Trading Day</v>
      </c>
      <c r="O1667" t="str">
        <f t="shared" si="79"/>
        <v>Negative</v>
      </c>
      <c r="P1667" t="str">
        <f t="shared" si="80"/>
        <v>Positive</v>
      </c>
    </row>
    <row r="1668" spans="1:16" x14ac:dyDescent="0.3">
      <c r="A1668" s="1">
        <v>45021</v>
      </c>
      <c r="B1668">
        <v>34.24</v>
      </c>
      <c r="C1668">
        <v>42055000</v>
      </c>
      <c r="D1668">
        <v>-0.85399999999999998</v>
      </c>
      <c r="E1668">
        <v>26</v>
      </c>
      <c r="F1668">
        <v>3</v>
      </c>
      <c r="G1668">
        <v>0.21840000000000001</v>
      </c>
      <c r="H1668">
        <v>0</v>
      </c>
      <c r="J1668">
        <v>1</v>
      </c>
      <c r="K1668">
        <f>YEAR(NetflixData[[#This Row],[date]])</f>
        <v>2023</v>
      </c>
      <c r="L1668" t="str">
        <f>TEXT(NetflixData[[#This Row],[date]],"mmm")</f>
        <v>Apr</v>
      </c>
      <c r="M1668" t="str">
        <f>TEXT(NetflixData[[#This Row],[date]],"mmm yyyy")</f>
        <v>Apr 2023</v>
      </c>
      <c r="N1668" t="str">
        <f t="shared" si="78"/>
        <v>Trading Day</v>
      </c>
      <c r="O1668" t="str">
        <f t="shared" si="79"/>
        <v>Negative</v>
      </c>
      <c r="P1668" t="str">
        <f t="shared" si="80"/>
        <v>Positive</v>
      </c>
    </row>
    <row r="1669" spans="1:16" x14ac:dyDescent="0.3">
      <c r="A1669" s="1">
        <v>45022</v>
      </c>
      <c r="B1669">
        <v>33.93</v>
      </c>
      <c r="C1669">
        <v>46605000</v>
      </c>
      <c r="D1669">
        <v>-3.0000000000000001E-3</v>
      </c>
      <c r="E1669">
        <v>34</v>
      </c>
      <c r="F1669">
        <v>2.5299999999999998</v>
      </c>
      <c r="G1669">
        <v>0.14430000000000001</v>
      </c>
      <c r="H1669">
        <v>0</v>
      </c>
      <c r="J1669">
        <v>1</v>
      </c>
      <c r="K1669">
        <f>YEAR(NetflixData[[#This Row],[date]])</f>
        <v>2023</v>
      </c>
      <c r="L1669" t="str">
        <f>TEXT(NetflixData[[#This Row],[date]],"mmm")</f>
        <v>Apr</v>
      </c>
      <c r="M1669" t="str">
        <f>TEXT(NetflixData[[#This Row],[date]],"mmm yyyy")</f>
        <v>Apr 2023</v>
      </c>
      <c r="N1669" t="str">
        <f t="shared" si="78"/>
        <v>Non-Trading Day</v>
      </c>
      <c r="O1669" t="str">
        <f t="shared" si="79"/>
        <v>Negative</v>
      </c>
      <c r="P1669" t="str">
        <f t="shared" si="80"/>
        <v>Positive</v>
      </c>
    </row>
    <row r="1670" spans="1:16" x14ac:dyDescent="0.3">
      <c r="A1670" s="1">
        <v>45023</v>
      </c>
      <c r="B1670">
        <v>33.93</v>
      </c>
      <c r="C1670">
        <v>0</v>
      </c>
      <c r="D1670">
        <v>0</v>
      </c>
      <c r="E1670">
        <v>13</v>
      </c>
      <c r="F1670">
        <v>2.62</v>
      </c>
      <c r="G1670">
        <v>0.26069999999999999</v>
      </c>
      <c r="H1670">
        <v>0</v>
      </c>
      <c r="J1670">
        <v>0</v>
      </c>
      <c r="K1670">
        <f>YEAR(NetflixData[[#This Row],[date]])</f>
        <v>2023</v>
      </c>
      <c r="L1670" t="str">
        <f>TEXT(NetflixData[[#This Row],[date]],"mmm")</f>
        <v>Apr</v>
      </c>
      <c r="M1670" t="str">
        <f>TEXT(NetflixData[[#This Row],[date]],"mmm yyyy")</f>
        <v>Apr 2023</v>
      </c>
      <c r="N1670" t="str">
        <f t="shared" si="78"/>
        <v>Non-Trading Day</v>
      </c>
      <c r="O1670" t="str">
        <f t="shared" si="79"/>
        <v>No Change</v>
      </c>
      <c r="P1670" t="str">
        <f t="shared" si="80"/>
        <v>Positive</v>
      </c>
    </row>
    <row r="1671" spans="1:16" x14ac:dyDescent="0.3">
      <c r="A1671" s="1">
        <v>45024</v>
      </c>
      <c r="B1671">
        <v>33.93</v>
      </c>
      <c r="C1671">
        <v>0</v>
      </c>
      <c r="D1671">
        <v>0</v>
      </c>
      <c r="E1671">
        <v>25</v>
      </c>
      <c r="F1671">
        <v>2.64</v>
      </c>
      <c r="G1671">
        <v>0.24809999999999999</v>
      </c>
      <c r="H1671">
        <v>0</v>
      </c>
      <c r="J1671">
        <v>0</v>
      </c>
      <c r="K1671">
        <f>YEAR(NetflixData[[#This Row],[date]])</f>
        <v>2023</v>
      </c>
      <c r="L1671" t="str">
        <f>TEXT(NetflixData[[#This Row],[date]],"mmm")</f>
        <v>Apr</v>
      </c>
      <c r="M1671" t="str">
        <f>TEXT(NetflixData[[#This Row],[date]],"mmm yyyy")</f>
        <v>Apr 2023</v>
      </c>
      <c r="N1671" t="str">
        <f t="shared" si="78"/>
        <v>Non-Trading Day</v>
      </c>
      <c r="O1671" t="str">
        <f t="shared" si="79"/>
        <v>No Change</v>
      </c>
      <c r="P1671" t="str">
        <f t="shared" si="80"/>
        <v>Positive</v>
      </c>
    </row>
    <row r="1672" spans="1:16" x14ac:dyDescent="0.3">
      <c r="A1672" s="1">
        <v>45025</v>
      </c>
      <c r="B1672">
        <v>33.93</v>
      </c>
      <c r="C1672">
        <v>0</v>
      </c>
      <c r="D1672">
        <v>0</v>
      </c>
      <c r="E1672">
        <v>30</v>
      </c>
      <c r="F1672">
        <v>2.23</v>
      </c>
      <c r="G1672">
        <v>0.12740000000000001</v>
      </c>
      <c r="H1672">
        <v>0</v>
      </c>
      <c r="J1672">
        <v>0</v>
      </c>
      <c r="K1672">
        <f>YEAR(NetflixData[[#This Row],[date]])</f>
        <v>2023</v>
      </c>
      <c r="L1672" t="str">
        <f>TEXT(NetflixData[[#This Row],[date]],"mmm")</f>
        <v>Apr</v>
      </c>
      <c r="M1672" t="str">
        <f>TEXT(NetflixData[[#This Row],[date]],"mmm yyyy")</f>
        <v>Apr 2023</v>
      </c>
      <c r="N1672" t="str">
        <f t="shared" si="78"/>
        <v>Trading Day</v>
      </c>
      <c r="O1672" t="str">
        <f t="shared" si="79"/>
        <v>No Change</v>
      </c>
      <c r="P1672" t="str">
        <f t="shared" si="80"/>
        <v>Positive</v>
      </c>
    </row>
    <row r="1673" spans="1:16" x14ac:dyDescent="0.3">
      <c r="A1673" s="1">
        <v>45026</v>
      </c>
      <c r="B1673">
        <v>33.9</v>
      </c>
      <c r="C1673">
        <v>26579000</v>
      </c>
      <c r="D1673">
        <v>1.1100000000000001</v>
      </c>
      <c r="E1673">
        <v>26</v>
      </c>
      <c r="F1673">
        <v>2.65</v>
      </c>
      <c r="G1673">
        <v>0.24709999999999999</v>
      </c>
      <c r="H1673">
        <v>0</v>
      </c>
      <c r="J1673">
        <v>1</v>
      </c>
      <c r="K1673">
        <f>YEAR(NetflixData[[#This Row],[date]])</f>
        <v>2023</v>
      </c>
      <c r="L1673" t="str">
        <f>TEXT(NetflixData[[#This Row],[date]],"mmm")</f>
        <v>Apr</v>
      </c>
      <c r="M1673" t="str">
        <f>TEXT(NetflixData[[#This Row],[date]],"mmm yyyy")</f>
        <v>Apr 2023</v>
      </c>
      <c r="N1673" t="str">
        <f t="shared" si="78"/>
        <v>Trading Day</v>
      </c>
      <c r="O1673" t="str">
        <f t="shared" si="79"/>
        <v>Positive</v>
      </c>
      <c r="P1673" t="str">
        <f t="shared" si="80"/>
        <v>Positive</v>
      </c>
    </row>
    <row r="1674" spans="1:16" x14ac:dyDescent="0.3">
      <c r="A1674" s="1">
        <v>45027</v>
      </c>
      <c r="B1674">
        <v>33.82</v>
      </c>
      <c r="C1674">
        <v>40448000</v>
      </c>
      <c r="D1674">
        <v>-1.526</v>
      </c>
      <c r="E1674">
        <v>37</v>
      </c>
      <c r="F1674">
        <v>2.78</v>
      </c>
      <c r="G1674">
        <v>0.22370000000000001</v>
      </c>
      <c r="H1674">
        <v>0</v>
      </c>
      <c r="J1674">
        <v>1</v>
      </c>
      <c r="K1674">
        <f>YEAR(NetflixData[[#This Row],[date]])</f>
        <v>2023</v>
      </c>
      <c r="L1674" t="str">
        <f>TEXT(NetflixData[[#This Row],[date]],"mmm")</f>
        <v>Apr</v>
      </c>
      <c r="M1674" t="str">
        <f>TEXT(NetflixData[[#This Row],[date]],"mmm yyyy")</f>
        <v>Apr 2023</v>
      </c>
      <c r="N1674" t="str">
        <f t="shared" si="78"/>
        <v>Trading Day</v>
      </c>
      <c r="O1674" t="str">
        <f t="shared" si="79"/>
        <v>Negative</v>
      </c>
      <c r="P1674" t="str">
        <f t="shared" si="80"/>
        <v>Positive</v>
      </c>
    </row>
    <row r="1675" spans="1:16" x14ac:dyDescent="0.3">
      <c r="A1675" s="1">
        <v>45028</v>
      </c>
      <c r="B1675">
        <v>33.1</v>
      </c>
      <c r="C1675">
        <v>39654000</v>
      </c>
      <c r="D1675">
        <v>-2.87</v>
      </c>
      <c r="E1675">
        <v>29</v>
      </c>
      <c r="F1675">
        <v>2.72</v>
      </c>
      <c r="G1675">
        <v>0.19189999999999999</v>
      </c>
      <c r="H1675">
        <v>0</v>
      </c>
      <c r="J1675">
        <v>1</v>
      </c>
      <c r="K1675">
        <f>YEAR(NetflixData[[#This Row],[date]])</f>
        <v>2023</v>
      </c>
      <c r="L1675" t="str">
        <f>TEXT(NetflixData[[#This Row],[date]],"mmm")</f>
        <v>Apr</v>
      </c>
      <c r="M1675" t="str">
        <f>TEXT(NetflixData[[#This Row],[date]],"mmm yyyy")</f>
        <v>Apr 2023</v>
      </c>
      <c r="N1675" t="str">
        <f t="shared" si="78"/>
        <v>Trading Day</v>
      </c>
      <c r="O1675" t="str">
        <f t="shared" si="79"/>
        <v>Negative</v>
      </c>
      <c r="P1675" t="str">
        <f t="shared" si="80"/>
        <v>Positive</v>
      </c>
    </row>
    <row r="1676" spans="1:16" x14ac:dyDescent="0.3">
      <c r="A1676" s="1">
        <v>45029</v>
      </c>
      <c r="B1676">
        <v>34.619999999999997</v>
      </c>
      <c r="C1676">
        <v>74064000</v>
      </c>
      <c r="D1676">
        <v>1.8240000000000001</v>
      </c>
      <c r="E1676">
        <v>46</v>
      </c>
      <c r="F1676">
        <v>2.2200000000000002</v>
      </c>
      <c r="G1676">
        <v>-3.7999999999999999E-2</v>
      </c>
      <c r="H1676">
        <v>0</v>
      </c>
      <c r="J1676">
        <v>1</v>
      </c>
      <c r="K1676">
        <f>YEAR(NetflixData[[#This Row],[date]])</f>
        <v>2023</v>
      </c>
      <c r="L1676" t="str">
        <f>TEXT(NetflixData[[#This Row],[date]],"mmm")</f>
        <v>Apr</v>
      </c>
      <c r="M1676" t="str">
        <f>TEXT(NetflixData[[#This Row],[date]],"mmm yyyy")</f>
        <v>Apr 2023</v>
      </c>
      <c r="N1676" t="str">
        <f t="shared" si="78"/>
        <v>Trading Day</v>
      </c>
      <c r="O1676" t="str">
        <f t="shared" si="79"/>
        <v>Positive</v>
      </c>
      <c r="P1676" t="str">
        <f t="shared" si="80"/>
        <v>Neutral</v>
      </c>
    </row>
    <row r="1677" spans="1:16" x14ac:dyDescent="0.3">
      <c r="A1677" s="1">
        <v>45030</v>
      </c>
      <c r="B1677">
        <v>33.86</v>
      </c>
      <c r="C1677">
        <v>53505000</v>
      </c>
      <c r="D1677">
        <v>-1.2569999999999999</v>
      </c>
      <c r="E1677">
        <v>65</v>
      </c>
      <c r="F1677">
        <v>1.98</v>
      </c>
      <c r="G1677">
        <v>-3.32E-2</v>
      </c>
      <c r="H1677">
        <v>0</v>
      </c>
      <c r="J1677">
        <v>1</v>
      </c>
      <c r="K1677">
        <f>YEAR(NetflixData[[#This Row],[date]])</f>
        <v>2023</v>
      </c>
      <c r="L1677" t="str">
        <f>TEXT(NetflixData[[#This Row],[date]],"mmm")</f>
        <v>Apr</v>
      </c>
      <c r="M1677" t="str">
        <f>TEXT(NetflixData[[#This Row],[date]],"mmm yyyy")</f>
        <v>Apr 2023</v>
      </c>
      <c r="N1677" t="str">
        <f t="shared" si="78"/>
        <v>Non-Trading Day</v>
      </c>
      <c r="O1677" t="str">
        <f t="shared" si="79"/>
        <v>Negative</v>
      </c>
      <c r="P1677" t="str">
        <f t="shared" si="80"/>
        <v>Neutral</v>
      </c>
    </row>
    <row r="1678" spans="1:16" x14ac:dyDescent="0.3">
      <c r="A1678" s="1">
        <v>45031</v>
      </c>
      <c r="B1678">
        <v>33.86</v>
      </c>
      <c r="C1678">
        <v>0</v>
      </c>
      <c r="D1678">
        <v>0</v>
      </c>
      <c r="E1678">
        <v>126</v>
      </c>
      <c r="F1678">
        <v>1.47</v>
      </c>
      <c r="G1678">
        <v>-0.1951</v>
      </c>
      <c r="H1678">
        <v>0</v>
      </c>
      <c r="J1678">
        <v>0</v>
      </c>
      <c r="K1678">
        <f>YEAR(NetflixData[[#This Row],[date]])</f>
        <v>2023</v>
      </c>
      <c r="L1678" t="str">
        <f>TEXT(NetflixData[[#This Row],[date]],"mmm")</f>
        <v>Apr</v>
      </c>
      <c r="M1678" t="str">
        <f>TEXT(NetflixData[[#This Row],[date]],"mmm yyyy")</f>
        <v>Apr 2023</v>
      </c>
      <c r="N1678" t="str">
        <f t="shared" si="78"/>
        <v>Non-Trading Day</v>
      </c>
      <c r="O1678" t="str">
        <f t="shared" si="79"/>
        <v>No Change</v>
      </c>
      <c r="P1678" t="str">
        <f t="shared" si="80"/>
        <v>Negative</v>
      </c>
    </row>
    <row r="1679" spans="1:16" x14ac:dyDescent="0.3">
      <c r="A1679" s="1">
        <v>45032</v>
      </c>
      <c r="B1679">
        <v>33.86</v>
      </c>
      <c r="C1679">
        <v>0</v>
      </c>
      <c r="D1679">
        <v>0</v>
      </c>
      <c r="E1679">
        <v>96</v>
      </c>
      <c r="F1679">
        <v>1.26</v>
      </c>
      <c r="G1679">
        <v>-0.2306</v>
      </c>
      <c r="H1679">
        <v>0</v>
      </c>
      <c r="J1679">
        <v>0</v>
      </c>
      <c r="K1679">
        <f>YEAR(NetflixData[[#This Row],[date]])</f>
        <v>2023</v>
      </c>
      <c r="L1679" t="str">
        <f>TEXT(NetflixData[[#This Row],[date]],"mmm")</f>
        <v>Apr</v>
      </c>
      <c r="M1679" t="str">
        <f>TEXT(NetflixData[[#This Row],[date]],"mmm yyyy")</f>
        <v>Apr 2023</v>
      </c>
      <c r="N1679" t="str">
        <f t="shared" si="78"/>
        <v>Trading Day</v>
      </c>
      <c r="O1679" t="str">
        <f t="shared" si="79"/>
        <v>No Change</v>
      </c>
      <c r="P1679" t="str">
        <f t="shared" si="80"/>
        <v>Negative</v>
      </c>
    </row>
    <row r="1680" spans="1:16" x14ac:dyDescent="0.3">
      <c r="A1680" s="1">
        <v>45033</v>
      </c>
      <c r="B1680">
        <v>33.270000000000003</v>
      </c>
      <c r="C1680">
        <v>61360000</v>
      </c>
      <c r="D1680">
        <v>-1.5620000000000001</v>
      </c>
      <c r="E1680">
        <v>73</v>
      </c>
      <c r="F1680">
        <v>1.63</v>
      </c>
      <c r="G1680">
        <v>-0.13819999999999999</v>
      </c>
      <c r="H1680">
        <v>0</v>
      </c>
      <c r="J1680">
        <v>1</v>
      </c>
      <c r="K1680">
        <f>YEAR(NetflixData[[#This Row],[date]])</f>
        <v>2023</v>
      </c>
      <c r="L1680" t="str">
        <f>TEXT(NetflixData[[#This Row],[date]],"mmm")</f>
        <v>Apr</v>
      </c>
      <c r="M1680" t="str">
        <f>TEXT(NetflixData[[#This Row],[date]],"mmm yyyy")</f>
        <v>Apr 2023</v>
      </c>
      <c r="N1680" t="str">
        <f t="shared" si="78"/>
        <v>Trading Day</v>
      </c>
      <c r="O1680" t="str">
        <f t="shared" si="79"/>
        <v>Negative</v>
      </c>
      <c r="P1680" t="str">
        <f t="shared" si="80"/>
        <v>Negative</v>
      </c>
    </row>
    <row r="1681" spans="1:16" x14ac:dyDescent="0.3">
      <c r="A1681" s="1">
        <v>45034</v>
      </c>
      <c r="B1681">
        <v>33.369999999999997</v>
      </c>
      <c r="C1681">
        <v>179445000</v>
      </c>
      <c r="D1681">
        <v>-0.38800000000000001</v>
      </c>
      <c r="E1681">
        <v>44</v>
      </c>
      <c r="F1681">
        <v>1.52</v>
      </c>
      <c r="G1681">
        <v>-3.9800000000000002E-2</v>
      </c>
      <c r="H1681">
        <v>0</v>
      </c>
      <c r="J1681">
        <v>1</v>
      </c>
      <c r="K1681">
        <f>YEAR(NetflixData[[#This Row],[date]])</f>
        <v>2023</v>
      </c>
      <c r="L1681" t="str">
        <f>TEXT(NetflixData[[#This Row],[date]],"mmm")</f>
        <v>Apr</v>
      </c>
      <c r="M1681" t="str">
        <f>TEXT(NetflixData[[#This Row],[date]],"mmm yyyy")</f>
        <v>Apr 2023</v>
      </c>
      <c r="N1681" t="str">
        <f t="shared" si="78"/>
        <v>Trading Day</v>
      </c>
      <c r="O1681" t="str">
        <f t="shared" si="79"/>
        <v>Negative</v>
      </c>
      <c r="P1681" t="str">
        <f t="shared" si="80"/>
        <v>Neutral</v>
      </c>
    </row>
    <row r="1682" spans="1:16" x14ac:dyDescent="0.3">
      <c r="A1682" s="1">
        <v>45035</v>
      </c>
      <c r="B1682">
        <v>32.31</v>
      </c>
      <c r="C1682">
        <v>221283000</v>
      </c>
      <c r="D1682">
        <v>-0.33600000000000002</v>
      </c>
      <c r="E1682">
        <v>45</v>
      </c>
      <c r="F1682">
        <v>1.67</v>
      </c>
      <c r="G1682">
        <v>-0.13919999999999999</v>
      </c>
      <c r="H1682">
        <v>0</v>
      </c>
      <c r="J1682">
        <v>1</v>
      </c>
      <c r="K1682">
        <f>YEAR(NetflixData[[#This Row],[date]])</f>
        <v>2023</v>
      </c>
      <c r="L1682" t="str">
        <f>TEXT(NetflixData[[#This Row],[date]],"mmm")</f>
        <v>Apr</v>
      </c>
      <c r="M1682" t="str">
        <f>TEXT(NetflixData[[#This Row],[date]],"mmm yyyy")</f>
        <v>Apr 2023</v>
      </c>
      <c r="N1682" t="str">
        <f t="shared" si="78"/>
        <v>Trading Day</v>
      </c>
      <c r="O1682" t="str">
        <f t="shared" si="79"/>
        <v>Negative</v>
      </c>
      <c r="P1682" t="str">
        <f t="shared" si="80"/>
        <v>Negative</v>
      </c>
    </row>
    <row r="1683" spans="1:16" x14ac:dyDescent="0.3">
      <c r="A1683" s="1">
        <v>45036</v>
      </c>
      <c r="B1683">
        <v>32.53</v>
      </c>
      <c r="C1683">
        <v>99478000</v>
      </c>
      <c r="D1683">
        <v>1.548</v>
      </c>
      <c r="E1683">
        <v>50</v>
      </c>
      <c r="F1683">
        <v>1.92</v>
      </c>
      <c r="G1683">
        <v>-1.95E-2</v>
      </c>
      <c r="H1683">
        <v>0</v>
      </c>
      <c r="J1683">
        <v>1</v>
      </c>
      <c r="K1683">
        <f>YEAR(NetflixData[[#This Row],[date]])</f>
        <v>2023</v>
      </c>
      <c r="L1683" t="str">
        <f>TEXT(NetflixData[[#This Row],[date]],"mmm")</f>
        <v>Apr</v>
      </c>
      <c r="M1683" t="str">
        <f>TEXT(NetflixData[[#This Row],[date]],"mmm yyyy")</f>
        <v>Apr 2023</v>
      </c>
      <c r="N1683" t="str">
        <f t="shared" si="78"/>
        <v>Trading Day</v>
      </c>
      <c r="O1683" t="str">
        <f t="shared" si="79"/>
        <v>Positive</v>
      </c>
      <c r="P1683" t="str">
        <f t="shared" si="80"/>
        <v>Neutral</v>
      </c>
    </row>
    <row r="1684" spans="1:16" x14ac:dyDescent="0.3">
      <c r="A1684" s="1">
        <v>45037</v>
      </c>
      <c r="B1684">
        <v>32.799999999999997</v>
      </c>
      <c r="C1684">
        <v>63480000</v>
      </c>
      <c r="D1684">
        <v>1.542</v>
      </c>
      <c r="E1684">
        <v>39</v>
      </c>
      <c r="F1684">
        <v>2.2799999999999998</v>
      </c>
      <c r="G1684">
        <v>8.3599999999999994E-2</v>
      </c>
      <c r="H1684">
        <v>0</v>
      </c>
      <c r="J1684">
        <v>1</v>
      </c>
      <c r="K1684">
        <f>YEAR(NetflixData[[#This Row],[date]])</f>
        <v>2023</v>
      </c>
      <c r="L1684" t="str">
        <f>TEXT(NetflixData[[#This Row],[date]],"mmm")</f>
        <v>Apr</v>
      </c>
      <c r="M1684" t="str">
        <f>TEXT(NetflixData[[#This Row],[date]],"mmm yyyy")</f>
        <v>Apr 2023</v>
      </c>
      <c r="N1684" t="str">
        <f t="shared" si="78"/>
        <v>Non-Trading Day</v>
      </c>
      <c r="O1684" t="str">
        <f t="shared" si="79"/>
        <v>Positive</v>
      </c>
      <c r="P1684" t="str">
        <f t="shared" si="80"/>
        <v>Neutral</v>
      </c>
    </row>
    <row r="1685" spans="1:16" x14ac:dyDescent="0.3">
      <c r="A1685" s="1">
        <v>45038</v>
      </c>
      <c r="B1685">
        <v>32.799999999999997</v>
      </c>
      <c r="C1685">
        <v>0</v>
      </c>
      <c r="D1685">
        <v>0</v>
      </c>
      <c r="E1685">
        <v>25</v>
      </c>
      <c r="F1685">
        <v>2.08</v>
      </c>
      <c r="G1685">
        <v>-5.5399999999999998E-2</v>
      </c>
      <c r="H1685">
        <v>0</v>
      </c>
      <c r="J1685">
        <v>0</v>
      </c>
      <c r="K1685">
        <f>YEAR(NetflixData[[#This Row],[date]])</f>
        <v>2023</v>
      </c>
      <c r="L1685" t="str">
        <f>TEXT(NetflixData[[#This Row],[date]],"mmm")</f>
        <v>Apr</v>
      </c>
      <c r="M1685" t="str">
        <f>TEXT(NetflixData[[#This Row],[date]],"mmm yyyy")</f>
        <v>Apr 2023</v>
      </c>
      <c r="N1685" t="str">
        <f t="shared" si="78"/>
        <v>Non-Trading Day</v>
      </c>
      <c r="O1685" t="str">
        <f t="shared" si="79"/>
        <v>No Change</v>
      </c>
      <c r="P1685" t="str">
        <f t="shared" si="80"/>
        <v>Neutral</v>
      </c>
    </row>
    <row r="1686" spans="1:16" x14ac:dyDescent="0.3">
      <c r="A1686" s="1">
        <v>45039</v>
      </c>
      <c r="B1686">
        <v>32.799999999999997</v>
      </c>
      <c r="C1686">
        <v>0</v>
      </c>
      <c r="D1686">
        <v>0</v>
      </c>
      <c r="E1686">
        <v>41</v>
      </c>
      <c r="F1686">
        <v>2.2200000000000002</v>
      </c>
      <c r="G1686">
        <v>-3.1800000000000002E-2</v>
      </c>
      <c r="H1686">
        <v>0</v>
      </c>
      <c r="J1686">
        <v>0</v>
      </c>
      <c r="K1686">
        <f>YEAR(NetflixData[[#This Row],[date]])</f>
        <v>2023</v>
      </c>
      <c r="L1686" t="str">
        <f>TEXT(NetflixData[[#This Row],[date]],"mmm")</f>
        <v>Apr</v>
      </c>
      <c r="M1686" t="str">
        <f>TEXT(NetflixData[[#This Row],[date]],"mmm yyyy")</f>
        <v>Apr 2023</v>
      </c>
      <c r="N1686" t="str">
        <f t="shared" si="78"/>
        <v>Trading Day</v>
      </c>
      <c r="O1686" t="str">
        <f t="shared" si="79"/>
        <v>No Change</v>
      </c>
      <c r="P1686" t="str">
        <f t="shared" si="80"/>
        <v>Neutral</v>
      </c>
    </row>
    <row r="1687" spans="1:16" x14ac:dyDescent="0.3">
      <c r="A1687" s="1">
        <v>45040</v>
      </c>
      <c r="B1687">
        <v>32.9</v>
      </c>
      <c r="C1687">
        <v>55866000</v>
      </c>
      <c r="D1687">
        <v>-0.35699999999999998</v>
      </c>
      <c r="E1687">
        <v>39</v>
      </c>
      <c r="F1687">
        <v>2.2599999999999998</v>
      </c>
      <c r="G1687">
        <v>5.0999999999999997E-2</v>
      </c>
      <c r="H1687">
        <v>0</v>
      </c>
      <c r="J1687">
        <v>1</v>
      </c>
      <c r="K1687">
        <f>YEAR(NetflixData[[#This Row],[date]])</f>
        <v>2023</v>
      </c>
      <c r="L1687" t="str">
        <f>TEXT(NetflixData[[#This Row],[date]],"mmm")</f>
        <v>Apr</v>
      </c>
      <c r="M1687" t="str">
        <f>TEXT(NetflixData[[#This Row],[date]],"mmm yyyy")</f>
        <v>Apr 2023</v>
      </c>
      <c r="N1687" t="str">
        <f t="shared" si="78"/>
        <v>Trading Day</v>
      </c>
      <c r="O1687" t="str">
        <f t="shared" si="79"/>
        <v>Negative</v>
      </c>
      <c r="P1687" t="str">
        <f t="shared" si="80"/>
        <v>Neutral</v>
      </c>
    </row>
    <row r="1688" spans="1:16" x14ac:dyDescent="0.3">
      <c r="A1688" s="1">
        <v>45041</v>
      </c>
      <c r="B1688">
        <v>32.26</v>
      </c>
      <c r="C1688">
        <v>54266000</v>
      </c>
      <c r="D1688">
        <v>-1.8109999999999999</v>
      </c>
      <c r="E1688">
        <v>38</v>
      </c>
      <c r="F1688">
        <v>1.92</v>
      </c>
      <c r="G1688">
        <v>-2.0799999999999999E-2</v>
      </c>
      <c r="H1688">
        <v>0</v>
      </c>
      <c r="J1688">
        <v>1</v>
      </c>
      <c r="K1688">
        <f>YEAR(NetflixData[[#This Row],[date]])</f>
        <v>2023</v>
      </c>
      <c r="L1688" t="str">
        <f>TEXT(NetflixData[[#This Row],[date]],"mmm")</f>
        <v>Apr</v>
      </c>
      <c r="M1688" t="str">
        <f>TEXT(NetflixData[[#This Row],[date]],"mmm yyyy")</f>
        <v>Apr 2023</v>
      </c>
      <c r="N1688" t="str">
        <f t="shared" si="78"/>
        <v>Trading Day</v>
      </c>
      <c r="O1688" t="str">
        <f t="shared" si="79"/>
        <v>Negative</v>
      </c>
      <c r="P1688" t="str">
        <f t="shared" si="80"/>
        <v>Neutral</v>
      </c>
    </row>
    <row r="1689" spans="1:16" x14ac:dyDescent="0.3">
      <c r="A1689" s="1">
        <v>45042</v>
      </c>
      <c r="B1689">
        <v>32.119999999999997</v>
      </c>
      <c r="C1689">
        <v>46232000</v>
      </c>
      <c r="D1689">
        <v>-6.5000000000000002E-2</v>
      </c>
      <c r="E1689">
        <v>46</v>
      </c>
      <c r="F1689">
        <v>1.76</v>
      </c>
      <c r="G1689">
        <v>-7.5899999999999995E-2</v>
      </c>
      <c r="H1689">
        <v>0</v>
      </c>
      <c r="J1689">
        <v>1</v>
      </c>
      <c r="K1689">
        <f>YEAR(NetflixData[[#This Row],[date]])</f>
        <v>2023</v>
      </c>
      <c r="L1689" t="str">
        <f>TEXT(NetflixData[[#This Row],[date]],"mmm")</f>
        <v>Apr</v>
      </c>
      <c r="M1689" t="str">
        <f>TEXT(NetflixData[[#This Row],[date]],"mmm yyyy")</f>
        <v>Apr 2023</v>
      </c>
      <c r="N1689" t="str">
        <f t="shared" si="78"/>
        <v>Trading Day</v>
      </c>
      <c r="O1689" t="str">
        <f t="shared" si="79"/>
        <v>Negative</v>
      </c>
      <c r="P1689" t="str">
        <f t="shared" si="80"/>
        <v>Neutral</v>
      </c>
    </row>
    <row r="1690" spans="1:16" x14ac:dyDescent="0.3">
      <c r="A1690" s="1">
        <v>45043</v>
      </c>
      <c r="B1690">
        <v>32.58</v>
      </c>
      <c r="C1690">
        <v>56188000</v>
      </c>
      <c r="D1690">
        <v>0.47799999999999998</v>
      </c>
      <c r="E1690">
        <v>53</v>
      </c>
      <c r="F1690">
        <v>1.47</v>
      </c>
      <c r="G1690">
        <v>-0.1444</v>
      </c>
      <c r="H1690">
        <v>0</v>
      </c>
      <c r="J1690">
        <v>1</v>
      </c>
      <c r="K1690">
        <f>YEAR(NetflixData[[#This Row],[date]])</f>
        <v>2023</v>
      </c>
      <c r="L1690" t="str">
        <f>TEXT(NetflixData[[#This Row],[date]],"mmm")</f>
        <v>Apr</v>
      </c>
      <c r="M1690" t="str">
        <f>TEXT(NetflixData[[#This Row],[date]],"mmm yyyy")</f>
        <v>Apr 2023</v>
      </c>
      <c r="N1690" t="str">
        <f t="shared" si="78"/>
        <v>Trading Day</v>
      </c>
      <c r="O1690" t="str">
        <f t="shared" si="79"/>
        <v>Positive</v>
      </c>
      <c r="P1690" t="str">
        <f t="shared" si="80"/>
        <v>Negative</v>
      </c>
    </row>
    <row r="1691" spans="1:16" x14ac:dyDescent="0.3">
      <c r="A1691" s="1">
        <v>45044</v>
      </c>
      <c r="B1691">
        <v>32.99</v>
      </c>
      <c r="C1691">
        <v>42284000</v>
      </c>
      <c r="D1691">
        <v>1.4419999999999999</v>
      </c>
      <c r="E1691">
        <v>50</v>
      </c>
      <c r="F1691">
        <v>2</v>
      </c>
      <c r="G1691">
        <v>-2.4E-2</v>
      </c>
      <c r="H1691">
        <v>0</v>
      </c>
      <c r="J1691">
        <v>1</v>
      </c>
      <c r="K1691">
        <f>YEAR(NetflixData[[#This Row],[date]])</f>
        <v>2023</v>
      </c>
      <c r="L1691" t="str">
        <f>TEXT(NetflixData[[#This Row],[date]],"mmm")</f>
        <v>Apr</v>
      </c>
      <c r="M1691" t="str">
        <f>TEXT(NetflixData[[#This Row],[date]],"mmm yyyy")</f>
        <v>Apr 2023</v>
      </c>
      <c r="N1691" t="str">
        <f t="shared" si="78"/>
        <v>Non-Trading Day</v>
      </c>
      <c r="O1691" t="str">
        <f t="shared" si="79"/>
        <v>Positive</v>
      </c>
      <c r="P1691" t="str">
        <f t="shared" si="80"/>
        <v>Neutral</v>
      </c>
    </row>
    <row r="1692" spans="1:16" x14ac:dyDescent="0.3">
      <c r="A1692" s="1">
        <v>45045</v>
      </c>
      <c r="B1692">
        <v>32.99</v>
      </c>
      <c r="C1692">
        <v>0</v>
      </c>
      <c r="D1692">
        <v>0</v>
      </c>
      <c r="E1692">
        <v>35</v>
      </c>
      <c r="F1692">
        <v>2.34</v>
      </c>
      <c r="G1692">
        <v>8.9999999999999998E-4</v>
      </c>
      <c r="H1692">
        <v>0</v>
      </c>
      <c r="J1692">
        <v>0</v>
      </c>
      <c r="K1692">
        <f>YEAR(NetflixData[[#This Row],[date]])</f>
        <v>2023</v>
      </c>
      <c r="L1692" t="str">
        <f>TEXT(NetflixData[[#This Row],[date]],"mmm")</f>
        <v>Apr</v>
      </c>
      <c r="M1692" t="str">
        <f>TEXT(NetflixData[[#This Row],[date]],"mmm yyyy")</f>
        <v>Apr 2023</v>
      </c>
      <c r="N1692" t="str">
        <f t="shared" si="78"/>
        <v>Non-Trading Day</v>
      </c>
      <c r="O1692" t="str">
        <f t="shared" si="79"/>
        <v>No Change</v>
      </c>
      <c r="P1692" t="str">
        <f t="shared" si="80"/>
        <v>Neutral</v>
      </c>
    </row>
    <row r="1693" spans="1:16" x14ac:dyDescent="0.3">
      <c r="A1693" s="1">
        <v>45046</v>
      </c>
      <c r="B1693">
        <v>32.99</v>
      </c>
      <c r="C1693">
        <v>0</v>
      </c>
      <c r="D1693">
        <v>0</v>
      </c>
      <c r="E1693">
        <v>35</v>
      </c>
      <c r="F1693">
        <v>2.29</v>
      </c>
      <c r="G1693">
        <v>0.1221</v>
      </c>
      <c r="H1693">
        <v>0</v>
      </c>
      <c r="J1693">
        <v>0</v>
      </c>
      <c r="K1693">
        <f>YEAR(NetflixData[[#This Row],[date]])</f>
        <v>2023</v>
      </c>
      <c r="L1693" t="str">
        <f>TEXT(NetflixData[[#This Row],[date]],"mmm")</f>
        <v>Apr</v>
      </c>
      <c r="M1693" t="str">
        <f>TEXT(NetflixData[[#This Row],[date]],"mmm yyyy")</f>
        <v>Apr 2023</v>
      </c>
      <c r="N1693" t="str">
        <f t="shared" si="78"/>
        <v>Trading Day</v>
      </c>
      <c r="O1693" t="str">
        <f t="shared" si="79"/>
        <v>No Change</v>
      </c>
      <c r="P1693" t="str">
        <f t="shared" si="80"/>
        <v>Positive</v>
      </c>
    </row>
    <row r="1694" spans="1:16" x14ac:dyDescent="0.3">
      <c r="A1694" s="1">
        <v>45047</v>
      </c>
      <c r="B1694">
        <v>32.409999999999997</v>
      </c>
      <c r="C1694">
        <v>53415000</v>
      </c>
      <c r="D1694">
        <v>-1.615</v>
      </c>
      <c r="E1694">
        <v>29</v>
      </c>
      <c r="F1694">
        <v>1.9</v>
      </c>
      <c r="G1694">
        <v>5.0200000000000002E-2</v>
      </c>
      <c r="H1694">
        <v>0</v>
      </c>
      <c r="J1694">
        <v>1</v>
      </c>
      <c r="K1694">
        <f>YEAR(NetflixData[[#This Row],[date]])</f>
        <v>2023</v>
      </c>
      <c r="L1694" t="str">
        <f>TEXT(NetflixData[[#This Row],[date]],"mmm")</f>
        <v>May</v>
      </c>
      <c r="M1694" t="str">
        <f>TEXT(NetflixData[[#This Row],[date]],"mmm yyyy")</f>
        <v>May 2023</v>
      </c>
      <c r="N1694" t="str">
        <f t="shared" si="78"/>
        <v>Trading Day</v>
      </c>
      <c r="O1694" t="str">
        <f t="shared" si="79"/>
        <v>Negative</v>
      </c>
      <c r="P1694" t="str">
        <f t="shared" si="80"/>
        <v>Neutral</v>
      </c>
    </row>
    <row r="1695" spans="1:16" x14ac:dyDescent="0.3">
      <c r="A1695" s="1">
        <v>45048</v>
      </c>
      <c r="B1695">
        <v>31.75</v>
      </c>
      <c r="C1695">
        <v>43186000</v>
      </c>
      <c r="D1695">
        <v>-2.2919999999999998</v>
      </c>
      <c r="E1695">
        <v>23</v>
      </c>
      <c r="F1695">
        <v>2</v>
      </c>
      <c r="G1695">
        <v>-5.8400000000000001E-2</v>
      </c>
      <c r="H1695">
        <v>0</v>
      </c>
      <c r="J1695">
        <v>1</v>
      </c>
      <c r="K1695">
        <f>YEAR(NetflixData[[#This Row],[date]])</f>
        <v>2023</v>
      </c>
      <c r="L1695" t="str">
        <f>TEXT(NetflixData[[#This Row],[date]],"mmm")</f>
        <v>May</v>
      </c>
      <c r="M1695" t="str">
        <f>TEXT(NetflixData[[#This Row],[date]],"mmm yyyy")</f>
        <v>May 2023</v>
      </c>
      <c r="N1695" t="str">
        <f t="shared" si="78"/>
        <v>Trading Day</v>
      </c>
      <c r="O1695" t="str">
        <f t="shared" si="79"/>
        <v>Negative</v>
      </c>
      <c r="P1695" t="str">
        <f t="shared" si="80"/>
        <v>Neutral</v>
      </c>
    </row>
    <row r="1696" spans="1:16" x14ac:dyDescent="0.3">
      <c r="A1696" s="1">
        <v>45049</v>
      </c>
      <c r="B1696">
        <v>31.93</v>
      </c>
      <c r="C1696">
        <v>50641000</v>
      </c>
      <c r="D1696">
        <v>0.55100000000000005</v>
      </c>
      <c r="E1696">
        <v>29</v>
      </c>
      <c r="F1696">
        <v>1.9</v>
      </c>
      <c r="G1696">
        <v>7.3800000000000004E-2</v>
      </c>
      <c r="H1696">
        <v>0</v>
      </c>
      <c r="J1696">
        <v>1</v>
      </c>
      <c r="K1696">
        <f>YEAR(NetflixData[[#This Row],[date]])</f>
        <v>2023</v>
      </c>
      <c r="L1696" t="str">
        <f>TEXT(NetflixData[[#This Row],[date]],"mmm")</f>
        <v>May</v>
      </c>
      <c r="M1696" t="str">
        <f>TEXT(NetflixData[[#This Row],[date]],"mmm yyyy")</f>
        <v>May 2023</v>
      </c>
      <c r="N1696" t="str">
        <f t="shared" si="78"/>
        <v>Trading Day</v>
      </c>
      <c r="O1696" t="str">
        <f t="shared" si="79"/>
        <v>Positive</v>
      </c>
      <c r="P1696" t="str">
        <f t="shared" si="80"/>
        <v>Neutral</v>
      </c>
    </row>
    <row r="1697" spans="1:16" x14ac:dyDescent="0.3">
      <c r="A1697" s="1">
        <v>45050</v>
      </c>
      <c r="B1697">
        <v>32.08</v>
      </c>
      <c r="C1697">
        <v>38797000</v>
      </c>
      <c r="D1697">
        <v>0.55500000000000005</v>
      </c>
      <c r="E1697">
        <v>21</v>
      </c>
      <c r="F1697">
        <v>2.67</v>
      </c>
      <c r="G1697">
        <v>6.0100000000000001E-2</v>
      </c>
      <c r="H1697">
        <v>0</v>
      </c>
      <c r="J1697">
        <v>1</v>
      </c>
      <c r="K1697">
        <f>YEAR(NetflixData[[#This Row],[date]])</f>
        <v>2023</v>
      </c>
      <c r="L1697" t="str">
        <f>TEXT(NetflixData[[#This Row],[date]],"mmm")</f>
        <v>May</v>
      </c>
      <c r="M1697" t="str">
        <f>TEXT(NetflixData[[#This Row],[date]],"mmm yyyy")</f>
        <v>May 2023</v>
      </c>
      <c r="N1697" t="str">
        <f t="shared" si="78"/>
        <v>Trading Day</v>
      </c>
      <c r="O1697" t="str">
        <f t="shared" si="79"/>
        <v>Positive</v>
      </c>
      <c r="P1697" t="str">
        <f t="shared" si="80"/>
        <v>Neutral</v>
      </c>
    </row>
    <row r="1698" spans="1:16" x14ac:dyDescent="0.3">
      <c r="A1698" s="1">
        <v>45051</v>
      </c>
      <c r="B1698">
        <v>32.28</v>
      </c>
      <c r="C1698">
        <v>39906000</v>
      </c>
      <c r="D1698">
        <v>-0.26300000000000001</v>
      </c>
      <c r="E1698">
        <v>29</v>
      </c>
      <c r="F1698">
        <v>1.52</v>
      </c>
      <c r="G1698">
        <v>-7.3200000000000001E-2</v>
      </c>
      <c r="H1698">
        <v>0</v>
      </c>
      <c r="J1698">
        <v>1</v>
      </c>
      <c r="K1698">
        <f>YEAR(NetflixData[[#This Row],[date]])</f>
        <v>2023</v>
      </c>
      <c r="L1698" t="str">
        <f>TEXT(NetflixData[[#This Row],[date]],"mmm")</f>
        <v>May</v>
      </c>
      <c r="M1698" t="str">
        <f>TEXT(NetflixData[[#This Row],[date]],"mmm yyyy")</f>
        <v>May 2023</v>
      </c>
      <c r="N1698" t="str">
        <f t="shared" si="78"/>
        <v>Non-Trading Day</v>
      </c>
      <c r="O1698" t="str">
        <f t="shared" si="79"/>
        <v>Negative</v>
      </c>
      <c r="P1698" t="str">
        <f t="shared" si="80"/>
        <v>Neutral</v>
      </c>
    </row>
    <row r="1699" spans="1:16" x14ac:dyDescent="0.3">
      <c r="A1699" s="1">
        <v>45052</v>
      </c>
      <c r="B1699">
        <v>32.28</v>
      </c>
      <c r="C1699">
        <v>0</v>
      </c>
      <c r="D1699">
        <v>0</v>
      </c>
      <c r="E1699">
        <v>33</v>
      </c>
      <c r="F1699">
        <v>2.67</v>
      </c>
      <c r="G1699">
        <v>0.15079999999999999</v>
      </c>
      <c r="H1699">
        <v>0</v>
      </c>
      <c r="J1699">
        <v>0</v>
      </c>
      <c r="K1699">
        <f>YEAR(NetflixData[[#This Row],[date]])</f>
        <v>2023</v>
      </c>
      <c r="L1699" t="str">
        <f>TEXT(NetflixData[[#This Row],[date]],"mmm")</f>
        <v>May</v>
      </c>
      <c r="M1699" t="str">
        <f>TEXT(NetflixData[[#This Row],[date]],"mmm yyyy")</f>
        <v>May 2023</v>
      </c>
      <c r="N1699" t="str">
        <f t="shared" si="78"/>
        <v>Non-Trading Day</v>
      </c>
      <c r="O1699" t="str">
        <f t="shared" si="79"/>
        <v>No Change</v>
      </c>
      <c r="P1699" t="str">
        <f t="shared" si="80"/>
        <v>Positive</v>
      </c>
    </row>
    <row r="1700" spans="1:16" x14ac:dyDescent="0.3">
      <c r="A1700" s="1">
        <v>45053</v>
      </c>
      <c r="B1700">
        <v>32.28</v>
      </c>
      <c r="C1700">
        <v>0</v>
      </c>
      <c r="D1700">
        <v>0</v>
      </c>
      <c r="E1700">
        <v>28</v>
      </c>
      <c r="F1700">
        <v>2.5</v>
      </c>
      <c r="G1700">
        <v>9.2600000000000002E-2</v>
      </c>
      <c r="H1700">
        <v>0</v>
      </c>
      <c r="J1700">
        <v>0</v>
      </c>
      <c r="K1700">
        <f>YEAR(NetflixData[[#This Row],[date]])</f>
        <v>2023</v>
      </c>
      <c r="L1700" t="str">
        <f>TEXT(NetflixData[[#This Row],[date]],"mmm")</f>
        <v>May</v>
      </c>
      <c r="M1700" t="str">
        <f>TEXT(NetflixData[[#This Row],[date]],"mmm yyyy")</f>
        <v>May 2023</v>
      </c>
      <c r="N1700" t="str">
        <f t="shared" si="78"/>
        <v>Trading Day</v>
      </c>
      <c r="O1700" t="str">
        <f t="shared" si="79"/>
        <v>No Change</v>
      </c>
      <c r="P1700" t="str">
        <f t="shared" si="80"/>
        <v>Neutral</v>
      </c>
    </row>
    <row r="1701" spans="1:16" x14ac:dyDescent="0.3">
      <c r="A1701" s="1">
        <v>45054</v>
      </c>
      <c r="B1701">
        <v>33.119999999999997</v>
      </c>
      <c r="C1701">
        <v>54886000</v>
      </c>
      <c r="D1701">
        <v>2.5449999999999999</v>
      </c>
      <c r="E1701">
        <v>24</v>
      </c>
      <c r="F1701">
        <v>2.75</v>
      </c>
      <c r="G1701">
        <v>0.13930000000000001</v>
      </c>
      <c r="H1701">
        <v>0</v>
      </c>
      <c r="J1701">
        <v>1</v>
      </c>
      <c r="K1701">
        <f>YEAR(NetflixData[[#This Row],[date]])</f>
        <v>2023</v>
      </c>
      <c r="L1701" t="str">
        <f>TEXT(NetflixData[[#This Row],[date]],"mmm")</f>
        <v>May</v>
      </c>
      <c r="M1701" t="str">
        <f>TEXT(NetflixData[[#This Row],[date]],"mmm yyyy")</f>
        <v>May 2023</v>
      </c>
      <c r="N1701" t="str">
        <f t="shared" si="78"/>
        <v>Trading Day</v>
      </c>
      <c r="O1701" t="str">
        <f t="shared" si="79"/>
        <v>Positive</v>
      </c>
      <c r="P1701" t="str">
        <f t="shared" si="80"/>
        <v>Positive</v>
      </c>
    </row>
    <row r="1702" spans="1:16" x14ac:dyDescent="0.3">
      <c r="A1702" s="1">
        <v>45055</v>
      </c>
      <c r="B1702">
        <v>33.21</v>
      </c>
      <c r="C1702">
        <v>55449000</v>
      </c>
      <c r="D1702">
        <v>0.44500000000000001</v>
      </c>
      <c r="E1702">
        <v>21</v>
      </c>
      <c r="F1702">
        <v>2.76</v>
      </c>
      <c r="G1702">
        <v>0.1951</v>
      </c>
      <c r="H1702">
        <v>0</v>
      </c>
      <c r="J1702">
        <v>1</v>
      </c>
      <c r="K1702">
        <f>YEAR(NetflixData[[#This Row],[date]])</f>
        <v>2023</v>
      </c>
      <c r="L1702" t="str">
        <f>TEXT(NetflixData[[#This Row],[date]],"mmm")</f>
        <v>May</v>
      </c>
      <c r="M1702" t="str">
        <f>TEXT(NetflixData[[#This Row],[date]],"mmm yyyy")</f>
        <v>May 2023</v>
      </c>
      <c r="N1702" t="str">
        <f t="shared" si="78"/>
        <v>Trading Day</v>
      </c>
      <c r="O1702" t="str">
        <f t="shared" si="79"/>
        <v>Positive</v>
      </c>
      <c r="P1702" t="str">
        <f t="shared" si="80"/>
        <v>Positive</v>
      </c>
    </row>
    <row r="1703" spans="1:16" x14ac:dyDescent="0.3">
      <c r="A1703" s="1">
        <v>45056</v>
      </c>
      <c r="B1703">
        <v>33.54</v>
      </c>
      <c r="C1703">
        <v>42899000</v>
      </c>
      <c r="D1703">
        <v>6.3E-2</v>
      </c>
      <c r="E1703">
        <v>21</v>
      </c>
      <c r="F1703">
        <v>2.52</v>
      </c>
      <c r="G1703">
        <v>9.35E-2</v>
      </c>
      <c r="H1703">
        <v>0</v>
      </c>
      <c r="J1703">
        <v>1</v>
      </c>
      <c r="K1703">
        <f>YEAR(NetflixData[[#This Row],[date]])</f>
        <v>2023</v>
      </c>
      <c r="L1703" t="str">
        <f>TEXT(NetflixData[[#This Row],[date]],"mmm")</f>
        <v>May</v>
      </c>
      <c r="M1703" t="str">
        <f>TEXT(NetflixData[[#This Row],[date]],"mmm yyyy")</f>
        <v>May 2023</v>
      </c>
      <c r="N1703" t="str">
        <f t="shared" si="78"/>
        <v>Trading Day</v>
      </c>
      <c r="O1703" t="str">
        <f t="shared" si="79"/>
        <v>Positive</v>
      </c>
      <c r="P1703" t="str">
        <f t="shared" si="80"/>
        <v>Neutral</v>
      </c>
    </row>
    <row r="1704" spans="1:16" x14ac:dyDescent="0.3">
      <c r="A1704" s="1">
        <v>45057</v>
      </c>
      <c r="B1704">
        <v>34.479999999999997</v>
      </c>
      <c r="C1704">
        <v>80335000</v>
      </c>
      <c r="D1704">
        <v>2.92</v>
      </c>
      <c r="E1704">
        <v>23</v>
      </c>
      <c r="F1704">
        <v>2.7</v>
      </c>
      <c r="G1704">
        <v>0.16439999999999999</v>
      </c>
      <c r="H1704">
        <v>0</v>
      </c>
      <c r="J1704">
        <v>1</v>
      </c>
      <c r="K1704">
        <f>YEAR(NetflixData[[#This Row],[date]])</f>
        <v>2023</v>
      </c>
      <c r="L1704" t="str">
        <f>TEXT(NetflixData[[#This Row],[date]],"mmm")</f>
        <v>May</v>
      </c>
      <c r="M1704" t="str">
        <f>TEXT(NetflixData[[#This Row],[date]],"mmm yyyy")</f>
        <v>May 2023</v>
      </c>
      <c r="N1704" t="str">
        <f t="shared" si="78"/>
        <v>Trading Day</v>
      </c>
      <c r="O1704" t="str">
        <f t="shared" si="79"/>
        <v>Positive</v>
      </c>
      <c r="P1704" t="str">
        <f t="shared" si="80"/>
        <v>Positive</v>
      </c>
    </row>
    <row r="1705" spans="1:16" x14ac:dyDescent="0.3">
      <c r="A1705" s="1">
        <v>45058</v>
      </c>
      <c r="B1705">
        <v>33.99</v>
      </c>
      <c r="C1705">
        <v>60824000</v>
      </c>
      <c r="D1705">
        <v>-1.413</v>
      </c>
      <c r="E1705">
        <v>25</v>
      </c>
      <c r="F1705">
        <v>2.08</v>
      </c>
      <c r="G1705">
        <v>5.4600000000000003E-2</v>
      </c>
      <c r="H1705">
        <v>0</v>
      </c>
      <c r="J1705">
        <v>1</v>
      </c>
      <c r="K1705">
        <f>YEAR(NetflixData[[#This Row],[date]])</f>
        <v>2023</v>
      </c>
      <c r="L1705" t="str">
        <f>TEXT(NetflixData[[#This Row],[date]],"mmm")</f>
        <v>May</v>
      </c>
      <c r="M1705" t="str">
        <f>TEXT(NetflixData[[#This Row],[date]],"mmm yyyy")</f>
        <v>May 2023</v>
      </c>
      <c r="N1705" t="str">
        <f t="shared" si="78"/>
        <v>Non-Trading Day</v>
      </c>
      <c r="O1705" t="str">
        <f t="shared" si="79"/>
        <v>Negative</v>
      </c>
      <c r="P1705" t="str">
        <f t="shared" si="80"/>
        <v>Neutral</v>
      </c>
    </row>
    <row r="1706" spans="1:16" x14ac:dyDescent="0.3">
      <c r="A1706" s="1">
        <v>45059</v>
      </c>
      <c r="B1706">
        <v>33.99</v>
      </c>
      <c r="C1706">
        <v>0</v>
      </c>
      <c r="D1706">
        <v>0</v>
      </c>
      <c r="E1706">
        <v>20</v>
      </c>
      <c r="F1706">
        <v>2.9</v>
      </c>
      <c r="G1706">
        <v>0.19350000000000001</v>
      </c>
      <c r="H1706">
        <v>0</v>
      </c>
      <c r="J1706">
        <v>0</v>
      </c>
      <c r="K1706">
        <f>YEAR(NetflixData[[#This Row],[date]])</f>
        <v>2023</v>
      </c>
      <c r="L1706" t="str">
        <f>TEXT(NetflixData[[#This Row],[date]],"mmm")</f>
        <v>May</v>
      </c>
      <c r="M1706" t="str">
        <f>TEXT(NetflixData[[#This Row],[date]],"mmm yyyy")</f>
        <v>May 2023</v>
      </c>
      <c r="N1706" t="str">
        <f t="shared" si="78"/>
        <v>Non-Trading Day</v>
      </c>
      <c r="O1706" t="str">
        <f t="shared" si="79"/>
        <v>No Change</v>
      </c>
      <c r="P1706" t="str">
        <f t="shared" si="80"/>
        <v>Positive</v>
      </c>
    </row>
    <row r="1707" spans="1:16" x14ac:dyDescent="0.3">
      <c r="A1707" s="1">
        <v>45060</v>
      </c>
      <c r="B1707">
        <v>33.99</v>
      </c>
      <c r="C1707">
        <v>0</v>
      </c>
      <c r="D1707">
        <v>0</v>
      </c>
      <c r="E1707">
        <v>29</v>
      </c>
      <c r="F1707">
        <v>2.41</v>
      </c>
      <c r="G1707">
        <v>4.8999999999999998E-3</v>
      </c>
      <c r="H1707">
        <v>0</v>
      </c>
      <c r="J1707">
        <v>0</v>
      </c>
      <c r="K1707">
        <f>YEAR(NetflixData[[#This Row],[date]])</f>
        <v>2023</v>
      </c>
      <c r="L1707" t="str">
        <f>TEXT(NetflixData[[#This Row],[date]],"mmm")</f>
        <v>May</v>
      </c>
      <c r="M1707" t="str">
        <f>TEXT(NetflixData[[#This Row],[date]],"mmm yyyy")</f>
        <v>May 2023</v>
      </c>
      <c r="N1707" t="str">
        <f t="shared" si="78"/>
        <v>Trading Day</v>
      </c>
      <c r="O1707" t="str">
        <f t="shared" si="79"/>
        <v>No Change</v>
      </c>
      <c r="P1707" t="str">
        <f t="shared" si="80"/>
        <v>Neutral</v>
      </c>
    </row>
    <row r="1708" spans="1:16" x14ac:dyDescent="0.3">
      <c r="A1708" s="1">
        <v>45061</v>
      </c>
      <c r="B1708">
        <v>33.590000000000003</v>
      </c>
      <c r="C1708">
        <v>36530000</v>
      </c>
      <c r="D1708">
        <v>-1.389</v>
      </c>
      <c r="E1708">
        <v>16</v>
      </c>
      <c r="F1708">
        <v>2.06</v>
      </c>
      <c r="G1708">
        <v>-5.2400000000000002E-2</v>
      </c>
      <c r="H1708">
        <v>0</v>
      </c>
      <c r="J1708">
        <v>1</v>
      </c>
      <c r="K1708">
        <f>YEAR(NetflixData[[#This Row],[date]])</f>
        <v>2023</v>
      </c>
      <c r="L1708" t="str">
        <f>TEXT(NetflixData[[#This Row],[date]],"mmm")</f>
        <v>May</v>
      </c>
      <c r="M1708" t="str">
        <f>TEXT(NetflixData[[#This Row],[date]],"mmm yyyy")</f>
        <v>May 2023</v>
      </c>
      <c r="N1708" t="str">
        <f t="shared" si="78"/>
        <v>Trading Day</v>
      </c>
      <c r="O1708" t="str">
        <f t="shared" si="79"/>
        <v>Negative</v>
      </c>
      <c r="P1708" t="str">
        <f t="shared" si="80"/>
        <v>Neutral</v>
      </c>
    </row>
    <row r="1709" spans="1:16" x14ac:dyDescent="0.3">
      <c r="A1709" s="1">
        <v>45062</v>
      </c>
      <c r="B1709">
        <v>33.380000000000003</v>
      </c>
      <c r="C1709">
        <v>33322000</v>
      </c>
      <c r="D1709">
        <v>-7.4999999999999997E-2</v>
      </c>
      <c r="E1709">
        <v>14</v>
      </c>
      <c r="F1709">
        <v>2</v>
      </c>
      <c r="G1709">
        <v>-0.1003</v>
      </c>
      <c r="H1709">
        <v>0</v>
      </c>
      <c r="J1709">
        <v>1</v>
      </c>
      <c r="K1709">
        <f>YEAR(NetflixData[[#This Row],[date]])</f>
        <v>2023</v>
      </c>
      <c r="L1709" t="str">
        <f>TEXT(NetflixData[[#This Row],[date]],"mmm")</f>
        <v>May</v>
      </c>
      <c r="M1709" t="str">
        <f>TEXT(NetflixData[[#This Row],[date]],"mmm yyyy")</f>
        <v>May 2023</v>
      </c>
      <c r="N1709" t="str">
        <f t="shared" si="78"/>
        <v>Trading Day</v>
      </c>
      <c r="O1709" t="str">
        <f t="shared" si="79"/>
        <v>Negative</v>
      </c>
      <c r="P1709" t="str">
        <f t="shared" si="80"/>
        <v>Negative</v>
      </c>
    </row>
    <row r="1710" spans="1:16" x14ac:dyDescent="0.3">
      <c r="A1710" s="1">
        <v>45063</v>
      </c>
      <c r="B1710">
        <v>34</v>
      </c>
      <c r="C1710">
        <v>39588000</v>
      </c>
      <c r="D1710">
        <v>2.472</v>
      </c>
      <c r="E1710">
        <v>18</v>
      </c>
      <c r="F1710">
        <v>2.44</v>
      </c>
      <c r="G1710">
        <v>2.3900000000000001E-2</v>
      </c>
      <c r="H1710">
        <v>0</v>
      </c>
      <c r="J1710">
        <v>1</v>
      </c>
      <c r="K1710">
        <f>YEAR(NetflixData[[#This Row],[date]])</f>
        <v>2023</v>
      </c>
      <c r="L1710" t="str">
        <f>TEXT(NetflixData[[#This Row],[date]],"mmm")</f>
        <v>May</v>
      </c>
      <c r="M1710" t="str">
        <f>TEXT(NetflixData[[#This Row],[date]],"mmm yyyy")</f>
        <v>May 2023</v>
      </c>
      <c r="N1710" t="str">
        <f t="shared" si="78"/>
        <v>Trading Day</v>
      </c>
      <c r="O1710" t="str">
        <f t="shared" si="79"/>
        <v>Positive</v>
      </c>
      <c r="P1710" t="str">
        <f t="shared" si="80"/>
        <v>Neutral</v>
      </c>
    </row>
    <row r="1711" spans="1:16" x14ac:dyDescent="0.3">
      <c r="A1711" s="1">
        <v>45064</v>
      </c>
      <c r="B1711">
        <v>37.130000000000003</v>
      </c>
      <c r="C1711">
        <v>209252000</v>
      </c>
      <c r="D1711">
        <v>6.923</v>
      </c>
      <c r="E1711">
        <v>22</v>
      </c>
      <c r="F1711">
        <v>3.32</v>
      </c>
      <c r="G1711">
        <v>0.23760000000000001</v>
      </c>
      <c r="H1711">
        <v>0</v>
      </c>
      <c r="J1711">
        <v>1</v>
      </c>
      <c r="K1711">
        <f>YEAR(NetflixData[[#This Row],[date]])</f>
        <v>2023</v>
      </c>
      <c r="L1711" t="str">
        <f>TEXT(NetflixData[[#This Row],[date]],"mmm")</f>
        <v>May</v>
      </c>
      <c r="M1711" t="str">
        <f>TEXT(NetflixData[[#This Row],[date]],"mmm yyyy")</f>
        <v>May 2023</v>
      </c>
      <c r="N1711" t="str">
        <f t="shared" si="78"/>
        <v>Trading Day</v>
      </c>
      <c r="O1711" t="str">
        <f t="shared" si="79"/>
        <v>Positive</v>
      </c>
      <c r="P1711" t="str">
        <f t="shared" si="80"/>
        <v>Positive</v>
      </c>
    </row>
    <row r="1712" spans="1:16" x14ac:dyDescent="0.3">
      <c r="A1712" s="1">
        <v>45065</v>
      </c>
      <c r="B1712">
        <v>36.54</v>
      </c>
      <c r="C1712">
        <v>78597000</v>
      </c>
      <c r="D1712">
        <v>-1.2170000000000001</v>
      </c>
      <c r="E1712">
        <v>19</v>
      </c>
      <c r="F1712">
        <v>1.47</v>
      </c>
      <c r="G1712">
        <v>0.17860000000000001</v>
      </c>
      <c r="H1712">
        <v>0</v>
      </c>
      <c r="J1712">
        <v>1</v>
      </c>
      <c r="K1712">
        <f>YEAR(NetflixData[[#This Row],[date]])</f>
        <v>2023</v>
      </c>
      <c r="L1712" t="str">
        <f>TEXT(NetflixData[[#This Row],[date]],"mmm")</f>
        <v>May</v>
      </c>
      <c r="M1712" t="str">
        <f>TEXT(NetflixData[[#This Row],[date]],"mmm yyyy")</f>
        <v>May 2023</v>
      </c>
      <c r="N1712" t="str">
        <f t="shared" si="78"/>
        <v>Non-Trading Day</v>
      </c>
      <c r="O1712" t="str">
        <f t="shared" si="79"/>
        <v>Negative</v>
      </c>
      <c r="P1712" t="str">
        <f t="shared" si="80"/>
        <v>Positive</v>
      </c>
    </row>
    <row r="1713" spans="1:16" x14ac:dyDescent="0.3">
      <c r="A1713" s="1">
        <v>45066</v>
      </c>
      <c r="B1713">
        <v>36.54</v>
      </c>
      <c r="C1713">
        <v>0</v>
      </c>
      <c r="D1713">
        <v>0</v>
      </c>
      <c r="E1713">
        <v>14</v>
      </c>
      <c r="F1713">
        <v>2.36</v>
      </c>
      <c r="G1713">
        <v>0.2356</v>
      </c>
      <c r="H1713">
        <v>0</v>
      </c>
      <c r="J1713">
        <v>0</v>
      </c>
      <c r="K1713">
        <f>YEAR(NetflixData[[#This Row],[date]])</f>
        <v>2023</v>
      </c>
      <c r="L1713" t="str">
        <f>TEXT(NetflixData[[#This Row],[date]],"mmm")</f>
        <v>May</v>
      </c>
      <c r="M1713" t="str">
        <f>TEXT(NetflixData[[#This Row],[date]],"mmm yyyy")</f>
        <v>May 2023</v>
      </c>
      <c r="N1713" t="str">
        <f t="shared" si="78"/>
        <v>Non-Trading Day</v>
      </c>
      <c r="O1713" t="str">
        <f t="shared" si="79"/>
        <v>No Change</v>
      </c>
      <c r="P1713" t="str">
        <f t="shared" si="80"/>
        <v>Positive</v>
      </c>
    </row>
    <row r="1714" spans="1:16" x14ac:dyDescent="0.3">
      <c r="A1714" s="1">
        <v>45067</v>
      </c>
      <c r="B1714">
        <v>36.54</v>
      </c>
      <c r="C1714">
        <v>0</v>
      </c>
      <c r="D1714">
        <v>0</v>
      </c>
      <c r="E1714">
        <v>36</v>
      </c>
      <c r="F1714">
        <v>2.5299999999999998</v>
      </c>
      <c r="G1714">
        <v>8.6199999999999999E-2</v>
      </c>
      <c r="H1714">
        <v>0</v>
      </c>
      <c r="J1714">
        <v>0</v>
      </c>
      <c r="K1714">
        <f>YEAR(NetflixData[[#This Row],[date]])</f>
        <v>2023</v>
      </c>
      <c r="L1714" t="str">
        <f>TEXT(NetflixData[[#This Row],[date]],"mmm")</f>
        <v>May</v>
      </c>
      <c r="M1714" t="str">
        <f>TEXT(NetflixData[[#This Row],[date]],"mmm yyyy")</f>
        <v>May 2023</v>
      </c>
      <c r="N1714" t="str">
        <f t="shared" si="78"/>
        <v>Trading Day</v>
      </c>
      <c r="O1714" t="str">
        <f t="shared" si="79"/>
        <v>No Change</v>
      </c>
      <c r="P1714" t="str">
        <f t="shared" si="80"/>
        <v>Neutral</v>
      </c>
    </row>
    <row r="1715" spans="1:16" x14ac:dyDescent="0.3">
      <c r="A1715" s="1">
        <v>45068</v>
      </c>
      <c r="B1715">
        <v>36.299999999999997</v>
      </c>
      <c r="C1715">
        <v>54064000</v>
      </c>
      <c r="D1715">
        <v>-0.64300000000000002</v>
      </c>
      <c r="E1715">
        <v>30</v>
      </c>
      <c r="F1715">
        <v>2.67</v>
      </c>
      <c r="G1715">
        <v>0.22409999999999999</v>
      </c>
      <c r="H1715">
        <v>0</v>
      </c>
      <c r="J1715">
        <v>1</v>
      </c>
      <c r="K1715">
        <f>YEAR(NetflixData[[#This Row],[date]])</f>
        <v>2023</v>
      </c>
      <c r="L1715" t="str">
        <f>TEXT(NetflixData[[#This Row],[date]],"mmm")</f>
        <v>May</v>
      </c>
      <c r="M1715" t="str">
        <f>TEXT(NetflixData[[#This Row],[date]],"mmm yyyy")</f>
        <v>May 2023</v>
      </c>
      <c r="N1715" t="str">
        <f t="shared" si="78"/>
        <v>Trading Day</v>
      </c>
      <c r="O1715" t="str">
        <f t="shared" si="79"/>
        <v>Negative</v>
      </c>
      <c r="P1715" t="str">
        <f t="shared" si="80"/>
        <v>Positive</v>
      </c>
    </row>
    <row r="1716" spans="1:16" x14ac:dyDescent="0.3">
      <c r="A1716" s="1">
        <v>45069</v>
      </c>
      <c r="B1716">
        <v>35.6</v>
      </c>
      <c r="C1716">
        <v>68661000</v>
      </c>
      <c r="D1716">
        <v>-1.18</v>
      </c>
      <c r="E1716">
        <v>20</v>
      </c>
      <c r="F1716">
        <v>2.7</v>
      </c>
      <c r="G1716">
        <v>0.34870000000000001</v>
      </c>
      <c r="H1716">
        <v>0</v>
      </c>
      <c r="J1716">
        <v>1</v>
      </c>
      <c r="K1716">
        <f>YEAR(NetflixData[[#This Row],[date]])</f>
        <v>2023</v>
      </c>
      <c r="L1716" t="str">
        <f>TEXT(NetflixData[[#This Row],[date]],"mmm")</f>
        <v>May</v>
      </c>
      <c r="M1716" t="str">
        <f>TEXT(NetflixData[[#This Row],[date]],"mmm yyyy")</f>
        <v>May 2023</v>
      </c>
      <c r="N1716" t="str">
        <f t="shared" si="78"/>
        <v>Trading Day</v>
      </c>
      <c r="O1716" t="str">
        <f t="shared" si="79"/>
        <v>Negative</v>
      </c>
      <c r="P1716" t="str">
        <f t="shared" si="80"/>
        <v>Positive</v>
      </c>
    </row>
    <row r="1717" spans="1:16" x14ac:dyDescent="0.3">
      <c r="A1717" s="1">
        <v>45070</v>
      </c>
      <c r="B1717">
        <v>36.49</v>
      </c>
      <c r="C1717">
        <v>79733000</v>
      </c>
      <c r="D1717">
        <v>2.2189999999999999</v>
      </c>
      <c r="E1717">
        <v>42</v>
      </c>
      <c r="F1717">
        <v>1.48</v>
      </c>
      <c r="G1717">
        <v>0.18129999999999999</v>
      </c>
      <c r="H1717">
        <v>0</v>
      </c>
      <c r="J1717">
        <v>1</v>
      </c>
      <c r="K1717">
        <f>YEAR(NetflixData[[#This Row],[date]])</f>
        <v>2023</v>
      </c>
      <c r="L1717" t="str">
        <f>TEXT(NetflixData[[#This Row],[date]],"mmm")</f>
        <v>May</v>
      </c>
      <c r="M1717" t="str">
        <f>TEXT(NetflixData[[#This Row],[date]],"mmm yyyy")</f>
        <v>May 2023</v>
      </c>
      <c r="N1717" t="str">
        <f t="shared" si="78"/>
        <v>Trading Day</v>
      </c>
      <c r="O1717" t="str">
        <f t="shared" si="79"/>
        <v>Positive</v>
      </c>
      <c r="P1717" t="str">
        <f t="shared" si="80"/>
        <v>Positive</v>
      </c>
    </row>
    <row r="1718" spans="1:16" x14ac:dyDescent="0.3">
      <c r="A1718" s="1">
        <v>45071</v>
      </c>
      <c r="B1718">
        <v>35.9</v>
      </c>
      <c r="C1718">
        <v>62631000</v>
      </c>
      <c r="D1718">
        <v>-0.17</v>
      </c>
      <c r="E1718">
        <v>55</v>
      </c>
      <c r="F1718">
        <v>1.69</v>
      </c>
      <c r="G1718">
        <v>0.1895</v>
      </c>
      <c r="H1718">
        <v>0</v>
      </c>
      <c r="J1718">
        <v>1</v>
      </c>
      <c r="K1718">
        <f>YEAR(NetflixData[[#This Row],[date]])</f>
        <v>2023</v>
      </c>
      <c r="L1718" t="str">
        <f>TEXT(NetflixData[[#This Row],[date]],"mmm")</f>
        <v>May</v>
      </c>
      <c r="M1718" t="str">
        <f>TEXT(NetflixData[[#This Row],[date]],"mmm yyyy")</f>
        <v>May 2023</v>
      </c>
      <c r="N1718" t="str">
        <f t="shared" si="78"/>
        <v>Trading Day</v>
      </c>
      <c r="O1718" t="str">
        <f t="shared" si="79"/>
        <v>Negative</v>
      </c>
      <c r="P1718" t="str">
        <f t="shared" si="80"/>
        <v>Positive</v>
      </c>
    </row>
    <row r="1719" spans="1:16" x14ac:dyDescent="0.3">
      <c r="A1719" s="1">
        <v>45072</v>
      </c>
      <c r="B1719">
        <v>37.89</v>
      </c>
      <c r="C1719">
        <v>93604000</v>
      </c>
      <c r="D1719">
        <v>4.9240000000000004</v>
      </c>
      <c r="E1719">
        <v>61</v>
      </c>
      <c r="F1719">
        <v>1.59</v>
      </c>
      <c r="G1719">
        <v>4.2700000000000002E-2</v>
      </c>
      <c r="H1719">
        <v>0</v>
      </c>
      <c r="J1719">
        <v>1</v>
      </c>
      <c r="K1719">
        <f>YEAR(NetflixData[[#This Row],[date]])</f>
        <v>2023</v>
      </c>
      <c r="L1719" t="str">
        <f>TEXT(NetflixData[[#This Row],[date]],"mmm")</f>
        <v>May</v>
      </c>
      <c r="M1719" t="str">
        <f>TEXT(NetflixData[[#This Row],[date]],"mmm yyyy")</f>
        <v>May 2023</v>
      </c>
      <c r="N1719" t="str">
        <f t="shared" si="78"/>
        <v>Non-Trading Day</v>
      </c>
      <c r="O1719" t="str">
        <f t="shared" si="79"/>
        <v>Positive</v>
      </c>
      <c r="P1719" t="str">
        <f t="shared" si="80"/>
        <v>Neutral</v>
      </c>
    </row>
    <row r="1720" spans="1:16" x14ac:dyDescent="0.3">
      <c r="A1720" s="1">
        <v>45073</v>
      </c>
      <c r="B1720">
        <v>37.89</v>
      </c>
      <c r="C1720">
        <v>0</v>
      </c>
      <c r="D1720">
        <v>0</v>
      </c>
      <c r="E1720">
        <v>40</v>
      </c>
      <c r="F1720">
        <v>1.7</v>
      </c>
      <c r="G1720">
        <v>2.5700000000000001E-2</v>
      </c>
      <c r="H1720">
        <v>0</v>
      </c>
      <c r="J1720">
        <v>0</v>
      </c>
      <c r="K1720">
        <f>YEAR(NetflixData[[#This Row],[date]])</f>
        <v>2023</v>
      </c>
      <c r="L1720" t="str">
        <f>TEXT(NetflixData[[#This Row],[date]],"mmm")</f>
        <v>May</v>
      </c>
      <c r="M1720" t="str">
        <f>TEXT(NetflixData[[#This Row],[date]],"mmm yyyy")</f>
        <v>May 2023</v>
      </c>
      <c r="N1720" t="str">
        <f t="shared" si="78"/>
        <v>Non-Trading Day</v>
      </c>
      <c r="O1720" t="str">
        <f t="shared" si="79"/>
        <v>No Change</v>
      </c>
      <c r="P1720" t="str">
        <f t="shared" si="80"/>
        <v>Neutral</v>
      </c>
    </row>
    <row r="1721" spans="1:16" x14ac:dyDescent="0.3">
      <c r="A1721" s="1">
        <v>45074</v>
      </c>
      <c r="B1721">
        <v>37.89</v>
      </c>
      <c r="C1721">
        <v>0</v>
      </c>
      <c r="D1721">
        <v>0</v>
      </c>
      <c r="E1721">
        <v>42</v>
      </c>
      <c r="F1721">
        <v>1.6</v>
      </c>
      <c r="G1721">
        <v>-2.6100000000000002E-2</v>
      </c>
      <c r="H1721">
        <v>0</v>
      </c>
      <c r="J1721">
        <v>0</v>
      </c>
      <c r="K1721">
        <f>YEAR(NetflixData[[#This Row],[date]])</f>
        <v>2023</v>
      </c>
      <c r="L1721" t="str">
        <f>TEXT(NetflixData[[#This Row],[date]],"mmm")</f>
        <v>May</v>
      </c>
      <c r="M1721" t="str">
        <f>TEXT(NetflixData[[#This Row],[date]],"mmm yyyy")</f>
        <v>May 2023</v>
      </c>
      <c r="N1721" t="str">
        <f t="shared" si="78"/>
        <v>Non-Trading Day</v>
      </c>
      <c r="O1721" t="str">
        <f t="shared" si="79"/>
        <v>No Change</v>
      </c>
      <c r="P1721" t="str">
        <f t="shared" si="80"/>
        <v>Neutral</v>
      </c>
    </row>
    <row r="1722" spans="1:16" x14ac:dyDescent="0.3">
      <c r="A1722" s="1">
        <v>45075</v>
      </c>
      <c r="B1722">
        <v>37.89</v>
      </c>
      <c r="C1722">
        <v>0</v>
      </c>
      <c r="D1722">
        <v>0</v>
      </c>
      <c r="E1722">
        <v>39</v>
      </c>
      <c r="F1722">
        <v>2.0299999999999998</v>
      </c>
      <c r="G1722">
        <v>9.1999999999999998E-2</v>
      </c>
      <c r="H1722">
        <v>0</v>
      </c>
      <c r="J1722">
        <v>0</v>
      </c>
      <c r="K1722">
        <f>YEAR(NetflixData[[#This Row],[date]])</f>
        <v>2023</v>
      </c>
      <c r="L1722" t="str">
        <f>TEXT(NetflixData[[#This Row],[date]],"mmm")</f>
        <v>May</v>
      </c>
      <c r="M1722" t="str">
        <f>TEXT(NetflixData[[#This Row],[date]],"mmm yyyy")</f>
        <v>May 2023</v>
      </c>
      <c r="N1722" t="str">
        <f t="shared" si="78"/>
        <v>Trading Day</v>
      </c>
      <c r="O1722" t="str">
        <f t="shared" si="79"/>
        <v>No Change</v>
      </c>
      <c r="P1722" t="str">
        <f t="shared" si="80"/>
        <v>Neutral</v>
      </c>
    </row>
    <row r="1723" spans="1:16" x14ac:dyDescent="0.3">
      <c r="A1723" s="1">
        <v>45076</v>
      </c>
      <c r="B1723">
        <v>39.299999999999997</v>
      </c>
      <c r="C1723">
        <v>108650000</v>
      </c>
      <c r="D1723">
        <v>-1.1319999999999999</v>
      </c>
      <c r="E1723">
        <v>39</v>
      </c>
      <c r="F1723">
        <v>1.95</v>
      </c>
      <c r="G1723">
        <v>0.16769999999999999</v>
      </c>
      <c r="H1723">
        <v>0</v>
      </c>
      <c r="J1723">
        <v>1</v>
      </c>
      <c r="K1723">
        <f>YEAR(NetflixData[[#This Row],[date]])</f>
        <v>2023</v>
      </c>
      <c r="L1723" t="str">
        <f>TEXT(NetflixData[[#This Row],[date]],"mmm")</f>
        <v>May</v>
      </c>
      <c r="M1723" t="str">
        <f>TEXT(NetflixData[[#This Row],[date]],"mmm yyyy")</f>
        <v>May 2023</v>
      </c>
      <c r="N1723" t="str">
        <f t="shared" si="78"/>
        <v>Trading Day</v>
      </c>
      <c r="O1723" t="str">
        <f t="shared" si="79"/>
        <v>Negative</v>
      </c>
      <c r="P1723" t="str">
        <f t="shared" si="80"/>
        <v>Positive</v>
      </c>
    </row>
    <row r="1724" spans="1:16" x14ac:dyDescent="0.3">
      <c r="A1724" s="1">
        <v>45077</v>
      </c>
      <c r="B1724">
        <v>39.520000000000003</v>
      </c>
      <c r="C1724">
        <v>69880000</v>
      </c>
      <c r="D1724">
        <v>0.85199999999999998</v>
      </c>
      <c r="E1724">
        <v>26</v>
      </c>
      <c r="F1724">
        <v>1.73</v>
      </c>
      <c r="G1724">
        <v>-2.2100000000000002E-2</v>
      </c>
      <c r="H1724">
        <v>0</v>
      </c>
      <c r="J1724">
        <v>1</v>
      </c>
      <c r="K1724">
        <f>YEAR(NetflixData[[#This Row],[date]])</f>
        <v>2023</v>
      </c>
      <c r="L1724" t="str">
        <f>TEXT(NetflixData[[#This Row],[date]],"mmm")</f>
        <v>May</v>
      </c>
      <c r="M1724" t="str">
        <f>TEXT(NetflixData[[#This Row],[date]],"mmm yyyy")</f>
        <v>May 2023</v>
      </c>
      <c r="N1724" t="str">
        <f t="shared" si="78"/>
        <v>Trading Day</v>
      </c>
      <c r="O1724" t="str">
        <f t="shared" si="79"/>
        <v>Positive</v>
      </c>
      <c r="P1724" t="str">
        <f t="shared" si="80"/>
        <v>Neutral</v>
      </c>
    </row>
    <row r="1725" spans="1:16" x14ac:dyDescent="0.3">
      <c r="A1725" s="1">
        <v>45078</v>
      </c>
      <c r="B1725">
        <v>40.31</v>
      </c>
      <c r="C1725">
        <v>71601000</v>
      </c>
      <c r="D1725">
        <v>1.4390000000000001</v>
      </c>
      <c r="E1725">
        <v>35</v>
      </c>
      <c r="F1725">
        <v>2.46</v>
      </c>
      <c r="G1725">
        <v>0.1804</v>
      </c>
      <c r="H1725">
        <v>0</v>
      </c>
      <c r="J1725">
        <v>1</v>
      </c>
      <c r="K1725">
        <f>YEAR(NetflixData[[#This Row],[date]])</f>
        <v>2023</v>
      </c>
      <c r="L1725" t="str">
        <f>TEXT(NetflixData[[#This Row],[date]],"mmm")</f>
        <v>Jun</v>
      </c>
      <c r="M1725" t="str">
        <f>TEXT(NetflixData[[#This Row],[date]],"mmm yyyy")</f>
        <v>Jun 2023</v>
      </c>
      <c r="N1725" t="str">
        <f t="shared" si="78"/>
        <v>Trading Day</v>
      </c>
      <c r="O1725" t="str">
        <f t="shared" si="79"/>
        <v>Positive</v>
      </c>
      <c r="P1725" t="str">
        <f t="shared" si="80"/>
        <v>Positive</v>
      </c>
    </row>
    <row r="1726" spans="1:16" x14ac:dyDescent="0.3">
      <c r="A1726" s="1">
        <v>45079</v>
      </c>
      <c r="B1726">
        <v>40.049999999999997</v>
      </c>
      <c r="C1726">
        <v>59024000</v>
      </c>
      <c r="D1726">
        <v>-0.60099999999999998</v>
      </c>
      <c r="E1726">
        <v>34</v>
      </c>
      <c r="F1726">
        <v>2.15</v>
      </c>
      <c r="G1726">
        <v>0.16470000000000001</v>
      </c>
      <c r="H1726">
        <v>0</v>
      </c>
      <c r="J1726">
        <v>1</v>
      </c>
      <c r="K1726">
        <f>YEAR(NetflixData[[#This Row],[date]])</f>
        <v>2023</v>
      </c>
      <c r="L1726" t="str">
        <f>TEXT(NetflixData[[#This Row],[date]],"mmm")</f>
        <v>Jun</v>
      </c>
      <c r="M1726" t="str">
        <f>TEXT(NetflixData[[#This Row],[date]],"mmm yyyy")</f>
        <v>Jun 2023</v>
      </c>
      <c r="N1726" t="str">
        <f t="shared" si="78"/>
        <v>Non-Trading Day</v>
      </c>
      <c r="O1726" t="str">
        <f t="shared" si="79"/>
        <v>Negative</v>
      </c>
      <c r="P1726" t="str">
        <f t="shared" si="80"/>
        <v>Positive</v>
      </c>
    </row>
    <row r="1727" spans="1:16" x14ac:dyDescent="0.3">
      <c r="A1727" s="1">
        <v>45080</v>
      </c>
      <c r="B1727">
        <v>40.049999999999997</v>
      </c>
      <c r="C1727">
        <v>0</v>
      </c>
      <c r="D1727">
        <v>0</v>
      </c>
      <c r="E1727">
        <v>37</v>
      </c>
      <c r="F1727">
        <v>2</v>
      </c>
      <c r="G1727">
        <v>7.7600000000000002E-2</v>
      </c>
      <c r="H1727">
        <v>0</v>
      </c>
      <c r="J1727">
        <v>0</v>
      </c>
      <c r="K1727">
        <f>YEAR(NetflixData[[#This Row],[date]])</f>
        <v>2023</v>
      </c>
      <c r="L1727" t="str">
        <f>TEXT(NetflixData[[#This Row],[date]],"mmm")</f>
        <v>Jun</v>
      </c>
      <c r="M1727" t="str">
        <f>TEXT(NetflixData[[#This Row],[date]],"mmm yyyy")</f>
        <v>Jun 2023</v>
      </c>
      <c r="N1727" t="str">
        <f t="shared" si="78"/>
        <v>Non-Trading Day</v>
      </c>
      <c r="O1727" t="str">
        <f t="shared" si="79"/>
        <v>No Change</v>
      </c>
      <c r="P1727" t="str">
        <f t="shared" si="80"/>
        <v>Neutral</v>
      </c>
    </row>
    <row r="1728" spans="1:16" x14ac:dyDescent="0.3">
      <c r="A1728" s="1">
        <v>45081</v>
      </c>
      <c r="B1728">
        <v>40.049999999999997</v>
      </c>
      <c r="C1728">
        <v>0</v>
      </c>
      <c r="D1728">
        <v>0</v>
      </c>
      <c r="E1728">
        <v>43</v>
      </c>
      <c r="F1728">
        <v>1.67</v>
      </c>
      <c r="G1728">
        <v>9.3299999999999994E-2</v>
      </c>
      <c r="H1728">
        <v>0</v>
      </c>
      <c r="J1728">
        <v>0</v>
      </c>
      <c r="K1728">
        <f>YEAR(NetflixData[[#This Row],[date]])</f>
        <v>2023</v>
      </c>
      <c r="L1728" t="str">
        <f>TEXT(NetflixData[[#This Row],[date]],"mmm")</f>
        <v>Jun</v>
      </c>
      <c r="M1728" t="str">
        <f>TEXT(NetflixData[[#This Row],[date]],"mmm yyyy")</f>
        <v>Jun 2023</v>
      </c>
      <c r="N1728" t="str">
        <f t="shared" si="78"/>
        <v>Trading Day</v>
      </c>
      <c r="O1728" t="str">
        <f t="shared" si="79"/>
        <v>No Change</v>
      </c>
      <c r="P1728" t="str">
        <f t="shared" si="80"/>
        <v>Neutral</v>
      </c>
    </row>
    <row r="1729" spans="1:16" x14ac:dyDescent="0.3">
      <c r="A1729" s="1">
        <v>45082</v>
      </c>
      <c r="B1729">
        <v>40.35</v>
      </c>
      <c r="C1729">
        <v>72474000</v>
      </c>
      <c r="D1729">
        <v>0.76700000000000002</v>
      </c>
      <c r="E1729">
        <v>35</v>
      </c>
      <c r="F1729">
        <v>1.57</v>
      </c>
      <c r="G1729">
        <v>3.5999999999999997E-2</v>
      </c>
      <c r="H1729">
        <v>0</v>
      </c>
      <c r="J1729">
        <v>1</v>
      </c>
      <c r="K1729">
        <f>YEAR(NetflixData[[#This Row],[date]])</f>
        <v>2023</v>
      </c>
      <c r="L1729" t="str">
        <f>TEXT(NetflixData[[#This Row],[date]],"mmm")</f>
        <v>Jun</v>
      </c>
      <c r="M1729" t="str">
        <f>TEXT(NetflixData[[#This Row],[date]],"mmm yyyy")</f>
        <v>Jun 2023</v>
      </c>
      <c r="N1729" t="str">
        <f t="shared" si="78"/>
        <v>Trading Day</v>
      </c>
      <c r="O1729" t="str">
        <f t="shared" si="79"/>
        <v>Positive</v>
      </c>
      <c r="P1729" t="str">
        <f t="shared" si="80"/>
        <v>Neutral</v>
      </c>
    </row>
    <row r="1730" spans="1:16" x14ac:dyDescent="0.3">
      <c r="A1730" s="1">
        <v>45083</v>
      </c>
      <c r="B1730">
        <v>39.93</v>
      </c>
      <c r="C1730">
        <v>49915000</v>
      </c>
      <c r="D1730">
        <v>-1.41</v>
      </c>
      <c r="E1730">
        <v>30</v>
      </c>
      <c r="F1730">
        <v>1.83</v>
      </c>
      <c r="G1730">
        <v>4.0500000000000001E-2</v>
      </c>
      <c r="H1730">
        <v>0</v>
      </c>
      <c r="J1730">
        <v>1</v>
      </c>
      <c r="K1730">
        <f>YEAR(NetflixData[[#This Row],[date]])</f>
        <v>2023</v>
      </c>
      <c r="L1730" t="str">
        <f>TEXT(NetflixData[[#This Row],[date]],"mmm")</f>
        <v>Jun</v>
      </c>
      <c r="M1730" t="str">
        <f>TEXT(NetflixData[[#This Row],[date]],"mmm yyyy")</f>
        <v>Jun 2023</v>
      </c>
      <c r="N1730" t="str">
        <f t="shared" ref="N1730:N1793" si="81">IF(J1731=1,"Trading Day","Non-Trading Day")</f>
        <v>Trading Day</v>
      </c>
      <c r="O1730" t="str">
        <f t="shared" ref="O1730:O1793" si="82">IF(D1730&gt;0,"Positive",IF(D1730&lt;0,"Negative","No Change"))</f>
        <v>Negative</v>
      </c>
      <c r="P1730" t="str">
        <f t="shared" ref="P1730:P1793" si="83">IF(G1730&gt;0.1,"Positive",IF(G1730&lt;-0.1,"Negative","Neutral"))</f>
        <v>Neutral</v>
      </c>
    </row>
    <row r="1731" spans="1:16" x14ac:dyDescent="0.3">
      <c r="A1731" s="1">
        <v>45084</v>
      </c>
      <c r="B1731">
        <v>39.979999999999997</v>
      </c>
      <c r="C1731">
        <v>119324000</v>
      </c>
      <c r="D1731">
        <v>-2.597</v>
      </c>
      <c r="E1731">
        <v>52</v>
      </c>
      <c r="F1731">
        <v>1.87</v>
      </c>
      <c r="G1731">
        <v>7.4999999999999997E-3</v>
      </c>
      <c r="H1731">
        <v>0</v>
      </c>
      <c r="J1731">
        <v>1</v>
      </c>
      <c r="K1731">
        <f>YEAR(NetflixData[[#This Row],[date]])</f>
        <v>2023</v>
      </c>
      <c r="L1731" t="str">
        <f>TEXT(NetflixData[[#This Row],[date]],"mmm")</f>
        <v>Jun</v>
      </c>
      <c r="M1731" t="str">
        <f>TEXT(NetflixData[[#This Row],[date]],"mmm yyyy")</f>
        <v>Jun 2023</v>
      </c>
      <c r="N1731" t="str">
        <f t="shared" si="81"/>
        <v>Trading Day</v>
      </c>
      <c r="O1731" t="str">
        <f t="shared" si="82"/>
        <v>Negative</v>
      </c>
      <c r="P1731" t="str">
        <f t="shared" si="83"/>
        <v>Neutral</v>
      </c>
    </row>
    <row r="1732" spans="1:16" x14ac:dyDescent="0.3">
      <c r="A1732" s="1">
        <v>45085</v>
      </c>
      <c r="B1732">
        <v>40.94</v>
      </c>
      <c r="C1732">
        <v>59911000</v>
      </c>
      <c r="D1732">
        <v>2.4009999999999998</v>
      </c>
      <c r="E1732">
        <v>43</v>
      </c>
      <c r="F1732">
        <v>1.7</v>
      </c>
      <c r="G1732">
        <v>1.66E-2</v>
      </c>
      <c r="H1732">
        <v>0</v>
      </c>
      <c r="J1732">
        <v>1</v>
      </c>
      <c r="K1732">
        <f>YEAR(NetflixData[[#This Row],[date]])</f>
        <v>2023</v>
      </c>
      <c r="L1732" t="str">
        <f>TEXT(NetflixData[[#This Row],[date]],"mmm")</f>
        <v>Jun</v>
      </c>
      <c r="M1732" t="str">
        <f>TEXT(NetflixData[[#This Row],[date]],"mmm yyyy")</f>
        <v>Jun 2023</v>
      </c>
      <c r="N1732" t="str">
        <f t="shared" si="81"/>
        <v>Trading Day</v>
      </c>
      <c r="O1732" t="str">
        <f t="shared" si="82"/>
        <v>Positive</v>
      </c>
      <c r="P1732" t="str">
        <f t="shared" si="83"/>
        <v>Neutral</v>
      </c>
    </row>
    <row r="1733" spans="1:16" x14ac:dyDescent="0.3">
      <c r="A1733" s="1">
        <v>45086</v>
      </c>
      <c r="B1733">
        <v>42</v>
      </c>
      <c r="C1733">
        <v>123630000</v>
      </c>
      <c r="D1733">
        <v>-1.0549999999999999</v>
      </c>
      <c r="E1733">
        <v>43</v>
      </c>
      <c r="F1733">
        <v>2</v>
      </c>
      <c r="G1733">
        <v>7.3499999999999996E-2</v>
      </c>
      <c r="H1733">
        <v>0</v>
      </c>
      <c r="J1733">
        <v>1</v>
      </c>
      <c r="K1733">
        <f>YEAR(NetflixData[[#This Row],[date]])</f>
        <v>2023</v>
      </c>
      <c r="L1733" t="str">
        <f>TEXT(NetflixData[[#This Row],[date]],"mmm")</f>
        <v>Jun</v>
      </c>
      <c r="M1733" t="str">
        <f>TEXT(NetflixData[[#This Row],[date]],"mmm yyyy")</f>
        <v>Jun 2023</v>
      </c>
      <c r="N1733" t="str">
        <f t="shared" si="81"/>
        <v>Non-Trading Day</v>
      </c>
      <c r="O1733" t="str">
        <f t="shared" si="82"/>
        <v>Negative</v>
      </c>
      <c r="P1733" t="str">
        <f t="shared" si="83"/>
        <v>Neutral</v>
      </c>
    </row>
    <row r="1734" spans="1:16" x14ac:dyDescent="0.3">
      <c r="A1734" s="1">
        <v>45087</v>
      </c>
      <c r="B1734">
        <v>42</v>
      </c>
      <c r="C1734">
        <v>0</v>
      </c>
      <c r="D1734">
        <v>0</v>
      </c>
      <c r="E1734">
        <v>42</v>
      </c>
      <c r="F1734">
        <v>1.86</v>
      </c>
      <c r="G1734">
        <v>0.15609999999999999</v>
      </c>
      <c r="H1734">
        <v>0</v>
      </c>
      <c r="J1734">
        <v>0</v>
      </c>
      <c r="K1734">
        <f>YEAR(NetflixData[[#This Row],[date]])</f>
        <v>2023</v>
      </c>
      <c r="L1734" t="str">
        <f>TEXT(NetflixData[[#This Row],[date]],"mmm")</f>
        <v>Jun</v>
      </c>
      <c r="M1734" t="str">
        <f>TEXT(NetflixData[[#This Row],[date]],"mmm yyyy")</f>
        <v>Jun 2023</v>
      </c>
      <c r="N1734" t="str">
        <f t="shared" si="81"/>
        <v>Non-Trading Day</v>
      </c>
      <c r="O1734" t="str">
        <f t="shared" si="82"/>
        <v>No Change</v>
      </c>
      <c r="P1734" t="str">
        <f t="shared" si="83"/>
        <v>Positive</v>
      </c>
    </row>
    <row r="1735" spans="1:16" x14ac:dyDescent="0.3">
      <c r="A1735" s="1">
        <v>45088</v>
      </c>
      <c r="B1735">
        <v>42</v>
      </c>
      <c r="C1735">
        <v>0</v>
      </c>
      <c r="D1735">
        <v>0</v>
      </c>
      <c r="E1735">
        <v>45</v>
      </c>
      <c r="F1735">
        <v>1.93</v>
      </c>
      <c r="G1735">
        <v>0.11700000000000001</v>
      </c>
      <c r="H1735">
        <v>0</v>
      </c>
      <c r="J1735">
        <v>0</v>
      </c>
      <c r="K1735">
        <f>YEAR(NetflixData[[#This Row],[date]])</f>
        <v>2023</v>
      </c>
      <c r="L1735" t="str">
        <f>TEXT(NetflixData[[#This Row],[date]],"mmm")</f>
        <v>Jun</v>
      </c>
      <c r="M1735" t="str">
        <f>TEXT(NetflixData[[#This Row],[date]],"mmm yyyy")</f>
        <v>Jun 2023</v>
      </c>
      <c r="N1735" t="str">
        <f t="shared" si="81"/>
        <v>Trading Day</v>
      </c>
      <c r="O1735" t="str">
        <f t="shared" si="82"/>
        <v>No Change</v>
      </c>
      <c r="P1735" t="str">
        <f t="shared" si="83"/>
        <v>Positive</v>
      </c>
    </row>
    <row r="1736" spans="1:16" x14ac:dyDescent="0.3">
      <c r="A1736" s="1">
        <v>45089</v>
      </c>
      <c r="B1736">
        <v>42.4</v>
      </c>
      <c r="C1736">
        <v>59595000</v>
      </c>
      <c r="D1736">
        <v>1.2270000000000001</v>
      </c>
      <c r="E1736">
        <v>23</v>
      </c>
      <c r="F1736">
        <v>2.2999999999999998</v>
      </c>
      <c r="G1736">
        <v>0.1031</v>
      </c>
      <c r="H1736">
        <v>0</v>
      </c>
      <c r="J1736">
        <v>1</v>
      </c>
      <c r="K1736">
        <f>YEAR(NetflixData[[#This Row],[date]])</f>
        <v>2023</v>
      </c>
      <c r="L1736" t="str">
        <f>TEXT(NetflixData[[#This Row],[date]],"mmm")</f>
        <v>Jun</v>
      </c>
      <c r="M1736" t="str">
        <f>TEXT(NetflixData[[#This Row],[date]],"mmm yyyy")</f>
        <v>Jun 2023</v>
      </c>
      <c r="N1736" t="str">
        <f t="shared" si="81"/>
        <v>Trading Day</v>
      </c>
      <c r="O1736" t="str">
        <f t="shared" si="82"/>
        <v>Positive</v>
      </c>
      <c r="P1736" t="str">
        <f t="shared" si="83"/>
        <v>Positive</v>
      </c>
    </row>
    <row r="1737" spans="1:16" x14ac:dyDescent="0.3">
      <c r="A1737" s="1">
        <v>45090</v>
      </c>
      <c r="B1737">
        <v>43.57</v>
      </c>
      <c r="C1737">
        <v>78205000</v>
      </c>
      <c r="D1737">
        <v>1.33</v>
      </c>
      <c r="E1737">
        <v>29</v>
      </c>
      <c r="F1737">
        <v>1.76</v>
      </c>
      <c r="G1737">
        <v>0.1182</v>
      </c>
      <c r="H1737">
        <v>0</v>
      </c>
      <c r="J1737">
        <v>1</v>
      </c>
      <c r="K1737">
        <f>YEAR(NetflixData[[#This Row],[date]])</f>
        <v>2023</v>
      </c>
      <c r="L1737" t="str">
        <f>TEXT(NetflixData[[#This Row],[date]],"mmm")</f>
        <v>Jun</v>
      </c>
      <c r="M1737" t="str">
        <f>TEXT(NetflixData[[#This Row],[date]],"mmm yyyy")</f>
        <v>Jun 2023</v>
      </c>
      <c r="N1737" t="str">
        <f t="shared" si="81"/>
        <v>Trading Day</v>
      </c>
      <c r="O1737" t="str">
        <f t="shared" si="82"/>
        <v>Positive</v>
      </c>
      <c r="P1737" t="str">
        <f t="shared" si="83"/>
        <v>Positive</v>
      </c>
    </row>
    <row r="1738" spans="1:16" x14ac:dyDescent="0.3">
      <c r="A1738" s="1">
        <v>45091</v>
      </c>
      <c r="B1738">
        <v>44.09</v>
      </c>
      <c r="C1738">
        <v>84131000</v>
      </c>
      <c r="D1738">
        <v>1.349</v>
      </c>
      <c r="E1738">
        <v>27</v>
      </c>
      <c r="F1738">
        <v>1.89</v>
      </c>
      <c r="G1738">
        <v>0.16339999999999999</v>
      </c>
      <c r="H1738">
        <v>0</v>
      </c>
      <c r="J1738">
        <v>1</v>
      </c>
      <c r="K1738">
        <f>YEAR(NetflixData[[#This Row],[date]])</f>
        <v>2023</v>
      </c>
      <c r="L1738" t="str">
        <f>TEXT(NetflixData[[#This Row],[date]],"mmm")</f>
        <v>Jun</v>
      </c>
      <c r="M1738" t="str">
        <f>TEXT(NetflixData[[#This Row],[date]],"mmm yyyy")</f>
        <v>Jun 2023</v>
      </c>
      <c r="N1738" t="str">
        <f t="shared" si="81"/>
        <v>Trading Day</v>
      </c>
      <c r="O1738" t="str">
        <f t="shared" si="82"/>
        <v>Positive</v>
      </c>
      <c r="P1738" t="str">
        <f t="shared" si="83"/>
        <v>Positive</v>
      </c>
    </row>
    <row r="1739" spans="1:16" x14ac:dyDescent="0.3">
      <c r="A1739" s="1">
        <v>45092</v>
      </c>
      <c r="B1739">
        <v>44.53</v>
      </c>
      <c r="C1739">
        <v>70999000</v>
      </c>
      <c r="D1739">
        <v>0.26300000000000001</v>
      </c>
      <c r="E1739">
        <v>27</v>
      </c>
      <c r="F1739">
        <v>1.93</v>
      </c>
      <c r="G1739">
        <v>7.8799999999999995E-2</v>
      </c>
      <c r="H1739">
        <v>0</v>
      </c>
      <c r="J1739">
        <v>1</v>
      </c>
      <c r="K1739">
        <f>YEAR(NetflixData[[#This Row],[date]])</f>
        <v>2023</v>
      </c>
      <c r="L1739" t="str">
        <f>TEXT(NetflixData[[#This Row],[date]],"mmm")</f>
        <v>Jun</v>
      </c>
      <c r="M1739" t="str">
        <f>TEXT(NetflixData[[#This Row],[date]],"mmm yyyy")</f>
        <v>Jun 2023</v>
      </c>
      <c r="N1739" t="str">
        <f t="shared" si="81"/>
        <v>Trading Day</v>
      </c>
      <c r="O1739" t="str">
        <f t="shared" si="82"/>
        <v>Positive</v>
      </c>
      <c r="P1739" t="str">
        <f t="shared" si="83"/>
        <v>Neutral</v>
      </c>
    </row>
    <row r="1740" spans="1:16" x14ac:dyDescent="0.3">
      <c r="A1740" s="1">
        <v>45093</v>
      </c>
      <c r="B1740">
        <v>43.2</v>
      </c>
      <c r="C1740">
        <v>87537000</v>
      </c>
      <c r="D1740">
        <v>-3.181</v>
      </c>
      <c r="E1740">
        <v>29</v>
      </c>
      <c r="F1740">
        <v>2.4500000000000002</v>
      </c>
      <c r="G1740">
        <v>-5.3699999999999998E-2</v>
      </c>
      <c r="H1740">
        <v>0</v>
      </c>
      <c r="J1740">
        <v>1</v>
      </c>
      <c r="K1740">
        <f>YEAR(NetflixData[[#This Row],[date]])</f>
        <v>2023</v>
      </c>
      <c r="L1740" t="str">
        <f>TEXT(NetflixData[[#This Row],[date]],"mmm")</f>
        <v>Jun</v>
      </c>
      <c r="M1740" t="str">
        <f>TEXT(NetflixData[[#This Row],[date]],"mmm yyyy")</f>
        <v>Jun 2023</v>
      </c>
      <c r="N1740" t="str">
        <f t="shared" si="81"/>
        <v>Non-Trading Day</v>
      </c>
      <c r="O1740" t="str">
        <f t="shared" si="82"/>
        <v>Negative</v>
      </c>
      <c r="P1740" t="str">
        <f t="shared" si="83"/>
        <v>Neutral</v>
      </c>
    </row>
    <row r="1741" spans="1:16" x14ac:dyDescent="0.3">
      <c r="A1741" s="1">
        <v>45094</v>
      </c>
      <c r="B1741">
        <v>43.2</v>
      </c>
      <c r="C1741">
        <v>0</v>
      </c>
      <c r="D1741">
        <v>0</v>
      </c>
      <c r="E1741">
        <v>26</v>
      </c>
      <c r="F1741">
        <v>1.92</v>
      </c>
      <c r="G1741">
        <v>0.1004</v>
      </c>
      <c r="H1741">
        <v>0</v>
      </c>
      <c r="J1741">
        <v>0</v>
      </c>
      <c r="K1741">
        <f>YEAR(NetflixData[[#This Row],[date]])</f>
        <v>2023</v>
      </c>
      <c r="L1741" t="str">
        <f>TEXT(NetflixData[[#This Row],[date]],"mmm")</f>
        <v>Jun</v>
      </c>
      <c r="M1741" t="str">
        <f>TEXT(NetflixData[[#This Row],[date]],"mmm yyyy")</f>
        <v>Jun 2023</v>
      </c>
      <c r="N1741" t="str">
        <f t="shared" si="81"/>
        <v>Non-Trading Day</v>
      </c>
      <c r="O1741" t="str">
        <f t="shared" si="82"/>
        <v>No Change</v>
      </c>
      <c r="P1741" t="str">
        <f t="shared" si="83"/>
        <v>Positive</v>
      </c>
    </row>
    <row r="1742" spans="1:16" x14ac:dyDescent="0.3">
      <c r="A1742" s="1">
        <v>45095</v>
      </c>
      <c r="B1742">
        <v>43.2</v>
      </c>
      <c r="C1742">
        <v>0</v>
      </c>
      <c r="D1742">
        <v>0</v>
      </c>
      <c r="E1742">
        <v>30</v>
      </c>
      <c r="F1742">
        <v>1.57</v>
      </c>
      <c r="G1742">
        <v>-5.1299999999999998E-2</v>
      </c>
      <c r="H1742">
        <v>0</v>
      </c>
      <c r="J1742">
        <v>0</v>
      </c>
      <c r="K1742">
        <f>YEAR(NetflixData[[#This Row],[date]])</f>
        <v>2023</v>
      </c>
      <c r="L1742" t="str">
        <f>TEXT(NetflixData[[#This Row],[date]],"mmm")</f>
        <v>Jun</v>
      </c>
      <c r="M1742" t="str">
        <f>TEXT(NetflixData[[#This Row],[date]],"mmm yyyy")</f>
        <v>Jun 2023</v>
      </c>
      <c r="N1742" t="str">
        <f t="shared" si="81"/>
        <v>Non-Trading Day</v>
      </c>
      <c r="O1742" t="str">
        <f t="shared" si="82"/>
        <v>No Change</v>
      </c>
      <c r="P1742" t="str">
        <f t="shared" si="83"/>
        <v>Neutral</v>
      </c>
    </row>
    <row r="1743" spans="1:16" x14ac:dyDescent="0.3">
      <c r="A1743" s="1">
        <v>45096</v>
      </c>
      <c r="B1743">
        <v>43.2</v>
      </c>
      <c r="C1743">
        <v>0</v>
      </c>
      <c r="D1743">
        <v>0</v>
      </c>
      <c r="E1743">
        <v>40</v>
      </c>
      <c r="F1743">
        <v>2.08</v>
      </c>
      <c r="G1743">
        <v>-6.6E-3</v>
      </c>
      <c r="H1743">
        <v>0</v>
      </c>
      <c r="J1743">
        <v>0</v>
      </c>
      <c r="K1743">
        <f>YEAR(NetflixData[[#This Row],[date]])</f>
        <v>2023</v>
      </c>
      <c r="L1743" t="str">
        <f>TEXT(NetflixData[[#This Row],[date]],"mmm")</f>
        <v>Jun</v>
      </c>
      <c r="M1743" t="str">
        <f>TEXT(NetflixData[[#This Row],[date]],"mmm yyyy")</f>
        <v>Jun 2023</v>
      </c>
      <c r="N1743" t="str">
        <f t="shared" si="81"/>
        <v>Trading Day</v>
      </c>
      <c r="O1743" t="str">
        <f t="shared" si="82"/>
        <v>No Change</v>
      </c>
      <c r="P1743" t="str">
        <f t="shared" si="83"/>
        <v>Neutral</v>
      </c>
    </row>
    <row r="1744" spans="1:16" x14ac:dyDescent="0.3">
      <c r="A1744" s="1">
        <v>45097</v>
      </c>
      <c r="B1744">
        <v>43.47</v>
      </c>
      <c r="C1744">
        <v>47560000</v>
      </c>
      <c r="D1744">
        <v>1.0509999999999999</v>
      </c>
      <c r="E1744">
        <v>34</v>
      </c>
      <c r="F1744">
        <v>2.2400000000000002</v>
      </c>
      <c r="G1744">
        <v>0.1711</v>
      </c>
      <c r="H1744">
        <v>0</v>
      </c>
      <c r="J1744">
        <v>1</v>
      </c>
      <c r="K1744">
        <f>YEAR(NetflixData[[#This Row],[date]])</f>
        <v>2023</v>
      </c>
      <c r="L1744" t="str">
        <f>TEXT(NetflixData[[#This Row],[date]],"mmm")</f>
        <v>Jun</v>
      </c>
      <c r="M1744" t="str">
        <f>TEXT(NetflixData[[#This Row],[date]],"mmm yyyy")</f>
        <v>Jun 2023</v>
      </c>
      <c r="N1744" t="str">
        <f t="shared" si="81"/>
        <v>Trading Day</v>
      </c>
      <c r="O1744" t="str">
        <f t="shared" si="82"/>
        <v>Positive</v>
      </c>
      <c r="P1744" t="str">
        <f t="shared" si="83"/>
        <v>Positive</v>
      </c>
    </row>
    <row r="1745" spans="1:16" x14ac:dyDescent="0.3">
      <c r="A1745" s="1">
        <v>45098</v>
      </c>
      <c r="B1745">
        <v>42.44</v>
      </c>
      <c r="C1745">
        <v>51464000</v>
      </c>
      <c r="D1745">
        <v>-1.895</v>
      </c>
      <c r="E1745">
        <v>29</v>
      </c>
      <c r="F1745">
        <v>2.2799999999999998</v>
      </c>
      <c r="G1745">
        <v>0.1661</v>
      </c>
      <c r="H1745">
        <v>0</v>
      </c>
      <c r="J1745">
        <v>1</v>
      </c>
      <c r="K1745">
        <f>YEAR(NetflixData[[#This Row],[date]])</f>
        <v>2023</v>
      </c>
      <c r="L1745" t="str">
        <f>TEXT(NetflixData[[#This Row],[date]],"mmm")</f>
        <v>Jun</v>
      </c>
      <c r="M1745" t="str">
        <f>TEXT(NetflixData[[#This Row],[date]],"mmm yyyy")</f>
        <v>Jun 2023</v>
      </c>
      <c r="N1745" t="str">
        <f t="shared" si="81"/>
        <v>Trading Day</v>
      </c>
      <c r="O1745" t="str">
        <f t="shared" si="82"/>
        <v>Negative</v>
      </c>
      <c r="P1745" t="str">
        <f t="shared" si="83"/>
        <v>Positive</v>
      </c>
    </row>
    <row r="1746" spans="1:16" x14ac:dyDescent="0.3">
      <c r="A1746" s="1">
        <v>45099</v>
      </c>
      <c r="B1746">
        <v>42.25</v>
      </c>
      <c r="C1746">
        <v>48695000</v>
      </c>
      <c r="D1746">
        <v>-0.106</v>
      </c>
      <c r="E1746">
        <v>30</v>
      </c>
      <c r="F1746">
        <v>1.63</v>
      </c>
      <c r="G1746">
        <v>-6.59E-2</v>
      </c>
      <c r="H1746">
        <v>0</v>
      </c>
      <c r="J1746">
        <v>1</v>
      </c>
      <c r="K1746">
        <f>YEAR(NetflixData[[#This Row],[date]])</f>
        <v>2023</v>
      </c>
      <c r="L1746" t="str">
        <f>TEXT(NetflixData[[#This Row],[date]],"mmm")</f>
        <v>Jun</v>
      </c>
      <c r="M1746" t="str">
        <f>TEXT(NetflixData[[#This Row],[date]],"mmm yyyy")</f>
        <v>Jun 2023</v>
      </c>
      <c r="N1746" t="str">
        <f t="shared" si="81"/>
        <v>Trading Day</v>
      </c>
      <c r="O1746" t="str">
        <f t="shared" si="82"/>
        <v>Negative</v>
      </c>
      <c r="P1746" t="str">
        <f t="shared" si="83"/>
        <v>Neutral</v>
      </c>
    </row>
    <row r="1747" spans="1:16" x14ac:dyDescent="0.3">
      <c r="A1747" s="1">
        <v>45100</v>
      </c>
      <c r="B1747">
        <v>42.4</v>
      </c>
      <c r="C1747">
        <v>82986000</v>
      </c>
      <c r="D1747">
        <v>1.2969999999999999</v>
      </c>
      <c r="E1747">
        <v>34</v>
      </c>
      <c r="F1747">
        <v>1.68</v>
      </c>
      <c r="G1747">
        <v>-1.9E-2</v>
      </c>
      <c r="H1747">
        <v>0</v>
      </c>
      <c r="J1747">
        <v>1</v>
      </c>
      <c r="K1747">
        <f>YEAR(NetflixData[[#This Row],[date]])</f>
        <v>2023</v>
      </c>
      <c r="L1747" t="str">
        <f>TEXT(NetflixData[[#This Row],[date]],"mmm")</f>
        <v>Jun</v>
      </c>
      <c r="M1747" t="str">
        <f>TEXT(NetflixData[[#This Row],[date]],"mmm yyyy")</f>
        <v>Jun 2023</v>
      </c>
      <c r="N1747" t="str">
        <f t="shared" si="81"/>
        <v>Non-Trading Day</v>
      </c>
      <c r="O1747" t="str">
        <f t="shared" si="82"/>
        <v>Positive</v>
      </c>
      <c r="P1747" t="str">
        <f t="shared" si="83"/>
        <v>Neutral</v>
      </c>
    </row>
    <row r="1748" spans="1:16" x14ac:dyDescent="0.3">
      <c r="A1748" s="1">
        <v>45101</v>
      </c>
      <c r="B1748">
        <v>42.4</v>
      </c>
      <c r="C1748">
        <v>0</v>
      </c>
      <c r="D1748">
        <v>0</v>
      </c>
      <c r="E1748">
        <v>35</v>
      </c>
      <c r="F1748">
        <v>2.14</v>
      </c>
      <c r="G1748">
        <v>-2E-3</v>
      </c>
      <c r="H1748">
        <v>0</v>
      </c>
      <c r="J1748">
        <v>0</v>
      </c>
      <c r="K1748">
        <f>YEAR(NetflixData[[#This Row],[date]])</f>
        <v>2023</v>
      </c>
      <c r="L1748" t="str">
        <f>TEXT(NetflixData[[#This Row],[date]],"mmm")</f>
        <v>Jun</v>
      </c>
      <c r="M1748" t="str">
        <f>TEXT(NetflixData[[#This Row],[date]],"mmm yyyy")</f>
        <v>Jun 2023</v>
      </c>
      <c r="N1748" t="str">
        <f t="shared" si="81"/>
        <v>Non-Trading Day</v>
      </c>
      <c r="O1748" t="str">
        <f t="shared" si="82"/>
        <v>No Change</v>
      </c>
      <c r="P1748" t="str">
        <f t="shared" si="83"/>
        <v>Neutral</v>
      </c>
    </row>
    <row r="1749" spans="1:16" x14ac:dyDescent="0.3">
      <c r="A1749" s="1">
        <v>45102</v>
      </c>
      <c r="B1749">
        <v>42.4</v>
      </c>
      <c r="C1749">
        <v>0</v>
      </c>
      <c r="D1749">
        <v>0</v>
      </c>
      <c r="E1749">
        <v>40</v>
      </c>
      <c r="F1749">
        <v>2.0499999999999998</v>
      </c>
      <c r="G1749">
        <v>0.19020000000000001</v>
      </c>
      <c r="H1749">
        <v>0</v>
      </c>
      <c r="J1749">
        <v>0</v>
      </c>
      <c r="K1749">
        <f>YEAR(NetflixData[[#This Row],[date]])</f>
        <v>2023</v>
      </c>
      <c r="L1749" t="str">
        <f>TEXT(NetflixData[[#This Row],[date]],"mmm")</f>
        <v>Jun</v>
      </c>
      <c r="M1749" t="str">
        <f>TEXT(NetflixData[[#This Row],[date]],"mmm yyyy")</f>
        <v>Jun 2023</v>
      </c>
      <c r="N1749" t="str">
        <f t="shared" si="81"/>
        <v>Trading Day</v>
      </c>
      <c r="O1749" t="str">
        <f t="shared" si="82"/>
        <v>No Change</v>
      </c>
      <c r="P1749" t="str">
        <f t="shared" si="83"/>
        <v>Positive</v>
      </c>
    </row>
    <row r="1750" spans="1:16" x14ac:dyDescent="0.3">
      <c r="A1750" s="1">
        <v>45103</v>
      </c>
      <c r="B1750">
        <v>41.59</v>
      </c>
      <c r="C1750">
        <v>46400000</v>
      </c>
      <c r="D1750">
        <v>-1.5389999999999999</v>
      </c>
      <c r="E1750">
        <v>30</v>
      </c>
      <c r="F1750">
        <v>2.23</v>
      </c>
      <c r="G1750">
        <v>0.20150000000000001</v>
      </c>
      <c r="H1750">
        <v>0</v>
      </c>
      <c r="J1750">
        <v>1</v>
      </c>
      <c r="K1750">
        <f>YEAR(NetflixData[[#This Row],[date]])</f>
        <v>2023</v>
      </c>
      <c r="L1750" t="str">
        <f>TEXT(NetflixData[[#This Row],[date]],"mmm")</f>
        <v>Jun</v>
      </c>
      <c r="M1750" t="str">
        <f>TEXT(NetflixData[[#This Row],[date]],"mmm yyyy")</f>
        <v>Jun 2023</v>
      </c>
      <c r="N1750" t="str">
        <f t="shared" si="81"/>
        <v>Trading Day</v>
      </c>
      <c r="O1750" t="str">
        <f t="shared" si="82"/>
        <v>Negative</v>
      </c>
      <c r="P1750" t="str">
        <f t="shared" si="83"/>
        <v>Positive</v>
      </c>
    </row>
    <row r="1751" spans="1:16" x14ac:dyDescent="0.3">
      <c r="A1751" s="1">
        <v>45104</v>
      </c>
      <c r="B1751">
        <v>41.71</v>
      </c>
      <c r="C1751">
        <v>48181000</v>
      </c>
      <c r="D1751">
        <v>-7.3999999999999996E-2</v>
      </c>
      <c r="E1751">
        <v>32</v>
      </c>
      <c r="F1751">
        <v>2.0299999999999998</v>
      </c>
      <c r="G1751">
        <v>-4.2799999999999998E-2</v>
      </c>
      <c r="H1751">
        <v>0</v>
      </c>
      <c r="J1751">
        <v>1</v>
      </c>
      <c r="K1751">
        <f>YEAR(NetflixData[[#This Row],[date]])</f>
        <v>2023</v>
      </c>
      <c r="L1751" t="str">
        <f>TEXT(NetflixData[[#This Row],[date]],"mmm")</f>
        <v>Jun</v>
      </c>
      <c r="M1751" t="str">
        <f>TEXT(NetflixData[[#This Row],[date]],"mmm yyyy")</f>
        <v>Jun 2023</v>
      </c>
      <c r="N1751" t="str">
        <f t="shared" si="81"/>
        <v>Trading Day</v>
      </c>
      <c r="O1751" t="str">
        <f t="shared" si="82"/>
        <v>Negative</v>
      </c>
      <c r="P1751" t="str">
        <f t="shared" si="83"/>
        <v>Neutral</v>
      </c>
    </row>
    <row r="1752" spans="1:16" x14ac:dyDescent="0.3">
      <c r="A1752" s="1">
        <v>45105</v>
      </c>
      <c r="B1752">
        <v>42.98</v>
      </c>
      <c r="C1752">
        <v>88113000</v>
      </c>
      <c r="D1752">
        <v>1.593</v>
      </c>
      <c r="E1752">
        <v>38</v>
      </c>
      <c r="F1752">
        <v>2.11</v>
      </c>
      <c r="G1752">
        <v>7.3800000000000004E-2</v>
      </c>
      <c r="H1752">
        <v>0</v>
      </c>
      <c r="J1752">
        <v>1</v>
      </c>
      <c r="K1752">
        <f>YEAR(NetflixData[[#This Row],[date]])</f>
        <v>2023</v>
      </c>
      <c r="L1752" t="str">
        <f>TEXT(NetflixData[[#This Row],[date]],"mmm")</f>
        <v>Jun</v>
      </c>
      <c r="M1752" t="str">
        <f>TEXT(NetflixData[[#This Row],[date]],"mmm yyyy")</f>
        <v>Jun 2023</v>
      </c>
      <c r="N1752" t="str">
        <f t="shared" si="81"/>
        <v>Trading Day</v>
      </c>
      <c r="O1752" t="str">
        <f t="shared" si="82"/>
        <v>Positive</v>
      </c>
      <c r="P1752" t="str">
        <f t="shared" si="83"/>
        <v>Neutral</v>
      </c>
    </row>
    <row r="1753" spans="1:16" x14ac:dyDescent="0.3">
      <c r="A1753" s="1">
        <v>45106</v>
      </c>
      <c r="B1753">
        <v>42.82</v>
      </c>
      <c r="C1753">
        <v>49323000</v>
      </c>
      <c r="D1753">
        <v>-1.4019999999999999</v>
      </c>
      <c r="E1753">
        <v>35</v>
      </c>
      <c r="F1753">
        <v>1.89</v>
      </c>
      <c r="G1753">
        <v>-7.3300000000000004E-2</v>
      </c>
      <c r="H1753">
        <v>0</v>
      </c>
      <c r="J1753">
        <v>1</v>
      </c>
      <c r="K1753">
        <f>YEAR(NetflixData[[#This Row],[date]])</f>
        <v>2023</v>
      </c>
      <c r="L1753" t="str">
        <f>TEXT(NetflixData[[#This Row],[date]],"mmm")</f>
        <v>Jun</v>
      </c>
      <c r="M1753" t="str">
        <f>TEXT(NetflixData[[#This Row],[date]],"mmm yyyy")</f>
        <v>Jun 2023</v>
      </c>
      <c r="N1753" t="str">
        <f t="shared" si="81"/>
        <v>Trading Day</v>
      </c>
      <c r="O1753" t="str">
        <f t="shared" si="82"/>
        <v>Negative</v>
      </c>
      <c r="P1753" t="str">
        <f t="shared" si="83"/>
        <v>Neutral</v>
      </c>
    </row>
    <row r="1754" spans="1:16" x14ac:dyDescent="0.3">
      <c r="A1754" s="1">
        <v>45107</v>
      </c>
      <c r="B1754">
        <v>44.05</v>
      </c>
      <c r="C1754">
        <v>73464000</v>
      </c>
      <c r="D1754">
        <v>2.1779999999999999</v>
      </c>
      <c r="E1754">
        <v>31</v>
      </c>
      <c r="F1754">
        <v>2.5499999999999998</v>
      </c>
      <c r="G1754">
        <v>0.16109999999999999</v>
      </c>
      <c r="H1754">
        <v>0</v>
      </c>
      <c r="J1754">
        <v>1</v>
      </c>
      <c r="K1754">
        <f>YEAR(NetflixData[[#This Row],[date]])</f>
        <v>2023</v>
      </c>
      <c r="L1754" t="str">
        <f>TEXT(NetflixData[[#This Row],[date]],"mmm")</f>
        <v>Jun</v>
      </c>
      <c r="M1754" t="str">
        <f>TEXT(NetflixData[[#This Row],[date]],"mmm yyyy")</f>
        <v>Jun 2023</v>
      </c>
      <c r="N1754" t="str">
        <f t="shared" si="81"/>
        <v>Non-Trading Day</v>
      </c>
      <c r="O1754" t="str">
        <f t="shared" si="82"/>
        <v>Positive</v>
      </c>
      <c r="P1754" t="str">
        <f t="shared" si="83"/>
        <v>Positive</v>
      </c>
    </row>
    <row r="1755" spans="1:16" x14ac:dyDescent="0.3">
      <c r="A1755" s="1">
        <v>45108</v>
      </c>
      <c r="B1755">
        <v>44.05</v>
      </c>
      <c r="C1755">
        <v>0</v>
      </c>
      <c r="D1755">
        <v>0</v>
      </c>
      <c r="E1755">
        <v>32</v>
      </c>
      <c r="F1755">
        <v>2.2799999999999998</v>
      </c>
      <c r="G1755">
        <v>1.61E-2</v>
      </c>
      <c r="H1755">
        <v>0</v>
      </c>
      <c r="J1755">
        <v>0</v>
      </c>
      <c r="K1755">
        <f>YEAR(NetflixData[[#This Row],[date]])</f>
        <v>2023</v>
      </c>
      <c r="L1755" t="str">
        <f>TEXT(NetflixData[[#This Row],[date]],"mmm")</f>
        <v>Jul</v>
      </c>
      <c r="M1755" t="str">
        <f>TEXT(NetflixData[[#This Row],[date]],"mmm yyyy")</f>
        <v>Jul 2023</v>
      </c>
      <c r="N1755" t="str">
        <f t="shared" si="81"/>
        <v>Non-Trading Day</v>
      </c>
      <c r="O1755" t="str">
        <f t="shared" si="82"/>
        <v>No Change</v>
      </c>
      <c r="P1755" t="str">
        <f t="shared" si="83"/>
        <v>Neutral</v>
      </c>
    </row>
    <row r="1756" spans="1:16" x14ac:dyDescent="0.3">
      <c r="A1756" s="1">
        <v>45109</v>
      </c>
      <c r="B1756">
        <v>44.05</v>
      </c>
      <c r="C1756">
        <v>0</v>
      </c>
      <c r="D1756">
        <v>0</v>
      </c>
      <c r="E1756">
        <v>25</v>
      </c>
      <c r="F1756">
        <v>2.2400000000000002</v>
      </c>
      <c r="G1756">
        <v>0.12570000000000001</v>
      </c>
      <c r="H1756">
        <v>0</v>
      </c>
      <c r="J1756">
        <v>0</v>
      </c>
      <c r="K1756">
        <f>YEAR(NetflixData[[#This Row],[date]])</f>
        <v>2023</v>
      </c>
      <c r="L1756" t="str">
        <f>TEXT(NetflixData[[#This Row],[date]],"mmm")</f>
        <v>Jul</v>
      </c>
      <c r="M1756" t="str">
        <f>TEXT(NetflixData[[#This Row],[date]],"mmm yyyy")</f>
        <v>Jul 2023</v>
      </c>
      <c r="N1756" t="str">
        <f t="shared" si="81"/>
        <v>Trading Day</v>
      </c>
      <c r="O1756" t="str">
        <f t="shared" si="82"/>
        <v>No Change</v>
      </c>
      <c r="P1756" t="str">
        <f t="shared" si="83"/>
        <v>Positive</v>
      </c>
    </row>
    <row r="1757" spans="1:16" x14ac:dyDescent="0.3">
      <c r="A1757" s="1">
        <v>45110</v>
      </c>
      <c r="B1757">
        <v>44.14</v>
      </c>
      <c r="C1757">
        <v>37332000</v>
      </c>
      <c r="D1757">
        <v>0.38200000000000001</v>
      </c>
      <c r="E1757">
        <v>33</v>
      </c>
      <c r="F1757">
        <v>2.79</v>
      </c>
      <c r="G1757">
        <v>0.18609999999999999</v>
      </c>
      <c r="H1757">
        <v>0</v>
      </c>
      <c r="J1757">
        <v>1</v>
      </c>
      <c r="K1757">
        <f>YEAR(NetflixData[[#This Row],[date]])</f>
        <v>2023</v>
      </c>
      <c r="L1757" t="str">
        <f>TEXT(NetflixData[[#This Row],[date]],"mmm")</f>
        <v>Jul</v>
      </c>
      <c r="M1757" t="str">
        <f>TEXT(NetflixData[[#This Row],[date]],"mmm yyyy")</f>
        <v>Jul 2023</v>
      </c>
      <c r="N1757" t="str">
        <f t="shared" si="81"/>
        <v>Non-Trading Day</v>
      </c>
      <c r="O1757" t="str">
        <f t="shared" si="82"/>
        <v>Positive</v>
      </c>
      <c r="P1757" t="str">
        <f t="shared" si="83"/>
        <v>Positive</v>
      </c>
    </row>
    <row r="1758" spans="1:16" x14ac:dyDescent="0.3">
      <c r="A1758" s="1">
        <v>45111</v>
      </c>
      <c r="B1758">
        <v>44.14</v>
      </c>
      <c r="C1758">
        <v>0</v>
      </c>
      <c r="D1758">
        <v>0</v>
      </c>
      <c r="E1758">
        <v>35</v>
      </c>
      <c r="F1758">
        <v>2</v>
      </c>
      <c r="G1758">
        <v>0.11650000000000001</v>
      </c>
      <c r="H1758">
        <v>0</v>
      </c>
      <c r="J1758">
        <v>0</v>
      </c>
      <c r="K1758">
        <f>YEAR(NetflixData[[#This Row],[date]])</f>
        <v>2023</v>
      </c>
      <c r="L1758" t="str">
        <f>TEXT(NetflixData[[#This Row],[date]],"mmm")</f>
        <v>Jul</v>
      </c>
      <c r="M1758" t="str">
        <f>TEXT(NetflixData[[#This Row],[date]],"mmm yyyy")</f>
        <v>Jul 2023</v>
      </c>
      <c r="N1758" t="str">
        <f t="shared" si="81"/>
        <v>Trading Day</v>
      </c>
      <c r="O1758" t="str">
        <f t="shared" si="82"/>
        <v>No Change</v>
      </c>
      <c r="P1758" t="str">
        <f t="shared" si="83"/>
        <v>Positive</v>
      </c>
    </row>
    <row r="1759" spans="1:16" x14ac:dyDescent="0.3">
      <c r="A1759" s="1">
        <v>45112</v>
      </c>
      <c r="B1759">
        <v>44.59</v>
      </c>
      <c r="C1759">
        <v>68695000</v>
      </c>
      <c r="D1759">
        <v>0.223</v>
      </c>
      <c r="E1759">
        <v>37</v>
      </c>
      <c r="F1759">
        <v>2.2200000000000002</v>
      </c>
      <c r="G1759">
        <v>1.67E-2</v>
      </c>
      <c r="H1759">
        <v>0</v>
      </c>
      <c r="J1759">
        <v>1</v>
      </c>
      <c r="K1759">
        <f>YEAR(NetflixData[[#This Row],[date]])</f>
        <v>2023</v>
      </c>
      <c r="L1759" t="str">
        <f>TEXT(NetflixData[[#This Row],[date]],"mmm")</f>
        <v>Jul</v>
      </c>
      <c r="M1759" t="str">
        <f>TEXT(NetflixData[[#This Row],[date]],"mmm yyyy")</f>
        <v>Jul 2023</v>
      </c>
      <c r="N1759" t="str">
        <f t="shared" si="81"/>
        <v>Trading Day</v>
      </c>
      <c r="O1759" t="str">
        <f t="shared" si="82"/>
        <v>Positive</v>
      </c>
      <c r="P1759" t="str">
        <f t="shared" si="83"/>
        <v>Neutral</v>
      </c>
    </row>
    <row r="1760" spans="1:16" x14ac:dyDescent="0.3">
      <c r="A1760" s="1">
        <v>45113</v>
      </c>
      <c r="B1760">
        <v>43.88</v>
      </c>
      <c r="C1760">
        <v>49388000</v>
      </c>
      <c r="D1760">
        <v>-0.26400000000000001</v>
      </c>
      <c r="E1760">
        <v>28</v>
      </c>
      <c r="F1760">
        <v>2.25</v>
      </c>
      <c r="G1760">
        <v>6.9199999999999998E-2</v>
      </c>
      <c r="H1760">
        <v>0</v>
      </c>
      <c r="J1760">
        <v>1</v>
      </c>
      <c r="K1760">
        <f>YEAR(NetflixData[[#This Row],[date]])</f>
        <v>2023</v>
      </c>
      <c r="L1760" t="str">
        <f>TEXT(NetflixData[[#This Row],[date]],"mmm")</f>
        <v>Jul</v>
      </c>
      <c r="M1760" t="str">
        <f>TEXT(NetflixData[[#This Row],[date]],"mmm yyyy")</f>
        <v>Jul 2023</v>
      </c>
      <c r="N1760" t="str">
        <f t="shared" si="81"/>
        <v>Trading Day</v>
      </c>
      <c r="O1760" t="str">
        <f t="shared" si="82"/>
        <v>Negative</v>
      </c>
      <c r="P1760" t="str">
        <f t="shared" si="83"/>
        <v>Neutral</v>
      </c>
    </row>
    <row r="1761" spans="1:16" x14ac:dyDescent="0.3">
      <c r="A1761" s="1">
        <v>45114</v>
      </c>
      <c r="B1761">
        <v>43.81</v>
      </c>
      <c r="C1761">
        <v>41651000</v>
      </c>
      <c r="D1761">
        <v>-0.114</v>
      </c>
      <c r="E1761">
        <v>35</v>
      </c>
      <c r="F1761">
        <v>2.23</v>
      </c>
      <c r="G1761">
        <v>0.1492</v>
      </c>
      <c r="H1761">
        <v>0</v>
      </c>
      <c r="J1761">
        <v>1</v>
      </c>
      <c r="K1761">
        <f>YEAR(NetflixData[[#This Row],[date]])</f>
        <v>2023</v>
      </c>
      <c r="L1761" t="str">
        <f>TEXT(NetflixData[[#This Row],[date]],"mmm")</f>
        <v>Jul</v>
      </c>
      <c r="M1761" t="str">
        <f>TEXT(NetflixData[[#This Row],[date]],"mmm yyyy")</f>
        <v>Jul 2023</v>
      </c>
      <c r="N1761" t="str">
        <f t="shared" si="81"/>
        <v>Non-Trading Day</v>
      </c>
      <c r="O1761" t="str">
        <f t="shared" si="82"/>
        <v>Negative</v>
      </c>
      <c r="P1761" t="str">
        <f t="shared" si="83"/>
        <v>Positive</v>
      </c>
    </row>
    <row r="1762" spans="1:16" x14ac:dyDescent="0.3">
      <c r="A1762" s="1">
        <v>45115</v>
      </c>
      <c r="B1762">
        <v>43.81</v>
      </c>
      <c r="C1762">
        <v>0</v>
      </c>
      <c r="D1762">
        <v>0</v>
      </c>
      <c r="E1762">
        <v>27</v>
      </c>
      <c r="F1762">
        <v>1.89</v>
      </c>
      <c r="G1762">
        <v>1.67E-2</v>
      </c>
      <c r="H1762">
        <v>0</v>
      </c>
      <c r="J1762">
        <v>0</v>
      </c>
      <c r="K1762">
        <f>YEAR(NetflixData[[#This Row],[date]])</f>
        <v>2023</v>
      </c>
      <c r="L1762" t="str">
        <f>TEXT(NetflixData[[#This Row],[date]],"mmm")</f>
        <v>Jul</v>
      </c>
      <c r="M1762" t="str">
        <f>TEXT(NetflixData[[#This Row],[date]],"mmm yyyy")</f>
        <v>Jul 2023</v>
      </c>
      <c r="N1762" t="str">
        <f t="shared" si="81"/>
        <v>Non-Trading Day</v>
      </c>
      <c r="O1762" t="str">
        <f t="shared" si="82"/>
        <v>No Change</v>
      </c>
      <c r="P1762" t="str">
        <f t="shared" si="83"/>
        <v>Neutral</v>
      </c>
    </row>
    <row r="1763" spans="1:16" x14ac:dyDescent="0.3">
      <c r="A1763" s="1">
        <v>45116</v>
      </c>
      <c r="B1763">
        <v>43.81</v>
      </c>
      <c r="C1763">
        <v>0</v>
      </c>
      <c r="D1763">
        <v>0</v>
      </c>
      <c r="E1763">
        <v>33</v>
      </c>
      <c r="F1763">
        <v>2.15</v>
      </c>
      <c r="G1763">
        <v>0.2482</v>
      </c>
      <c r="H1763">
        <v>0</v>
      </c>
      <c r="J1763">
        <v>0</v>
      </c>
      <c r="K1763">
        <f>YEAR(NetflixData[[#This Row],[date]])</f>
        <v>2023</v>
      </c>
      <c r="L1763" t="str">
        <f>TEXT(NetflixData[[#This Row],[date]],"mmm")</f>
        <v>Jul</v>
      </c>
      <c r="M1763" t="str">
        <f>TEXT(NetflixData[[#This Row],[date]],"mmm yyyy")</f>
        <v>Jul 2023</v>
      </c>
      <c r="N1763" t="str">
        <f t="shared" si="81"/>
        <v>Trading Day</v>
      </c>
      <c r="O1763" t="str">
        <f t="shared" si="82"/>
        <v>No Change</v>
      </c>
      <c r="P1763" t="str">
        <f t="shared" si="83"/>
        <v>Positive</v>
      </c>
    </row>
    <row r="1764" spans="1:16" x14ac:dyDescent="0.3">
      <c r="A1764" s="1">
        <v>45117</v>
      </c>
      <c r="B1764">
        <v>44.17</v>
      </c>
      <c r="C1764">
        <v>42517000</v>
      </c>
      <c r="D1764">
        <v>0.72699999999999998</v>
      </c>
      <c r="E1764">
        <v>34</v>
      </c>
      <c r="F1764">
        <v>2.1800000000000002</v>
      </c>
      <c r="G1764">
        <v>0.10249999999999999</v>
      </c>
      <c r="H1764">
        <v>0</v>
      </c>
      <c r="J1764">
        <v>1</v>
      </c>
      <c r="K1764">
        <f>YEAR(NetflixData[[#This Row],[date]])</f>
        <v>2023</v>
      </c>
      <c r="L1764" t="str">
        <f>TEXT(NetflixData[[#This Row],[date]],"mmm")</f>
        <v>Jul</v>
      </c>
      <c r="M1764" t="str">
        <f>TEXT(NetflixData[[#This Row],[date]],"mmm yyyy")</f>
        <v>Jul 2023</v>
      </c>
      <c r="N1764" t="str">
        <f t="shared" si="81"/>
        <v>Trading Day</v>
      </c>
      <c r="O1764" t="str">
        <f t="shared" si="82"/>
        <v>Positive</v>
      </c>
      <c r="P1764" t="str">
        <f t="shared" si="83"/>
        <v>Positive</v>
      </c>
    </row>
    <row r="1765" spans="1:16" x14ac:dyDescent="0.3">
      <c r="A1765" s="1">
        <v>45118</v>
      </c>
      <c r="B1765">
        <v>44.02</v>
      </c>
      <c r="C1765">
        <v>45692000</v>
      </c>
      <c r="D1765">
        <v>0.35599999999999998</v>
      </c>
      <c r="E1765">
        <v>42</v>
      </c>
      <c r="F1765">
        <v>2.0699999999999998</v>
      </c>
      <c r="G1765">
        <v>9.5100000000000004E-2</v>
      </c>
      <c r="H1765">
        <v>0</v>
      </c>
      <c r="J1765">
        <v>1</v>
      </c>
      <c r="K1765">
        <f>YEAR(NetflixData[[#This Row],[date]])</f>
        <v>2023</v>
      </c>
      <c r="L1765" t="str">
        <f>TEXT(NetflixData[[#This Row],[date]],"mmm")</f>
        <v>Jul</v>
      </c>
      <c r="M1765" t="str">
        <f>TEXT(NetflixData[[#This Row],[date]],"mmm yyyy")</f>
        <v>Jul 2023</v>
      </c>
      <c r="N1765" t="str">
        <f t="shared" si="81"/>
        <v>Trading Day</v>
      </c>
      <c r="O1765" t="str">
        <f t="shared" si="82"/>
        <v>Positive</v>
      </c>
      <c r="P1765" t="str">
        <f t="shared" si="83"/>
        <v>Neutral</v>
      </c>
    </row>
    <row r="1766" spans="1:16" x14ac:dyDescent="0.3">
      <c r="A1766" s="1">
        <v>45119</v>
      </c>
      <c r="B1766">
        <v>44.4</v>
      </c>
      <c r="C1766">
        <v>57317000</v>
      </c>
      <c r="D1766">
        <v>-0.112</v>
      </c>
      <c r="E1766">
        <v>39</v>
      </c>
      <c r="F1766">
        <v>2.23</v>
      </c>
      <c r="G1766">
        <v>0.12659999999999999</v>
      </c>
      <c r="H1766">
        <v>0</v>
      </c>
      <c r="J1766">
        <v>1</v>
      </c>
      <c r="K1766">
        <f>YEAR(NetflixData[[#This Row],[date]])</f>
        <v>2023</v>
      </c>
      <c r="L1766" t="str">
        <f>TEXT(NetflixData[[#This Row],[date]],"mmm")</f>
        <v>Jul</v>
      </c>
      <c r="M1766" t="str">
        <f>TEXT(NetflixData[[#This Row],[date]],"mmm yyyy")</f>
        <v>Jul 2023</v>
      </c>
      <c r="N1766" t="str">
        <f t="shared" si="81"/>
        <v>Trading Day</v>
      </c>
      <c r="O1766" t="str">
        <f t="shared" si="82"/>
        <v>Negative</v>
      </c>
      <c r="P1766" t="str">
        <f t="shared" si="83"/>
        <v>Positive</v>
      </c>
    </row>
    <row r="1767" spans="1:16" x14ac:dyDescent="0.3">
      <c r="A1767" s="1">
        <v>45120</v>
      </c>
      <c r="B1767">
        <v>45.04</v>
      </c>
      <c r="C1767">
        <v>61575000</v>
      </c>
      <c r="D1767">
        <v>0.75600000000000001</v>
      </c>
      <c r="E1767">
        <v>48</v>
      </c>
      <c r="F1767">
        <v>2.12</v>
      </c>
      <c r="G1767">
        <v>4.3200000000000002E-2</v>
      </c>
      <c r="H1767">
        <v>0</v>
      </c>
      <c r="J1767">
        <v>1</v>
      </c>
      <c r="K1767">
        <f>YEAR(NetflixData[[#This Row],[date]])</f>
        <v>2023</v>
      </c>
      <c r="L1767" t="str">
        <f>TEXT(NetflixData[[#This Row],[date]],"mmm")</f>
        <v>Jul</v>
      </c>
      <c r="M1767" t="str">
        <f>TEXT(NetflixData[[#This Row],[date]],"mmm yyyy")</f>
        <v>Jul 2023</v>
      </c>
      <c r="N1767" t="str">
        <f t="shared" si="81"/>
        <v>Trading Day</v>
      </c>
      <c r="O1767" t="str">
        <f t="shared" si="82"/>
        <v>Positive</v>
      </c>
      <c r="P1767" t="str">
        <f t="shared" si="83"/>
        <v>Neutral</v>
      </c>
    </row>
    <row r="1768" spans="1:16" x14ac:dyDescent="0.3">
      <c r="A1768" s="1">
        <v>45121</v>
      </c>
      <c r="B1768">
        <v>44.19</v>
      </c>
      <c r="C1768">
        <v>71959000</v>
      </c>
      <c r="D1768">
        <v>-2.403</v>
      </c>
      <c r="E1768">
        <v>28</v>
      </c>
      <c r="F1768">
        <v>2.36</v>
      </c>
      <c r="G1768">
        <v>7.9200000000000007E-2</v>
      </c>
      <c r="H1768">
        <v>0</v>
      </c>
      <c r="J1768">
        <v>1</v>
      </c>
      <c r="K1768">
        <f>YEAR(NetflixData[[#This Row],[date]])</f>
        <v>2023</v>
      </c>
      <c r="L1768" t="str">
        <f>TEXT(NetflixData[[#This Row],[date]],"mmm")</f>
        <v>Jul</v>
      </c>
      <c r="M1768" t="str">
        <f>TEXT(NetflixData[[#This Row],[date]],"mmm yyyy")</f>
        <v>Jul 2023</v>
      </c>
      <c r="N1768" t="str">
        <f t="shared" si="81"/>
        <v>Non-Trading Day</v>
      </c>
      <c r="O1768" t="str">
        <f t="shared" si="82"/>
        <v>Negative</v>
      </c>
      <c r="P1768" t="str">
        <f t="shared" si="83"/>
        <v>Neutral</v>
      </c>
    </row>
    <row r="1769" spans="1:16" x14ac:dyDescent="0.3">
      <c r="A1769" s="1">
        <v>45122</v>
      </c>
      <c r="B1769">
        <v>44.19</v>
      </c>
      <c r="C1769">
        <v>0</v>
      </c>
      <c r="D1769">
        <v>0</v>
      </c>
      <c r="E1769">
        <v>44</v>
      </c>
      <c r="F1769">
        <v>2.23</v>
      </c>
      <c r="G1769">
        <v>0.15670000000000001</v>
      </c>
      <c r="H1769">
        <v>0</v>
      </c>
      <c r="J1769">
        <v>0</v>
      </c>
      <c r="K1769">
        <f>YEAR(NetflixData[[#This Row],[date]])</f>
        <v>2023</v>
      </c>
      <c r="L1769" t="str">
        <f>TEXT(NetflixData[[#This Row],[date]],"mmm")</f>
        <v>Jul</v>
      </c>
      <c r="M1769" t="str">
        <f>TEXT(NetflixData[[#This Row],[date]],"mmm yyyy")</f>
        <v>Jul 2023</v>
      </c>
      <c r="N1769" t="str">
        <f t="shared" si="81"/>
        <v>Non-Trading Day</v>
      </c>
      <c r="O1769" t="str">
        <f t="shared" si="82"/>
        <v>No Change</v>
      </c>
      <c r="P1769" t="str">
        <f t="shared" si="83"/>
        <v>Positive</v>
      </c>
    </row>
    <row r="1770" spans="1:16" x14ac:dyDescent="0.3">
      <c r="A1770" s="1">
        <v>45123</v>
      </c>
      <c r="B1770">
        <v>44.19</v>
      </c>
      <c r="C1770">
        <v>0</v>
      </c>
      <c r="D1770">
        <v>0</v>
      </c>
      <c r="E1770">
        <v>40</v>
      </c>
      <c r="F1770">
        <v>2.17</v>
      </c>
      <c r="G1770">
        <v>4.3799999999999999E-2</v>
      </c>
      <c r="H1770">
        <v>0</v>
      </c>
      <c r="J1770">
        <v>0</v>
      </c>
      <c r="K1770">
        <f>YEAR(NetflixData[[#This Row],[date]])</f>
        <v>2023</v>
      </c>
      <c r="L1770" t="str">
        <f>TEXT(NetflixData[[#This Row],[date]],"mmm")</f>
        <v>Jul</v>
      </c>
      <c r="M1770" t="str">
        <f>TEXT(NetflixData[[#This Row],[date]],"mmm yyyy")</f>
        <v>Jul 2023</v>
      </c>
      <c r="N1770" t="str">
        <f t="shared" si="81"/>
        <v>Trading Day</v>
      </c>
      <c r="O1770" t="str">
        <f t="shared" si="82"/>
        <v>No Change</v>
      </c>
      <c r="P1770" t="str">
        <f t="shared" si="83"/>
        <v>Neutral</v>
      </c>
    </row>
    <row r="1771" spans="1:16" x14ac:dyDescent="0.3">
      <c r="A1771" s="1">
        <v>45124</v>
      </c>
      <c r="B1771">
        <v>45.01</v>
      </c>
      <c r="C1771">
        <v>68917000</v>
      </c>
      <c r="D1771">
        <v>1.0049999999999999</v>
      </c>
      <c r="E1771">
        <v>33</v>
      </c>
      <c r="F1771">
        <v>2.0299999999999998</v>
      </c>
      <c r="G1771">
        <v>-1.55E-2</v>
      </c>
      <c r="H1771">
        <v>0</v>
      </c>
      <c r="J1771">
        <v>1</v>
      </c>
      <c r="K1771">
        <f>YEAR(NetflixData[[#This Row],[date]])</f>
        <v>2023</v>
      </c>
      <c r="L1771" t="str">
        <f>TEXT(NetflixData[[#This Row],[date]],"mmm")</f>
        <v>Jul</v>
      </c>
      <c r="M1771" t="str">
        <f>TEXT(NetflixData[[#This Row],[date]],"mmm yyyy")</f>
        <v>Jul 2023</v>
      </c>
      <c r="N1771" t="str">
        <f t="shared" si="81"/>
        <v>Trading Day</v>
      </c>
      <c r="O1771" t="str">
        <f t="shared" si="82"/>
        <v>Positive</v>
      </c>
      <c r="P1771" t="str">
        <f t="shared" si="83"/>
        <v>Neutral</v>
      </c>
    </row>
    <row r="1772" spans="1:16" x14ac:dyDescent="0.3">
      <c r="A1772" s="1">
        <v>45125</v>
      </c>
      <c r="B1772">
        <v>47.48</v>
      </c>
      <c r="C1772">
        <v>130418000</v>
      </c>
      <c r="D1772">
        <v>5.2770000000000001</v>
      </c>
      <c r="E1772">
        <v>36</v>
      </c>
      <c r="F1772">
        <v>2.67</v>
      </c>
      <c r="G1772">
        <v>3.8699999999999998E-2</v>
      </c>
      <c r="H1772">
        <v>0</v>
      </c>
      <c r="J1772">
        <v>1</v>
      </c>
      <c r="K1772">
        <f>YEAR(NetflixData[[#This Row],[date]])</f>
        <v>2023</v>
      </c>
      <c r="L1772" t="str">
        <f>TEXT(NetflixData[[#This Row],[date]],"mmm")</f>
        <v>Jul</v>
      </c>
      <c r="M1772" t="str">
        <f>TEXT(NetflixData[[#This Row],[date]],"mmm yyyy")</f>
        <v>Jul 2023</v>
      </c>
      <c r="N1772" t="str">
        <f t="shared" si="81"/>
        <v>Trading Day</v>
      </c>
      <c r="O1772" t="str">
        <f t="shared" si="82"/>
        <v>Positive</v>
      </c>
      <c r="P1772" t="str">
        <f t="shared" si="83"/>
        <v>Neutral</v>
      </c>
    </row>
    <row r="1773" spans="1:16" x14ac:dyDescent="0.3">
      <c r="A1773" s="1">
        <v>45126</v>
      </c>
      <c r="B1773">
        <v>47.76</v>
      </c>
      <c r="C1773">
        <v>209965000</v>
      </c>
      <c r="D1773">
        <v>0.153</v>
      </c>
      <c r="E1773">
        <v>31</v>
      </c>
      <c r="F1773">
        <v>2.58</v>
      </c>
      <c r="G1773">
        <v>0.22009999999999999</v>
      </c>
      <c r="H1773">
        <v>0</v>
      </c>
      <c r="J1773">
        <v>1</v>
      </c>
      <c r="K1773">
        <f>YEAR(NetflixData[[#This Row],[date]])</f>
        <v>2023</v>
      </c>
      <c r="L1773" t="str">
        <f>TEXT(NetflixData[[#This Row],[date]],"mmm")</f>
        <v>Jul</v>
      </c>
      <c r="M1773" t="str">
        <f>TEXT(NetflixData[[#This Row],[date]],"mmm yyyy")</f>
        <v>Jul 2023</v>
      </c>
      <c r="N1773" t="str">
        <f t="shared" si="81"/>
        <v>Trading Day</v>
      </c>
      <c r="O1773" t="str">
        <f t="shared" si="82"/>
        <v>Positive</v>
      </c>
      <c r="P1773" t="str">
        <f t="shared" si="83"/>
        <v>Positive</v>
      </c>
    </row>
    <row r="1774" spans="1:16" x14ac:dyDescent="0.3">
      <c r="A1774" s="1">
        <v>45127</v>
      </c>
      <c r="B1774">
        <v>43.74</v>
      </c>
      <c r="C1774">
        <v>239897000</v>
      </c>
      <c r="D1774">
        <v>-2.1429999999999998</v>
      </c>
      <c r="E1774">
        <v>42</v>
      </c>
      <c r="F1774">
        <v>2.17</v>
      </c>
      <c r="G1774">
        <v>0.14180000000000001</v>
      </c>
      <c r="H1774">
        <v>0</v>
      </c>
      <c r="J1774">
        <v>1</v>
      </c>
      <c r="K1774">
        <f>YEAR(NetflixData[[#This Row],[date]])</f>
        <v>2023</v>
      </c>
      <c r="L1774" t="str">
        <f>TEXT(NetflixData[[#This Row],[date]],"mmm")</f>
        <v>Jul</v>
      </c>
      <c r="M1774" t="str">
        <f>TEXT(NetflixData[[#This Row],[date]],"mmm yyyy")</f>
        <v>Jul 2023</v>
      </c>
      <c r="N1774" t="str">
        <f t="shared" si="81"/>
        <v>Trading Day</v>
      </c>
      <c r="O1774" t="str">
        <f t="shared" si="82"/>
        <v>Negative</v>
      </c>
      <c r="P1774" t="str">
        <f t="shared" si="83"/>
        <v>Positive</v>
      </c>
    </row>
    <row r="1775" spans="1:16" x14ac:dyDescent="0.3">
      <c r="A1775" s="1">
        <v>45128</v>
      </c>
      <c r="B1775">
        <v>42.75</v>
      </c>
      <c r="C1775">
        <v>173400000</v>
      </c>
      <c r="D1775">
        <v>-2.2570000000000001</v>
      </c>
      <c r="E1775">
        <v>30</v>
      </c>
      <c r="F1775">
        <v>2.4700000000000002</v>
      </c>
      <c r="G1775">
        <v>0.1169</v>
      </c>
      <c r="H1775">
        <v>0</v>
      </c>
      <c r="J1775">
        <v>1</v>
      </c>
      <c r="K1775">
        <f>YEAR(NetflixData[[#This Row],[date]])</f>
        <v>2023</v>
      </c>
      <c r="L1775" t="str">
        <f>TEXT(NetflixData[[#This Row],[date]],"mmm")</f>
        <v>Jul</v>
      </c>
      <c r="M1775" t="str">
        <f>TEXT(NetflixData[[#This Row],[date]],"mmm yyyy")</f>
        <v>Jul 2023</v>
      </c>
      <c r="N1775" t="str">
        <f t="shared" si="81"/>
        <v>Non-Trading Day</v>
      </c>
      <c r="O1775" t="str">
        <f t="shared" si="82"/>
        <v>Negative</v>
      </c>
      <c r="P1775" t="str">
        <f t="shared" si="83"/>
        <v>Positive</v>
      </c>
    </row>
    <row r="1776" spans="1:16" x14ac:dyDescent="0.3">
      <c r="A1776" s="1">
        <v>45129</v>
      </c>
      <c r="B1776">
        <v>42.75</v>
      </c>
      <c r="C1776">
        <v>0</v>
      </c>
      <c r="D1776">
        <v>0</v>
      </c>
      <c r="E1776">
        <v>33</v>
      </c>
      <c r="F1776">
        <v>2.42</v>
      </c>
      <c r="G1776">
        <v>0.21179999999999999</v>
      </c>
      <c r="H1776">
        <v>0</v>
      </c>
      <c r="J1776">
        <v>0</v>
      </c>
      <c r="K1776">
        <f>YEAR(NetflixData[[#This Row],[date]])</f>
        <v>2023</v>
      </c>
      <c r="L1776" t="str">
        <f>TEXT(NetflixData[[#This Row],[date]],"mmm")</f>
        <v>Jul</v>
      </c>
      <c r="M1776" t="str">
        <f>TEXT(NetflixData[[#This Row],[date]],"mmm yyyy")</f>
        <v>Jul 2023</v>
      </c>
      <c r="N1776" t="str">
        <f t="shared" si="81"/>
        <v>Non-Trading Day</v>
      </c>
      <c r="O1776" t="str">
        <f t="shared" si="82"/>
        <v>No Change</v>
      </c>
      <c r="P1776" t="str">
        <f t="shared" si="83"/>
        <v>Positive</v>
      </c>
    </row>
    <row r="1777" spans="1:16" x14ac:dyDescent="0.3">
      <c r="A1777" s="1">
        <v>45130</v>
      </c>
      <c r="B1777">
        <v>42.75</v>
      </c>
      <c r="C1777">
        <v>0</v>
      </c>
      <c r="D1777">
        <v>0</v>
      </c>
      <c r="E1777">
        <v>29</v>
      </c>
      <c r="F1777">
        <v>2.17</v>
      </c>
      <c r="G1777">
        <v>0.2361</v>
      </c>
      <c r="H1777">
        <v>0</v>
      </c>
      <c r="J1777">
        <v>0</v>
      </c>
      <c r="K1777">
        <f>YEAR(NetflixData[[#This Row],[date]])</f>
        <v>2023</v>
      </c>
      <c r="L1777" t="str">
        <f>TEXT(NetflixData[[#This Row],[date]],"mmm")</f>
        <v>Jul</v>
      </c>
      <c r="M1777" t="str">
        <f>TEXT(NetflixData[[#This Row],[date]],"mmm yyyy")</f>
        <v>Jul 2023</v>
      </c>
      <c r="N1777" t="str">
        <f t="shared" si="81"/>
        <v>Trading Day</v>
      </c>
      <c r="O1777" t="str">
        <f t="shared" si="82"/>
        <v>No Change</v>
      </c>
      <c r="P1777" t="str">
        <f t="shared" si="83"/>
        <v>Positive</v>
      </c>
    </row>
    <row r="1778" spans="1:16" x14ac:dyDescent="0.3">
      <c r="A1778" s="1">
        <v>45131</v>
      </c>
      <c r="B1778">
        <v>42.84</v>
      </c>
      <c r="C1778">
        <v>82644000</v>
      </c>
      <c r="D1778">
        <v>0.79300000000000004</v>
      </c>
      <c r="E1778">
        <v>32</v>
      </c>
      <c r="F1778">
        <v>2.2799999999999998</v>
      </c>
      <c r="G1778">
        <v>-7.8799999999999995E-2</v>
      </c>
      <c r="H1778">
        <v>0</v>
      </c>
      <c r="J1778">
        <v>1</v>
      </c>
      <c r="K1778">
        <f>YEAR(NetflixData[[#This Row],[date]])</f>
        <v>2023</v>
      </c>
      <c r="L1778" t="str">
        <f>TEXT(NetflixData[[#This Row],[date]],"mmm")</f>
        <v>Jul</v>
      </c>
      <c r="M1778" t="str">
        <f>TEXT(NetflixData[[#This Row],[date]],"mmm yyyy")</f>
        <v>Jul 2023</v>
      </c>
      <c r="N1778" t="str">
        <f t="shared" si="81"/>
        <v>Trading Day</v>
      </c>
      <c r="O1778" t="str">
        <f t="shared" si="82"/>
        <v>Positive</v>
      </c>
      <c r="P1778" t="str">
        <f t="shared" si="83"/>
        <v>Neutral</v>
      </c>
    </row>
    <row r="1779" spans="1:16" x14ac:dyDescent="0.3">
      <c r="A1779" s="1">
        <v>45132</v>
      </c>
      <c r="B1779">
        <v>42.77</v>
      </c>
      <c r="C1779">
        <v>48598000</v>
      </c>
      <c r="D1779">
        <v>0.122</v>
      </c>
      <c r="E1779">
        <v>25</v>
      </c>
      <c r="F1779">
        <v>1.96</v>
      </c>
      <c r="G1779">
        <v>9.1999999999999998E-2</v>
      </c>
      <c r="H1779">
        <v>0</v>
      </c>
      <c r="J1779">
        <v>1</v>
      </c>
      <c r="K1779">
        <f>YEAR(NetflixData[[#This Row],[date]])</f>
        <v>2023</v>
      </c>
      <c r="L1779" t="str">
        <f>TEXT(NetflixData[[#This Row],[date]],"mmm")</f>
        <v>Jul</v>
      </c>
      <c r="M1779" t="str">
        <f>TEXT(NetflixData[[#This Row],[date]],"mmm yyyy")</f>
        <v>Jul 2023</v>
      </c>
      <c r="N1779" t="str">
        <f t="shared" si="81"/>
        <v>Trading Day</v>
      </c>
      <c r="O1779" t="str">
        <f t="shared" si="82"/>
        <v>Positive</v>
      </c>
      <c r="P1779" t="str">
        <f t="shared" si="83"/>
        <v>Neutral</v>
      </c>
    </row>
    <row r="1780" spans="1:16" x14ac:dyDescent="0.3">
      <c r="A1780" s="1">
        <v>45133</v>
      </c>
      <c r="B1780">
        <v>42.27</v>
      </c>
      <c r="C1780">
        <v>60092000</v>
      </c>
      <c r="D1780">
        <v>-0.36099999999999999</v>
      </c>
      <c r="E1780">
        <v>28</v>
      </c>
      <c r="F1780">
        <v>2.04</v>
      </c>
      <c r="G1780">
        <v>0.1186</v>
      </c>
      <c r="H1780">
        <v>0</v>
      </c>
      <c r="J1780">
        <v>1</v>
      </c>
      <c r="K1780">
        <f>YEAR(NetflixData[[#This Row],[date]])</f>
        <v>2023</v>
      </c>
      <c r="L1780" t="str">
        <f>TEXT(NetflixData[[#This Row],[date]],"mmm")</f>
        <v>Jul</v>
      </c>
      <c r="M1780" t="str">
        <f>TEXT(NetflixData[[#This Row],[date]],"mmm yyyy")</f>
        <v>Jul 2023</v>
      </c>
      <c r="N1780" t="str">
        <f t="shared" si="81"/>
        <v>Trading Day</v>
      </c>
      <c r="O1780" t="str">
        <f t="shared" si="82"/>
        <v>Negative</v>
      </c>
      <c r="P1780" t="str">
        <f t="shared" si="83"/>
        <v>Positive</v>
      </c>
    </row>
    <row r="1781" spans="1:16" x14ac:dyDescent="0.3">
      <c r="A1781" s="1">
        <v>45134</v>
      </c>
      <c r="B1781">
        <v>41.32</v>
      </c>
      <c r="C1781">
        <v>65945000</v>
      </c>
      <c r="D1781">
        <v>-3.2160000000000002</v>
      </c>
      <c r="E1781">
        <v>21</v>
      </c>
      <c r="F1781">
        <v>2.1</v>
      </c>
      <c r="G1781">
        <v>-3.85E-2</v>
      </c>
      <c r="H1781">
        <v>0</v>
      </c>
      <c r="J1781">
        <v>1</v>
      </c>
      <c r="K1781">
        <f>YEAR(NetflixData[[#This Row],[date]])</f>
        <v>2023</v>
      </c>
      <c r="L1781" t="str">
        <f>TEXT(NetflixData[[#This Row],[date]],"mmm")</f>
        <v>Jul</v>
      </c>
      <c r="M1781" t="str">
        <f>TEXT(NetflixData[[#This Row],[date]],"mmm yyyy")</f>
        <v>Jul 2023</v>
      </c>
      <c r="N1781" t="str">
        <f t="shared" si="81"/>
        <v>Trading Day</v>
      </c>
      <c r="O1781" t="str">
        <f t="shared" si="82"/>
        <v>Negative</v>
      </c>
      <c r="P1781" t="str">
        <f t="shared" si="83"/>
        <v>Neutral</v>
      </c>
    </row>
    <row r="1782" spans="1:16" x14ac:dyDescent="0.3">
      <c r="A1782" s="1">
        <v>45135</v>
      </c>
      <c r="B1782">
        <v>42.58</v>
      </c>
      <c r="C1782">
        <v>64242000</v>
      </c>
      <c r="D1782">
        <v>2.4590000000000001</v>
      </c>
      <c r="E1782">
        <v>40</v>
      </c>
      <c r="F1782">
        <v>2.17</v>
      </c>
      <c r="G1782">
        <v>-3.0999999999999999E-3</v>
      </c>
      <c r="H1782">
        <v>0</v>
      </c>
      <c r="J1782">
        <v>1</v>
      </c>
      <c r="K1782">
        <f>YEAR(NetflixData[[#This Row],[date]])</f>
        <v>2023</v>
      </c>
      <c r="L1782" t="str">
        <f>TEXT(NetflixData[[#This Row],[date]],"mmm")</f>
        <v>Jul</v>
      </c>
      <c r="M1782" t="str">
        <f>TEXT(NetflixData[[#This Row],[date]],"mmm yyyy")</f>
        <v>Jul 2023</v>
      </c>
      <c r="N1782" t="str">
        <f t="shared" si="81"/>
        <v>Non-Trading Day</v>
      </c>
      <c r="O1782" t="str">
        <f t="shared" si="82"/>
        <v>Positive</v>
      </c>
      <c r="P1782" t="str">
        <f t="shared" si="83"/>
        <v>Neutral</v>
      </c>
    </row>
    <row r="1783" spans="1:16" x14ac:dyDescent="0.3">
      <c r="A1783" s="1">
        <v>45136</v>
      </c>
      <c r="B1783">
        <v>42.58</v>
      </c>
      <c r="C1783">
        <v>0</v>
      </c>
      <c r="D1783">
        <v>0</v>
      </c>
      <c r="E1783">
        <v>41</v>
      </c>
      <c r="F1783">
        <v>2.02</v>
      </c>
      <c r="G1783">
        <v>0.1229</v>
      </c>
      <c r="H1783">
        <v>0</v>
      </c>
      <c r="J1783">
        <v>0</v>
      </c>
      <c r="K1783">
        <f>YEAR(NetflixData[[#This Row],[date]])</f>
        <v>2023</v>
      </c>
      <c r="L1783" t="str">
        <f>TEXT(NetflixData[[#This Row],[date]],"mmm")</f>
        <v>Jul</v>
      </c>
      <c r="M1783" t="str">
        <f>TEXT(NetflixData[[#This Row],[date]],"mmm yyyy")</f>
        <v>Jul 2023</v>
      </c>
      <c r="N1783" t="str">
        <f t="shared" si="81"/>
        <v>Non-Trading Day</v>
      </c>
      <c r="O1783" t="str">
        <f t="shared" si="82"/>
        <v>No Change</v>
      </c>
      <c r="P1783" t="str">
        <f t="shared" si="83"/>
        <v>Positive</v>
      </c>
    </row>
    <row r="1784" spans="1:16" x14ac:dyDescent="0.3">
      <c r="A1784" s="1">
        <v>45137</v>
      </c>
      <c r="B1784">
        <v>42.58</v>
      </c>
      <c r="C1784">
        <v>0</v>
      </c>
      <c r="D1784">
        <v>0</v>
      </c>
      <c r="E1784">
        <v>53</v>
      </c>
      <c r="F1784">
        <v>2.64</v>
      </c>
      <c r="G1784">
        <v>0.16439999999999999</v>
      </c>
      <c r="H1784">
        <v>0</v>
      </c>
      <c r="J1784">
        <v>0</v>
      </c>
      <c r="K1784">
        <f>YEAR(NetflixData[[#This Row],[date]])</f>
        <v>2023</v>
      </c>
      <c r="L1784" t="str">
        <f>TEXT(NetflixData[[#This Row],[date]],"mmm")</f>
        <v>Jul</v>
      </c>
      <c r="M1784" t="str">
        <f>TEXT(NetflixData[[#This Row],[date]],"mmm yyyy")</f>
        <v>Jul 2023</v>
      </c>
      <c r="N1784" t="str">
        <f t="shared" si="81"/>
        <v>Trading Day</v>
      </c>
      <c r="O1784" t="str">
        <f t="shared" si="82"/>
        <v>No Change</v>
      </c>
      <c r="P1784" t="str">
        <f t="shared" si="83"/>
        <v>Positive</v>
      </c>
    </row>
    <row r="1785" spans="1:16" x14ac:dyDescent="0.3">
      <c r="A1785" s="1">
        <v>45138</v>
      </c>
      <c r="B1785">
        <v>43.9</v>
      </c>
      <c r="C1785">
        <v>65876000</v>
      </c>
      <c r="D1785">
        <v>2.9209999999999998</v>
      </c>
      <c r="E1785">
        <v>28</v>
      </c>
      <c r="F1785">
        <v>2.14</v>
      </c>
      <c r="G1785">
        <v>7.7899999999999997E-2</v>
      </c>
      <c r="H1785">
        <v>0</v>
      </c>
      <c r="J1785">
        <v>1</v>
      </c>
      <c r="K1785">
        <f>YEAR(NetflixData[[#This Row],[date]])</f>
        <v>2023</v>
      </c>
      <c r="L1785" t="str">
        <f>TEXT(NetflixData[[#This Row],[date]],"mmm")</f>
        <v>Jul</v>
      </c>
      <c r="M1785" t="str">
        <f>TEXT(NetflixData[[#This Row],[date]],"mmm yyyy")</f>
        <v>Jul 2023</v>
      </c>
      <c r="N1785" t="str">
        <f t="shared" si="81"/>
        <v>Trading Day</v>
      </c>
      <c r="O1785" t="str">
        <f t="shared" si="82"/>
        <v>Positive</v>
      </c>
      <c r="P1785" t="str">
        <f t="shared" si="83"/>
        <v>Neutral</v>
      </c>
    </row>
    <row r="1786" spans="1:16" x14ac:dyDescent="0.3">
      <c r="A1786" s="1">
        <v>45139</v>
      </c>
      <c r="B1786">
        <v>43.86</v>
      </c>
      <c r="C1786">
        <v>57115000</v>
      </c>
      <c r="D1786">
        <v>0.28599999999999998</v>
      </c>
      <c r="E1786">
        <v>43</v>
      </c>
      <c r="F1786">
        <v>2.4900000000000002</v>
      </c>
      <c r="G1786">
        <v>5.4399999999999997E-2</v>
      </c>
      <c r="H1786">
        <v>0</v>
      </c>
      <c r="J1786">
        <v>1</v>
      </c>
      <c r="K1786">
        <f>YEAR(NetflixData[[#This Row],[date]])</f>
        <v>2023</v>
      </c>
      <c r="L1786" t="str">
        <f>TEXT(NetflixData[[#This Row],[date]],"mmm")</f>
        <v>Aug</v>
      </c>
      <c r="M1786" t="str">
        <f>TEXT(NetflixData[[#This Row],[date]],"mmm yyyy")</f>
        <v>Aug 2023</v>
      </c>
      <c r="N1786" t="str">
        <f t="shared" si="81"/>
        <v>Trading Day</v>
      </c>
      <c r="O1786" t="str">
        <f t="shared" si="82"/>
        <v>Positive</v>
      </c>
      <c r="P1786" t="str">
        <f t="shared" si="83"/>
        <v>Neutral</v>
      </c>
    </row>
    <row r="1787" spans="1:16" x14ac:dyDescent="0.3">
      <c r="A1787" s="1">
        <v>45140</v>
      </c>
      <c r="B1787">
        <v>42.97</v>
      </c>
      <c r="C1787">
        <v>49122000</v>
      </c>
      <c r="D1787">
        <v>-1.2709999999999999</v>
      </c>
      <c r="E1787">
        <v>34</v>
      </c>
      <c r="F1787">
        <v>2.74</v>
      </c>
      <c r="G1787">
        <v>0.3579</v>
      </c>
      <c r="H1787">
        <v>0</v>
      </c>
      <c r="J1787">
        <v>1</v>
      </c>
      <c r="K1787">
        <f>YEAR(NetflixData[[#This Row],[date]])</f>
        <v>2023</v>
      </c>
      <c r="L1787" t="str">
        <f>TEXT(NetflixData[[#This Row],[date]],"mmm")</f>
        <v>Aug</v>
      </c>
      <c r="M1787" t="str">
        <f>TEXT(NetflixData[[#This Row],[date]],"mmm yyyy")</f>
        <v>Aug 2023</v>
      </c>
      <c r="N1787" t="str">
        <f t="shared" si="81"/>
        <v>Trading Day</v>
      </c>
      <c r="O1787" t="str">
        <f t="shared" si="82"/>
        <v>Negative</v>
      </c>
      <c r="P1787" t="str">
        <f t="shared" si="83"/>
        <v>Positive</v>
      </c>
    </row>
    <row r="1788" spans="1:16" x14ac:dyDescent="0.3">
      <c r="A1788" s="1">
        <v>45141</v>
      </c>
      <c r="B1788">
        <v>43.1</v>
      </c>
      <c r="C1788">
        <v>62439000</v>
      </c>
      <c r="D1788">
        <v>0.748</v>
      </c>
      <c r="E1788">
        <v>19</v>
      </c>
      <c r="F1788">
        <v>2</v>
      </c>
      <c r="G1788">
        <v>1.8800000000000001E-2</v>
      </c>
      <c r="H1788">
        <v>0</v>
      </c>
      <c r="J1788">
        <v>1</v>
      </c>
      <c r="K1788">
        <f>YEAR(NetflixData[[#This Row],[date]])</f>
        <v>2023</v>
      </c>
      <c r="L1788" t="str">
        <f>TEXT(NetflixData[[#This Row],[date]],"mmm")</f>
        <v>Aug</v>
      </c>
      <c r="M1788" t="str">
        <f>TEXT(NetflixData[[#This Row],[date]],"mmm yyyy")</f>
        <v>Aug 2023</v>
      </c>
      <c r="N1788" t="str">
        <f t="shared" si="81"/>
        <v>Trading Day</v>
      </c>
      <c r="O1788" t="str">
        <f t="shared" si="82"/>
        <v>Positive</v>
      </c>
      <c r="P1788" t="str">
        <f t="shared" si="83"/>
        <v>Neutral</v>
      </c>
    </row>
    <row r="1789" spans="1:16" x14ac:dyDescent="0.3">
      <c r="A1789" s="1">
        <v>45142</v>
      </c>
      <c r="B1789">
        <v>43.16</v>
      </c>
      <c r="C1789">
        <v>54418000</v>
      </c>
      <c r="D1789">
        <v>-0.33700000000000002</v>
      </c>
      <c r="E1789">
        <v>31</v>
      </c>
      <c r="F1789">
        <v>2.42</v>
      </c>
      <c r="G1789">
        <v>8.5900000000000004E-2</v>
      </c>
      <c r="H1789">
        <v>0</v>
      </c>
      <c r="J1789">
        <v>1</v>
      </c>
      <c r="K1789">
        <f>YEAR(NetflixData[[#This Row],[date]])</f>
        <v>2023</v>
      </c>
      <c r="L1789" t="str">
        <f>TEXT(NetflixData[[#This Row],[date]],"mmm")</f>
        <v>Aug</v>
      </c>
      <c r="M1789" t="str">
        <f>TEXT(NetflixData[[#This Row],[date]],"mmm yyyy")</f>
        <v>Aug 2023</v>
      </c>
      <c r="N1789" t="str">
        <f t="shared" si="81"/>
        <v>Non-Trading Day</v>
      </c>
      <c r="O1789" t="str">
        <f t="shared" si="82"/>
        <v>Negative</v>
      </c>
      <c r="P1789" t="str">
        <f t="shared" si="83"/>
        <v>Neutral</v>
      </c>
    </row>
    <row r="1790" spans="1:16" x14ac:dyDescent="0.3">
      <c r="A1790" s="1">
        <v>45143</v>
      </c>
      <c r="B1790">
        <v>43.16</v>
      </c>
      <c r="C1790">
        <v>0</v>
      </c>
      <c r="D1790">
        <v>0</v>
      </c>
      <c r="E1790">
        <v>34</v>
      </c>
      <c r="F1790">
        <v>2.56</v>
      </c>
      <c r="G1790">
        <v>0.2394</v>
      </c>
      <c r="H1790">
        <v>0</v>
      </c>
      <c r="J1790">
        <v>0</v>
      </c>
      <c r="K1790">
        <f>YEAR(NetflixData[[#This Row],[date]])</f>
        <v>2023</v>
      </c>
      <c r="L1790" t="str">
        <f>TEXT(NetflixData[[#This Row],[date]],"mmm")</f>
        <v>Aug</v>
      </c>
      <c r="M1790" t="str">
        <f>TEXT(NetflixData[[#This Row],[date]],"mmm yyyy")</f>
        <v>Aug 2023</v>
      </c>
      <c r="N1790" t="str">
        <f t="shared" si="81"/>
        <v>Non-Trading Day</v>
      </c>
      <c r="O1790" t="str">
        <f t="shared" si="82"/>
        <v>No Change</v>
      </c>
      <c r="P1790" t="str">
        <f t="shared" si="83"/>
        <v>Positive</v>
      </c>
    </row>
    <row r="1791" spans="1:16" x14ac:dyDescent="0.3">
      <c r="A1791" s="1">
        <v>45144</v>
      </c>
      <c r="B1791">
        <v>43.16</v>
      </c>
      <c r="C1791">
        <v>0</v>
      </c>
      <c r="D1791">
        <v>0</v>
      </c>
      <c r="E1791">
        <v>34</v>
      </c>
      <c r="F1791">
        <v>2.15</v>
      </c>
      <c r="G1791">
        <v>5.1499999999999997E-2</v>
      </c>
      <c r="H1791">
        <v>0</v>
      </c>
      <c r="J1791">
        <v>0</v>
      </c>
      <c r="K1791">
        <f>YEAR(NetflixData[[#This Row],[date]])</f>
        <v>2023</v>
      </c>
      <c r="L1791" t="str">
        <f>TEXT(NetflixData[[#This Row],[date]],"mmm")</f>
        <v>Aug</v>
      </c>
      <c r="M1791" t="str">
        <f>TEXT(NetflixData[[#This Row],[date]],"mmm yyyy")</f>
        <v>Aug 2023</v>
      </c>
      <c r="N1791" t="str">
        <f t="shared" si="81"/>
        <v>Trading Day</v>
      </c>
      <c r="O1791" t="str">
        <f t="shared" si="82"/>
        <v>No Change</v>
      </c>
      <c r="P1791" t="str">
        <f t="shared" si="83"/>
        <v>Neutral</v>
      </c>
    </row>
    <row r="1792" spans="1:16" x14ac:dyDescent="0.3">
      <c r="A1792" s="1">
        <v>45145</v>
      </c>
      <c r="B1792">
        <v>44.08</v>
      </c>
      <c r="C1792">
        <v>47813000</v>
      </c>
      <c r="D1792">
        <v>0.98499999999999999</v>
      </c>
      <c r="E1792">
        <v>29</v>
      </c>
      <c r="F1792">
        <v>2.72</v>
      </c>
      <c r="G1792">
        <v>0.22259999999999999</v>
      </c>
      <c r="H1792">
        <v>0</v>
      </c>
      <c r="J1792">
        <v>1</v>
      </c>
      <c r="K1792">
        <f>YEAR(NetflixData[[#This Row],[date]])</f>
        <v>2023</v>
      </c>
      <c r="L1792" t="str">
        <f>TEXT(NetflixData[[#This Row],[date]],"mmm")</f>
        <v>Aug</v>
      </c>
      <c r="M1792" t="str">
        <f>TEXT(NetflixData[[#This Row],[date]],"mmm yyyy")</f>
        <v>Aug 2023</v>
      </c>
      <c r="N1792" t="str">
        <f t="shared" si="81"/>
        <v>Trading Day</v>
      </c>
      <c r="O1792" t="str">
        <f t="shared" si="82"/>
        <v>Positive</v>
      </c>
      <c r="P1792" t="str">
        <f t="shared" si="83"/>
        <v>Positive</v>
      </c>
    </row>
    <row r="1793" spans="1:16" x14ac:dyDescent="0.3">
      <c r="A1793" s="1">
        <v>45146</v>
      </c>
      <c r="B1793">
        <v>43.83</v>
      </c>
      <c r="C1793">
        <v>37672000</v>
      </c>
      <c r="D1793">
        <v>-0.46800000000000003</v>
      </c>
      <c r="E1793">
        <v>25</v>
      </c>
      <c r="F1793">
        <v>2.3199999999999998</v>
      </c>
      <c r="G1793">
        <v>0.10970000000000001</v>
      </c>
      <c r="H1793">
        <v>0</v>
      </c>
      <c r="J1793">
        <v>1</v>
      </c>
      <c r="K1793">
        <f>YEAR(NetflixData[[#This Row],[date]])</f>
        <v>2023</v>
      </c>
      <c r="L1793" t="str">
        <f>TEXT(NetflixData[[#This Row],[date]],"mmm")</f>
        <v>Aug</v>
      </c>
      <c r="M1793" t="str">
        <f>TEXT(NetflixData[[#This Row],[date]],"mmm yyyy")</f>
        <v>Aug 2023</v>
      </c>
      <c r="N1793" t="str">
        <f t="shared" si="81"/>
        <v>Trading Day</v>
      </c>
      <c r="O1793" t="str">
        <f t="shared" si="82"/>
        <v>Negative</v>
      </c>
      <c r="P1793" t="str">
        <f t="shared" si="83"/>
        <v>Positive</v>
      </c>
    </row>
    <row r="1794" spans="1:16" x14ac:dyDescent="0.3">
      <c r="A1794" s="1">
        <v>45147</v>
      </c>
      <c r="B1794">
        <v>42.89</v>
      </c>
      <c r="C1794">
        <v>38466000</v>
      </c>
      <c r="D1794">
        <v>-2.4649999999999999</v>
      </c>
      <c r="E1794">
        <v>33</v>
      </c>
      <c r="F1794">
        <v>2.79</v>
      </c>
      <c r="G1794">
        <v>0.23780000000000001</v>
      </c>
      <c r="H1794">
        <v>0</v>
      </c>
      <c r="J1794">
        <v>1</v>
      </c>
      <c r="K1794">
        <f>YEAR(NetflixData[[#This Row],[date]])</f>
        <v>2023</v>
      </c>
      <c r="L1794" t="str">
        <f>TEXT(NetflixData[[#This Row],[date]],"mmm")</f>
        <v>Aug</v>
      </c>
      <c r="M1794" t="str">
        <f>TEXT(NetflixData[[#This Row],[date]],"mmm yyyy")</f>
        <v>Aug 2023</v>
      </c>
      <c r="N1794" t="str">
        <f t="shared" ref="N1794:N1857" si="84">IF(J1795=1,"Trading Day","Non-Trading Day")</f>
        <v>Trading Day</v>
      </c>
      <c r="O1794" t="str">
        <f t="shared" ref="O1794:O1857" si="85">IF(D1794&gt;0,"Positive",IF(D1794&lt;0,"Negative","No Change"))</f>
        <v>Negative</v>
      </c>
      <c r="P1794" t="str">
        <f t="shared" ref="P1794:P1857" si="86">IF(G1794&gt;0.1,"Positive",IF(G1794&lt;-0.1,"Negative","Neutral"))</f>
        <v>Positive</v>
      </c>
    </row>
    <row r="1795" spans="1:16" x14ac:dyDescent="0.3">
      <c r="A1795" s="1">
        <v>45148</v>
      </c>
      <c r="B1795">
        <v>43</v>
      </c>
      <c r="C1795">
        <v>54676000</v>
      </c>
      <c r="D1795">
        <v>-0.26400000000000001</v>
      </c>
      <c r="E1795">
        <v>19</v>
      </c>
      <c r="F1795">
        <v>2.2599999999999998</v>
      </c>
      <c r="G1795">
        <v>-2.63E-2</v>
      </c>
      <c r="H1795">
        <v>0</v>
      </c>
      <c r="J1795">
        <v>1</v>
      </c>
      <c r="K1795">
        <f>YEAR(NetflixData[[#This Row],[date]])</f>
        <v>2023</v>
      </c>
      <c r="L1795" t="str">
        <f>TEXT(NetflixData[[#This Row],[date]],"mmm")</f>
        <v>Aug</v>
      </c>
      <c r="M1795" t="str">
        <f>TEXT(NetflixData[[#This Row],[date]],"mmm yyyy")</f>
        <v>Aug 2023</v>
      </c>
      <c r="N1795" t="str">
        <f t="shared" si="84"/>
        <v>Trading Day</v>
      </c>
      <c r="O1795" t="str">
        <f t="shared" si="85"/>
        <v>Negative</v>
      </c>
      <c r="P1795" t="str">
        <f t="shared" si="86"/>
        <v>Neutral</v>
      </c>
    </row>
    <row r="1796" spans="1:16" x14ac:dyDescent="0.3">
      <c r="A1796" s="1">
        <v>45149</v>
      </c>
      <c r="B1796">
        <v>42.17</v>
      </c>
      <c r="C1796">
        <v>39279000</v>
      </c>
      <c r="D1796">
        <v>-1.706</v>
      </c>
      <c r="E1796">
        <v>28</v>
      </c>
      <c r="F1796">
        <v>2.4300000000000002</v>
      </c>
      <c r="G1796">
        <v>4.3999999999999997E-2</v>
      </c>
      <c r="H1796">
        <v>0</v>
      </c>
      <c r="J1796">
        <v>1</v>
      </c>
      <c r="K1796">
        <f>YEAR(NetflixData[[#This Row],[date]])</f>
        <v>2023</v>
      </c>
      <c r="L1796" t="str">
        <f>TEXT(NetflixData[[#This Row],[date]],"mmm")</f>
        <v>Aug</v>
      </c>
      <c r="M1796" t="str">
        <f>TEXT(NetflixData[[#This Row],[date]],"mmm yyyy")</f>
        <v>Aug 2023</v>
      </c>
      <c r="N1796" t="str">
        <f t="shared" si="84"/>
        <v>Non-Trading Day</v>
      </c>
      <c r="O1796" t="str">
        <f t="shared" si="85"/>
        <v>Negative</v>
      </c>
      <c r="P1796" t="str">
        <f t="shared" si="86"/>
        <v>Neutral</v>
      </c>
    </row>
    <row r="1797" spans="1:16" x14ac:dyDescent="0.3">
      <c r="A1797" s="1">
        <v>45150</v>
      </c>
      <c r="B1797">
        <v>42.17</v>
      </c>
      <c r="C1797">
        <v>0</v>
      </c>
      <c r="D1797">
        <v>0</v>
      </c>
      <c r="E1797">
        <v>40</v>
      </c>
      <c r="F1797">
        <v>1.9</v>
      </c>
      <c r="G1797">
        <v>-5.0900000000000001E-2</v>
      </c>
      <c r="H1797">
        <v>0</v>
      </c>
      <c r="J1797">
        <v>0</v>
      </c>
      <c r="K1797">
        <f>YEAR(NetflixData[[#This Row],[date]])</f>
        <v>2023</v>
      </c>
      <c r="L1797" t="str">
        <f>TEXT(NetflixData[[#This Row],[date]],"mmm")</f>
        <v>Aug</v>
      </c>
      <c r="M1797" t="str">
        <f>TEXT(NetflixData[[#This Row],[date]],"mmm yyyy")</f>
        <v>Aug 2023</v>
      </c>
      <c r="N1797" t="str">
        <f t="shared" si="84"/>
        <v>Non-Trading Day</v>
      </c>
      <c r="O1797" t="str">
        <f t="shared" si="85"/>
        <v>No Change</v>
      </c>
      <c r="P1797" t="str">
        <f t="shared" si="86"/>
        <v>Neutral</v>
      </c>
    </row>
    <row r="1798" spans="1:16" x14ac:dyDescent="0.3">
      <c r="A1798" s="1">
        <v>45151</v>
      </c>
      <c r="B1798">
        <v>42.17</v>
      </c>
      <c r="C1798">
        <v>0</v>
      </c>
      <c r="D1798">
        <v>0</v>
      </c>
      <c r="E1798">
        <v>30</v>
      </c>
      <c r="F1798">
        <v>2.0699999999999998</v>
      </c>
      <c r="G1798">
        <v>2.6200000000000001E-2</v>
      </c>
      <c r="H1798">
        <v>0</v>
      </c>
      <c r="J1798">
        <v>0</v>
      </c>
      <c r="K1798">
        <f>YEAR(NetflixData[[#This Row],[date]])</f>
        <v>2023</v>
      </c>
      <c r="L1798" t="str">
        <f>TEXT(NetflixData[[#This Row],[date]],"mmm")</f>
        <v>Aug</v>
      </c>
      <c r="M1798" t="str">
        <f>TEXT(NetflixData[[#This Row],[date]],"mmm yyyy")</f>
        <v>Aug 2023</v>
      </c>
      <c r="N1798" t="str">
        <f t="shared" si="84"/>
        <v>Trading Day</v>
      </c>
      <c r="O1798" t="str">
        <f t="shared" si="85"/>
        <v>No Change</v>
      </c>
      <c r="P1798" t="str">
        <f t="shared" si="86"/>
        <v>Neutral</v>
      </c>
    </row>
    <row r="1799" spans="1:16" x14ac:dyDescent="0.3">
      <c r="A1799" s="1">
        <v>45152</v>
      </c>
      <c r="B1799">
        <v>42.78</v>
      </c>
      <c r="C1799">
        <v>39660000</v>
      </c>
      <c r="D1799">
        <v>1.3720000000000001</v>
      </c>
      <c r="E1799">
        <v>31</v>
      </c>
      <c r="F1799">
        <v>2.23</v>
      </c>
      <c r="G1799">
        <v>0.1087</v>
      </c>
      <c r="H1799">
        <v>0</v>
      </c>
      <c r="J1799">
        <v>1</v>
      </c>
      <c r="K1799">
        <f>YEAR(NetflixData[[#This Row],[date]])</f>
        <v>2023</v>
      </c>
      <c r="L1799" t="str">
        <f>TEXT(NetflixData[[#This Row],[date]],"mmm")</f>
        <v>Aug</v>
      </c>
      <c r="M1799" t="str">
        <f>TEXT(NetflixData[[#This Row],[date]],"mmm yyyy")</f>
        <v>Aug 2023</v>
      </c>
      <c r="N1799" t="str">
        <f t="shared" si="84"/>
        <v>Trading Day</v>
      </c>
      <c r="O1799" t="str">
        <f t="shared" si="85"/>
        <v>Positive</v>
      </c>
      <c r="P1799" t="str">
        <f t="shared" si="86"/>
        <v>Positive</v>
      </c>
    </row>
    <row r="1800" spans="1:16" x14ac:dyDescent="0.3">
      <c r="A1800" s="1">
        <v>45153</v>
      </c>
      <c r="B1800">
        <v>42.37</v>
      </c>
      <c r="C1800">
        <v>33680000</v>
      </c>
      <c r="D1800">
        <v>-0.16700000000000001</v>
      </c>
      <c r="E1800">
        <v>27</v>
      </c>
      <c r="F1800">
        <v>2.63</v>
      </c>
      <c r="G1800">
        <v>1.01E-2</v>
      </c>
      <c r="H1800">
        <v>0</v>
      </c>
      <c r="J1800">
        <v>1</v>
      </c>
      <c r="K1800">
        <f>YEAR(NetflixData[[#This Row],[date]])</f>
        <v>2023</v>
      </c>
      <c r="L1800" t="str">
        <f>TEXT(NetflixData[[#This Row],[date]],"mmm")</f>
        <v>Aug</v>
      </c>
      <c r="M1800" t="str">
        <f>TEXT(NetflixData[[#This Row],[date]],"mmm yyyy")</f>
        <v>Aug 2023</v>
      </c>
      <c r="N1800" t="str">
        <f t="shared" si="84"/>
        <v>Trading Day</v>
      </c>
      <c r="O1800" t="str">
        <f t="shared" si="85"/>
        <v>Negative</v>
      </c>
      <c r="P1800" t="str">
        <f t="shared" si="86"/>
        <v>Neutral</v>
      </c>
    </row>
    <row r="1801" spans="1:16" x14ac:dyDescent="0.3">
      <c r="A1801" s="1">
        <v>45154</v>
      </c>
      <c r="B1801">
        <v>41.54</v>
      </c>
      <c r="C1801">
        <v>39670000</v>
      </c>
      <c r="D1801">
        <v>-1.954</v>
      </c>
      <c r="E1801">
        <v>20</v>
      </c>
      <c r="F1801">
        <v>2</v>
      </c>
      <c r="G1801">
        <v>0.1145</v>
      </c>
      <c r="H1801">
        <v>0</v>
      </c>
      <c r="J1801">
        <v>1</v>
      </c>
      <c r="K1801">
        <f>YEAR(NetflixData[[#This Row],[date]])</f>
        <v>2023</v>
      </c>
      <c r="L1801" t="str">
        <f>TEXT(NetflixData[[#This Row],[date]],"mmm")</f>
        <v>Aug</v>
      </c>
      <c r="M1801" t="str">
        <f>TEXT(NetflixData[[#This Row],[date]],"mmm yyyy")</f>
        <v>Aug 2023</v>
      </c>
      <c r="N1801" t="str">
        <f t="shared" si="84"/>
        <v>Trading Day</v>
      </c>
      <c r="O1801" t="str">
        <f t="shared" si="85"/>
        <v>Negative</v>
      </c>
      <c r="P1801" t="str">
        <f t="shared" si="86"/>
        <v>Positive</v>
      </c>
    </row>
    <row r="1802" spans="1:16" x14ac:dyDescent="0.3">
      <c r="A1802" s="1">
        <v>45155</v>
      </c>
      <c r="B1802">
        <v>40.299999999999997</v>
      </c>
      <c r="C1802">
        <v>60315000</v>
      </c>
      <c r="D1802">
        <v>-2.8919999999999999</v>
      </c>
      <c r="E1802">
        <v>31</v>
      </c>
      <c r="F1802">
        <v>2.65</v>
      </c>
      <c r="G1802">
        <v>9.1300000000000006E-2</v>
      </c>
      <c r="H1802">
        <v>0</v>
      </c>
      <c r="J1802">
        <v>1</v>
      </c>
      <c r="K1802">
        <f>YEAR(NetflixData[[#This Row],[date]])</f>
        <v>2023</v>
      </c>
      <c r="L1802" t="str">
        <f>TEXT(NetflixData[[#This Row],[date]],"mmm")</f>
        <v>Aug</v>
      </c>
      <c r="M1802" t="str">
        <f>TEXT(NetflixData[[#This Row],[date]],"mmm yyyy")</f>
        <v>Aug 2023</v>
      </c>
      <c r="N1802" t="str">
        <f t="shared" si="84"/>
        <v>Trading Day</v>
      </c>
      <c r="O1802" t="str">
        <f t="shared" si="85"/>
        <v>Negative</v>
      </c>
      <c r="P1802" t="str">
        <f t="shared" si="86"/>
        <v>Neutral</v>
      </c>
    </row>
    <row r="1803" spans="1:16" x14ac:dyDescent="0.3">
      <c r="A1803" s="1">
        <v>45156</v>
      </c>
      <c r="B1803">
        <v>40.450000000000003</v>
      </c>
      <c r="C1803">
        <v>43122000</v>
      </c>
      <c r="D1803">
        <v>1.302</v>
      </c>
      <c r="E1803">
        <v>28</v>
      </c>
      <c r="F1803">
        <v>2.1800000000000002</v>
      </c>
      <c r="G1803">
        <v>6.2199999999999998E-2</v>
      </c>
      <c r="H1803">
        <v>0</v>
      </c>
      <c r="J1803">
        <v>1</v>
      </c>
      <c r="K1803">
        <f>YEAR(NetflixData[[#This Row],[date]])</f>
        <v>2023</v>
      </c>
      <c r="L1803" t="str">
        <f>TEXT(NetflixData[[#This Row],[date]],"mmm")</f>
        <v>Aug</v>
      </c>
      <c r="M1803" t="str">
        <f>TEXT(NetflixData[[#This Row],[date]],"mmm yyyy")</f>
        <v>Aug 2023</v>
      </c>
      <c r="N1803" t="str">
        <f t="shared" si="84"/>
        <v>Non-Trading Day</v>
      </c>
      <c r="O1803" t="str">
        <f t="shared" si="85"/>
        <v>Positive</v>
      </c>
      <c r="P1803" t="str">
        <f t="shared" si="86"/>
        <v>Neutral</v>
      </c>
    </row>
    <row r="1804" spans="1:16" x14ac:dyDescent="0.3">
      <c r="A1804" s="1">
        <v>45157</v>
      </c>
      <c r="B1804">
        <v>40.450000000000003</v>
      </c>
      <c r="C1804">
        <v>0</v>
      </c>
      <c r="D1804">
        <v>0</v>
      </c>
      <c r="E1804">
        <v>32</v>
      </c>
      <c r="F1804">
        <v>2.2799999999999998</v>
      </c>
      <c r="G1804">
        <v>0.1789</v>
      </c>
      <c r="H1804">
        <v>0</v>
      </c>
      <c r="J1804">
        <v>0</v>
      </c>
      <c r="K1804">
        <f>YEAR(NetflixData[[#This Row],[date]])</f>
        <v>2023</v>
      </c>
      <c r="L1804" t="str">
        <f>TEXT(NetflixData[[#This Row],[date]],"mmm")</f>
        <v>Aug</v>
      </c>
      <c r="M1804" t="str">
        <f>TEXT(NetflixData[[#This Row],[date]],"mmm yyyy")</f>
        <v>Aug 2023</v>
      </c>
      <c r="N1804" t="str">
        <f t="shared" si="84"/>
        <v>Non-Trading Day</v>
      </c>
      <c r="O1804" t="str">
        <f t="shared" si="85"/>
        <v>No Change</v>
      </c>
      <c r="P1804" t="str">
        <f t="shared" si="86"/>
        <v>Positive</v>
      </c>
    </row>
    <row r="1805" spans="1:16" x14ac:dyDescent="0.3">
      <c r="A1805" s="1">
        <v>45158</v>
      </c>
      <c r="B1805">
        <v>40.450000000000003</v>
      </c>
      <c r="C1805">
        <v>0</v>
      </c>
      <c r="D1805">
        <v>0</v>
      </c>
      <c r="E1805">
        <v>28</v>
      </c>
      <c r="F1805">
        <v>2.04</v>
      </c>
      <c r="G1805">
        <v>-3.61E-2</v>
      </c>
      <c r="H1805">
        <v>0</v>
      </c>
      <c r="J1805">
        <v>0</v>
      </c>
      <c r="K1805">
        <f>YEAR(NetflixData[[#This Row],[date]])</f>
        <v>2023</v>
      </c>
      <c r="L1805" t="str">
        <f>TEXT(NetflixData[[#This Row],[date]],"mmm")</f>
        <v>Aug</v>
      </c>
      <c r="M1805" t="str">
        <f>TEXT(NetflixData[[#This Row],[date]],"mmm yyyy")</f>
        <v>Aug 2023</v>
      </c>
      <c r="N1805" t="str">
        <f t="shared" si="84"/>
        <v>Trading Day</v>
      </c>
      <c r="O1805" t="str">
        <f t="shared" si="85"/>
        <v>No Change</v>
      </c>
      <c r="P1805" t="str">
        <f t="shared" si="86"/>
        <v>Neutral</v>
      </c>
    </row>
    <row r="1806" spans="1:16" x14ac:dyDescent="0.3">
      <c r="A1806" s="1">
        <v>45159</v>
      </c>
      <c r="B1806">
        <v>40.83</v>
      </c>
      <c r="C1806">
        <v>38616000</v>
      </c>
      <c r="D1806">
        <v>1.5069999999999999</v>
      </c>
      <c r="E1806">
        <v>29</v>
      </c>
      <c r="F1806">
        <v>2.17</v>
      </c>
      <c r="G1806">
        <v>9.35E-2</v>
      </c>
      <c r="H1806">
        <v>0</v>
      </c>
      <c r="J1806">
        <v>1</v>
      </c>
      <c r="K1806">
        <f>YEAR(NetflixData[[#This Row],[date]])</f>
        <v>2023</v>
      </c>
      <c r="L1806" t="str">
        <f>TEXT(NetflixData[[#This Row],[date]],"mmm")</f>
        <v>Aug</v>
      </c>
      <c r="M1806" t="str">
        <f>TEXT(NetflixData[[#This Row],[date]],"mmm yyyy")</f>
        <v>Aug 2023</v>
      </c>
      <c r="N1806" t="str">
        <f t="shared" si="84"/>
        <v>Trading Day</v>
      </c>
      <c r="O1806" t="str">
        <f t="shared" si="85"/>
        <v>Positive</v>
      </c>
      <c r="P1806" t="str">
        <f t="shared" si="86"/>
        <v>Neutral</v>
      </c>
    </row>
    <row r="1807" spans="1:16" x14ac:dyDescent="0.3">
      <c r="A1807" s="1">
        <v>45160</v>
      </c>
      <c r="B1807">
        <v>41.32</v>
      </c>
      <c r="C1807">
        <v>35997000</v>
      </c>
      <c r="D1807">
        <v>1.02</v>
      </c>
      <c r="E1807">
        <v>22</v>
      </c>
      <c r="F1807">
        <v>1.64</v>
      </c>
      <c r="G1807">
        <v>-4.8399999999999999E-2</v>
      </c>
      <c r="H1807">
        <v>0</v>
      </c>
      <c r="J1807">
        <v>1</v>
      </c>
      <c r="K1807">
        <f>YEAR(NetflixData[[#This Row],[date]])</f>
        <v>2023</v>
      </c>
      <c r="L1807" t="str">
        <f>TEXT(NetflixData[[#This Row],[date]],"mmm")</f>
        <v>Aug</v>
      </c>
      <c r="M1807" t="str">
        <f>TEXT(NetflixData[[#This Row],[date]],"mmm yyyy")</f>
        <v>Aug 2023</v>
      </c>
      <c r="N1807" t="str">
        <f t="shared" si="84"/>
        <v>Trading Day</v>
      </c>
      <c r="O1807" t="str">
        <f t="shared" si="85"/>
        <v>Positive</v>
      </c>
      <c r="P1807" t="str">
        <f t="shared" si="86"/>
        <v>Neutral</v>
      </c>
    </row>
    <row r="1808" spans="1:16" x14ac:dyDescent="0.3">
      <c r="A1808" s="1">
        <v>45161</v>
      </c>
      <c r="B1808">
        <v>42.76</v>
      </c>
      <c r="C1808">
        <v>81747000</v>
      </c>
      <c r="D1808">
        <v>2.1869999999999998</v>
      </c>
      <c r="E1808">
        <v>27</v>
      </c>
      <c r="F1808">
        <v>2.63</v>
      </c>
      <c r="G1808">
        <v>3.4799999999999998E-2</v>
      </c>
      <c r="H1808">
        <v>0</v>
      </c>
      <c r="J1808">
        <v>1</v>
      </c>
      <c r="K1808">
        <f>YEAR(NetflixData[[#This Row],[date]])</f>
        <v>2023</v>
      </c>
      <c r="L1808" t="str">
        <f>TEXT(NetflixData[[#This Row],[date]],"mmm")</f>
        <v>Aug</v>
      </c>
      <c r="M1808" t="str">
        <f>TEXT(NetflixData[[#This Row],[date]],"mmm yyyy")</f>
        <v>Aug 2023</v>
      </c>
      <c r="N1808" t="str">
        <f t="shared" si="84"/>
        <v>Trading Day</v>
      </c>
      <c r="O1808" t="str">
        <f t="shared" si="85"/>
        <v>Positive</v>
      </c>
      <c r="P1808" t="str">
        <f t="shared" si="86"/>
        <v>Neutral</v>
      </c>
    </row>
    <row r="1809" spans="1:16" x14ac:dyDescent="0.3">
      <c r="A1809" s="1">
        <v>45162</v>
      </c>
      <c r="B1809">
        <v>40.69</v>
      </c>
      <c r="C1809">
        <v>56878000</v>
      </c>
      <c r="D1809">
        <v>-4.3440000000000003</v>
      </c>
      <c r="E1809">
        <v>19</v>
      </c>
      <c r="F1809">
        <v>2.21</v>
      </c>
      <c r="G1809">
        <v>9.8000000000000004E-2</v>
      </c>
      <c r="H1809">
        <v>0</v>
      </c>
      <c r="J1809">
        <v>1</v>
      </c>
      <c r="K1809">
        <f>YEAR(NetflixData[[#This Row],[date]])</f>
        <v>2023</v>
      </c>
      <c r="L1809" t="str">
        <f>TEXT(NetflixData[[#This Row],[date]],"mmm")</f>
        <v>Aug</v>
      </c>
      <c r="M1809" t="str">
        <f>TEXT(NetflixData[[#This Row],[date]],"mmm yyyy")</f>
        <v>Aug 2023</v>
      </c>
      <c r="N1809" t="str">
        <f t="shared" si="84"/>
        <v>Trading Day</v>
      </c>
      <c r="O1809" t="str">
        <f t="shared" si="85"/>
        <v>Negative</v>
      </c>
      <c r="P1809" t="str">
        <f t="shared" si="86"/>
        <v>Neutral</v>
      </c>
    </row>
    <row r="1810" spans="1:16" x14ac:dyDescent="0.3">
      <c r="A1810" s="1">
        <v>45163</v>
      </c>
      <c r="B1810">
        <v>41.6</v>
      </c>
      <c r="C1810">
        <v>53909000</v>
      </c>
      <c r="D1810">
        <v>0.97799999999999998</v>
      </c>
      <c r="E1810">
        <v>30</v>
      </c>
      <c r="F1810">
        <v>2.23</v>
      </c>
      <c r="G1810">
        <v>4.8099999999999997E-2</v>
      </c>
      <c r="H1810">
        <v>0</v>
      </c>
      <c r="J1810">
        <v>1</v>
      </c>
      <c r="K1810">
        <f>YEAR(NetflixData[[#This Row],[date]])</f>
        <v>2023</v>
      </c>
      <c r="L1810" t="str">
        <f>TEXT(NetflixData[[#This Row],[date]],"mmm")</f>
        <v>Aug</v>
      </c>
      <c r="M1810" t="str">
        <f>TEXT(NetflixData[[#This Row],[date]],"mmm yyyy")</f>
        <v>Aug 2023</v>
      </c>
      <c r="N1810" t="str">
        <f t="shared" si="84"/>
        <v>Non-Trading Day</v>
      </c>
      <c r="O1810" t="str">
        <f t="shared" si="85"/>
        <v>Positive</v>
      </c>
      <c r="P1810" t="str">
        <f t="shared" si="86"/>
        <v>Neutral</v>
      </c>
    </row>
    <row r="1811" spans="1:16" x14ac:dyDescent="0.3">
      <c r="A1811" s="1">
        <v>45164</v>
      </c>
      <c r="B1811">
        <v>41.6</v>
      </c>
      <c r="C1811">
        <v>0</v>
      </c>
      <c r="D1811">
        <v>0</v>
      </c>
      <c r="E1811">
        <v>28</v>
      </c>
      <c r="F1811">
        <v>2.5</v>
      </c>
      <c r="G1811">
        <v>0.1615</v>
      </c>
      <c r="H1811">
        <v>0</v>
      </c>
      <c r="J1811">
        <v>0</v>
      </c>
      <c r="K1811">
        <f>YEAR(NetflixData[[#This Row],[date]])</f>
        <v>2023</v>
      </c>
      <c r="L1811" t="str">
        <f>TEXT(NetflixData[[#This Row],[date]],"mmm")</f>
        <v>Aug</v>
      </c>
      <c r="M1811" t="str">
        <f>TEXT(NetflixData[[#This Row],[date]],"mmm yyyy")</f>
        <v>Aug 2023</v>
      </c>
      <c r="N1811" t="str">
        <f t="shared" si="84"/>
        <v>Non-Trading Day</v>
      </c>
      <c r="O1811" t="str">
        <f t="shared" si="85"/>
        <v>No Change</v>
      </c>
      <c r="P1811" t="str">
        <f t="shared" si="86"/>
        <v>Positive</v>
      </c>
    </row>
    <row r="1812" spans="1:16" x14ac:dyDescent="0.3">
      <c r="A1812" s="1">
        <v>45165</v>
      </c>
      <c r="B1812">
        <v>41.6</v>
      </c>
      <c r="C1812">
        <v>0</v>
      </c>
      <c r="D1812">
        <v>0</v>
      </c>
      <c r="E1812">
        <v>40</v>
      </c>
      <c r="F1812">
        <v>2.2000000000000002</v>
      </c>
      <c r="G1812">
        <v>3.9199999999999999E-2</v>
      </c>
      <c r="H1812">
        <v>0</v>
      </c>
      <c r="J1812">
        <v>0</v>
      </c>
      <c r="K1812">
        <f>YEAR(NetflixData[[#This Row],[date]])</f>
        <v>2023</v>
      </c>
      <c r="L1812" t="str">
        <f>TEXT(NetflixData[[#This Row],[date]],"mmm")</f>
        <v>Aug</v>
      </c>
      <c r="M1812" t="str">
        <f>TEXT(NetflixData[[#This Row],[date]],"mmm yyyy")</f>
        <v>Aug 2023</v>
      </c>
      <c r="N1812" t="str">
        <f t="shared" si="84"/>
        <v>Trading Day</v>
      </c>
      <c r="O1812" t="str">
        <f t="shared" si="85"/>
        <v>No Change</v>
      </c>
      <c r="P1812" t="str">
        <f t="shared" si="86"/>
        <v>Neutral</v>
      </c>
    </row>
    <row r="1813" spans="1:16" x14ac:dyDescent="0.3">
      <c r="A1813" s="1">
        <v>45166</v>
      </c>
      <c r="B1813">
        <v>41.81</v>
      </c>
      <c r="C1813">
        <v>29286000</v>
      </c>
      <c r="D1813">
        <v>5.0000000000000001E-3</v>
      </c>
      <c r="E1813">
        <v>34</v>
      </c>
      <c r="F1813">
        <v>2.06</v>
      </c>
      <c r="G1813">
        <v>0.151</v>
      </c>
      <c r="H1813">
        <v>0</v>
      </c>
      <c r="J1813">
        <v>1</v>
      </c>
      <c r="K1813">
        <f>YEAR(NetflixData[[#This Row],[date]])</f>
        <v>2023</v>
      </c>
      <c r="L1813" t="str">
        <f>TEXT(NetflixData[[#This Row],[date]],"mmm")</f>
        <v>Aug</v>
      </c>
      <c r="M1813" t="str">
        <f>TEXT(NetflixData[[#This Row],[date]],"mmm yyyy")</f>
        <v>Aug 2023</v>
      </c>
      <c r="N1813" t="str">
        <f t="shared" si="84"/>
        <v>Trading Day</v>
      </c>
      <c r="O1813" t="str">
        <f t="shared" si="85"/>
        <v>Positive</v>
      </c>
      <c r="P1813" t="str">
        <f t="shared" si="86"/>
        <v>Positive</v>
      </c>
    </row>
    <row r="1814" spans="1:16" x14ac:dyDescent="0.3">
      <c r="A1814" s="1">
        <v>45167</v>
      </c>
      <c r="B1814">
        <v>43</v>
      </c>
      <c r="C1814">
        <v>44867000</v>
      </c>
      <c r="D1814">
        <v>3.363</v>
      </c>
      <c r="E1814">
        <v>25</v>
      </c>
      <c r="F1814">
        <v>2.64</v>
      </c>
      <c r="G1814">
        <v>0.18090000000000001</v>
      </c>
      <c r="H1814">
        <v>0</v>
      </c>
      <c r="J1814">
        <v>1</v>
      </c>
      <c r="K1814">
        <f>YEAR(NetflixData[[#This Row],[date]])</f>
        <v>2023</v>
      </c>
      <c r="L1814" t="str">
        <f>TEXT(NetflixData[[#This Row],[date]],"mmm")</f>
        <v>Aug</v>
      </c>
      <c r="M1814" t="str">
        <f>TEXT(NetflixData[[#This Row],[date]],"mmm yyyy")</f>
        <v>Aug 2023</v>
      </c>
      <c r="N1814" t="str">
        <f t="shared" si="84"/>
        <v>Trading Day</v>
      </c>
      <c r="O1814" t="str">
        <f t="shared" si="85"/>
        <v>Positive</v>
      </c>
      <c r="P1814" t="str">
        <f t="shared" si="86"/>
        <v>Positive</v>
      </c>
    </row>
    <row r="1815" spans="1:16" x14ac:dyDescent="0.3">
      <c r="A1815" s="1">
        <v>45168</v>
      </c>
      <c r="B1815">
        <v>43.47</v>
      </c>
      <c r="C1815">
        <v>36254000</v>
      </c>
      <c r="D1815">
        <v>0.88700000000000001</v>
      </c>
      <c r="E1815">
        <v>37</v>
      </c>
      <c r="F1815">
        <v>2.4900000000000002</v>
      </c>
      <c r="G1815">
        <v>0.10680000000000001</v>
      </c>
      <c r="H1815">
        <v>0</v>
      </c>
      <c r="J1815">
        <v>1</v>
      </c>
      <c r="K1815">
        <f>YEAR(NetflixData[[#This Row],[date]])</f>
        <v>2023</v>
      </c>
      <c r="L1815" t="str">
        <f>TEXT(NetflixData[[#This Row],[date]],"mmm")</f>
        <v>Aug</v>
      </c>
      <c r="M1815" t="str">
        <f>TEXT(NetflixData[[#This Row],[date]],"mmm yyyy")</f>
        <v>Aug 2023</v>
      </c>
      <c r="N1815" t="str">
        <f t="shared" si="84"/>
        <v>Trading Day</v>
      </c>
      <c r="O1815" t="str">
        <f t="shared" si="85"/>
        <v>Positive</v>
      </c>
      <c r="P1815" t="str">
        <f t="shared" si="86"/>
        <v>Positive</v>
      </c>
    </row>
    <row r="1816" spans="1:16" x14ac:dyDescent="0.3">
      <c r="A1816" s="1">
        <v>45169</v>
      </c>
      <c r="B1816">
        <v>43.37</v>
      </c>
      <c r="C1816">
        <v>38030000</v>
      </c>
      <c r="D1816">
        <v>0.56799999999999995</v>
      </c>
      <c r="E1816">
        <v>27</v>
      </c>
      <c r="F1816">
        <v>1.63</v>
      </c>
      <c r="G1816">
        <v>-0.1275</v>
      </c>
      <c r="H1816">
        <v>0</v>
      </c>
      <c r="J1816">
        <v>1</v>
      </c>
      <c r="K1816">
        <f>YEAR(NetflixData[[#This Row],[date]])</f>
        <v>2023</v>
      </c>
      <c r="L1816" t="str">
        <f>TEXT(NetflixData[[#This Row],[date]],"mmm")</f>
        <v>Aug</v>
      </c>
      <c r="M1816" t="str">
        <f>TEXT(NetflixData[[#This Row],[date]],"mmm yyyy")</f>
        <v>Aug 2023</v>
      </c>
      <c r="N1816" t="str">
        <f t="shared" si="84"/>
        <v>Trading Day</v>
      </c>
      <c r="O1816" t="str">
        <f t="shared" si="85"/>
        <v>Positive</v>
      </c>
      <c r="P1816" t="str">
        <f t="shared" si="86"/>
        <v>Negative</v>
      </c>
    </row>
    <row r="1817" spans="1:16" x14ac:dyDescent="0.3">
      <c r="A1817" s="1">
        <v>45170</v>
      </c>
      <c r="B1817">
        <v>43.99</v>
      </c>
      <c r="C1817">
        <v>47934000</v>
      </c>
      <c r="D1817">
        <v>0.49099999999999999</v>
      </c>
      <c r="E1817">
        <v>19</v>
      </c>
      <c r="F1817">
        <v>2.58</v>
      </c>
      <c r="G1817">
        <v>0.23269999999999999</v>
      </c>
      <c r="H1817">
        <v>0</v>
      </c>
      <c r="J1817">
        <v>1</v>
      </c>
      <c r="K1817">
        <f>YEAR(NetflixData[[#This Row],[date]])</f>
        <v>2023</v>
      </c>
      <c r="L1817" t="str">
        <f>TEXT(NetflixData[[#This Row],[date]],"mmm")</f>
        <v>Sep</v>
      </c>
      <c r="M1817" t="str">
        <f>TEXT(NetflixData[[#This Row],[date]],"mmm yyyy")</f>
        <v>Sep 2023</v>
      </c>
      <c r="N1817" t="str">
        <f t="shared" si="84"/>
        <v>Non-Trading Day</v>
      </c>
      <c r="O1817" t="str">
        <f t="shared" si="85"/>
        <v>Positive</v>
      </c>
      <c r="P1817" t="str">
        <f t="shared" si="86"/>
        <v>Positive</v>
      </c>
    </row>
    <row r="1818" spans="1:16" x14ac:dyDescent="0.3">
      <c r="A1818" s="1">
        <v>45171</v>
      </c>
      <c r="B1818">
        <v>43.99</v>
      </c>
      <c r="C1818">
        <v>0</v>
      </c>
      <c r="D1818">
        <v>0</v>
      </c>
      <c r="E1818">
        <v>26</v>
      </c>
      <c r="F1818">
        <v>1.96</v>
      </c>
      <c r="G1818">
        <v>-1.2699999999999999E-2</v>
      </c>
      <c r="H1818">
        <v>0</v>
      </c>
      <c r="J1818">
        <v>0</v>
      </c>
      <c r="K1818">
        <f>YEAR(NetflixData[[#This Row],[date]])</f>
        <v>2023</v>
      </c>
      <c r="L1818" t="str">
        <f>TEXT(NetflixData[[#This Row],[date]],"mmm")</f>
        <v>Sep</v>
      </c>
      <c r="M1818" t="str">
        <f>TEXT(NetflixData[[#This Row],[date]],"mmm yyyy")</f>
        <v>Sep 2023</v>
      </c>
      <c r="N1818" t="str">
        <f t="shared" si="84"/>
        <v>Non-Trading Day</v>
      </c>
      <c r="O1818" t="str">
        <f t="shared" si="85"/>
        <v>No Change</v>
      </c>
      <c r="P1818" t="str">
        <f t="shared" si="86"/>
        <v>Neutral</v>
      </c>
    </row>
    <row r="1819" spans="1:16" x14ac:dyDescent="0.3">
      <c r="A1819" s="1">
        <v>45172</v>
      </c>
      <c r="B1819">
        <v>43.99</v>
      </c>
      <c r="C1819">
        <v>0</v>
      </c>
      <c r="D1819">
        <v>0</v>
      </c>
      <c r="E1819">
        <v>38</v>
      </c>
      <c r="F1819">
        <v>2.1800000000000002</v>
      </c>
      <c r="G1819">
        <v>-3.0499999999999999E-2</v>
      </c>
      <c r="H1819">
        <v>0</v>
      </c>
      <c r="J1819">
        <v>0</v>
      </c>
      <c r="K1819">
        <f>YEAR(NetflixData[[#This Row],[date]])</f>
        <v>2023</v>
      </c>
      <c r="L1819" t="str">
        <f>TEXT(NetflixData[[#This Row],[date]],"mmm")</f>
        <v>Sep</v>
      </c>
      <c r="M1819" t="str">
        <f>TEXT(NetflixData[[#This Row],[date]],"mmm yyyy")</f>
        <v>Sep 2023</v>
      </c>
      <c r="N1819" t="str">
        <f t="shared" si="84"/>
        <v>Non-Trading Day</v>
      </c>
      <c r="O1819" t="str">
        <f t="shared" si="85"/>
        <v>No Change</v>
      </c>
      <c r="P1819" t="str">
        <f t="shared" si="86"/>
        <v>Neutral</v>
      </c>
    </row>
    <row r="1820" spans="1:16" x14ac:dyDescent="0.3">
      <c r="A1820" s="1">
        <v>45173</v>
      </c>
      <c r="B1820">
        <v>43.99</v>
      </c>
      <c r="C1820">
        <v>0</v>
      </c>
      <c r="D1820">
        <v>0</v>
      </c>
      <c r="E1820">
        <v>28</v>
      </c>
      <c r="F1820">
        <v>2.82</v>
      </c>
      <c r="G1820">
        <v>0.18229999999999999</v>
      </c>
      <c r="H1820">
        <v>0</v>
      </c>
      <c r="J1820">
        <v>0</v>
      </c>
      <c r="K1820">
        <f>YEAR(NetflixData[[#This Row],[date]])</f>
        <v>2023</v>
      </c>
      <c r="L1820" t="str">
        <f>TEXT(NetflixData[[#This Row],[date]],"mmm")</f>
        <v>Sep</v>
      </c>
      <c r="M1820" t="str">
        <f>TEXT(NetflixData[[#This Row],[date]],"mmm yyyy")</f>
        <v>Sep 2023</v>
      </c>
      <c r="N1820" t="str">
        <f t="shared" si="84"/>
        <v>Trading Day</v>
      </c>
      <c r="O1820" t="str">
        <f t="shared" si="85"/>
        <v>No Change</v>
      </c>
      <c r="P1820" t="str">
        <f t="shared" si="86"/>
        <v>Positive</v>
      </c>
    </row>
    <row r="1821" spans="1:16" x14ac:dyDescent="0.3">
      <c r="A1821" s="1">
        <v>45174</v>
      </c>
      <c r="B1821">
        <v>44.87</v>
      </c>
      <c r="C1821">
        <v>61559000</v>
      </c>
      <c r="D1821">
        <v>2.347</v>
      </c>
      <c r="E1821">
        <v>30</v>
      </c>
      <c r="F1821">
        <v>2.13</v>
      </c>
      <c r="G1821">
        <v>-7.9500000000000001E-2</v>
      </c>
      <c r="H1821">
        <v>0</v>
      </c>
      <c r="J1821">
        <v>1</v>
      </c>
      <c r="K1821">
        <f>YEAR(NetflixData[[#This Row],[date]])</f>
        <v>2023</v>
      </c>
      <c r="L1821" t="str">
        <f>TEXT(NetflixData[[#This Row],[date]],"mmm")</f>
        <v>Sep</v>
      </c>
      <c r="M1821" t="str">
        <f>TEXT(NetflixData[[#This Row],[date]],"mmm yyyy")</f>
        <v>Sep 2023</v>
      </c>
      <c r="N1821" t="str">
        <f t="shared" si="84"/>
        <v>Trading Day</v>
      </c>
      <c r="O1821" t="str">
        <f t="shared" si="85"/>
        <v>Positive</v>
      </c>
      <c r="P1821" t="str">
        <f t="shared" si="86"/>
        <v>Neutral</v>
      </c>
    </row>
    <row r="1822" spans="1:16" x14ac:dyDescent="0.3">
      <c r="A1822" s="1">
        <v>45175</v>
      </c>
      <c r="B1822">
        <v>44.58</v>
      </c>
      <c r="C1822">
        <v>38623000</v>
      </c>
      <c r="D1822">
        <v>-0.63500000000000001</v>
      </c>
      <c r="E1822">
        <v>23</v>
      </c>
      <c r="F1822">
        <v>2.2599999999999998</v>
      </c>
      <c r="G1822">
        <v>4.8999999999999998E-3</v>
      </c>
      <c r="H1822">
        <v>0</v>
      </c>
      <c r="J1822">
        <v>1</v>
      </c>
      <c r="K1822">
        <f>YEAR(NetflixData[[#This Row],[date]])</f>
        <v>2023</v>
      </c>
      <c r="L1822" t="str">
        <f>TEXT(NetflixData[[#This Row],[date]],"mmm")</f>
        <v>Sep</v>
      </c>
      <c r="M1822" t="str">
        <f>TEXT(NetflixData[[#This Row],[date]],"mmm yyyy")</f>
        <v>Sep 2023</v>
      </c>
      <c r="N1822" t="str">
        <f t="shared" si="84"/>
        <v>Trading Day</v>
      </c>
      <c r="O1822" t="str">
        <f t="shared" si="85"/>
        <v>Negative</v>
      </c>
      <c r="P1822" t="str">
        <f t="shared" si="86"/>
        <v>Neutral</v>
      </c>
    </row>
    <row r="1823" spans="1:16" x14ac:dyDescent="0.3">
      <c r="A1823" s="1">
        <v>45176</v>
      </c>
      <c r="B1823">
        <v>44.31</v>
      </c>
      <c r="C1823">
        <v>29227000</v>
      </c>
      <c r="D1823">
        <v>0.45100000000000001</v>
      </c>
      <c r="E1823">
        <v>32</v>
      </c>
      <c r="F1823">
        <v>2.38</v>
      </c>
      <c r="G1823">
        <v>0.18479999999999999</v>
      </c>
      <c r="H1823">
        <v>0</v>
      </c>
      <c r="J1823">
        <v>1</v>
      </c>
      <c r="K1823">
        <f>YEAR(NetflixData[[#This Row],[date]])</f>
        <v>2023</v>
      </c>
      <c r="L1823" t="str">
        <f>TEXT(NetflixData[[#This Row],[date]],"mmm")</f>
        <v>Sep</v>
      </c>
      <c r="M1823" t="str">
        <f>TEXT(NetflixData[[#This Row],[date]],"mmm yyyy")</f>
        <v>Sep 2023</v>
      </c>
      <c r="N1823" t="str">
        <f t="shared" si="84"/>
        <v>Trading Day</v>
      </c>
      <c r="O1823" t="str">
        <f t="shared" si="85"/>
        <v>Positive</v>
      </c>
      <c r="P1823" t="str">
        <f t="shared" si="86"/>
        <v>Positive</v>
      </c>
    </row>
    <row r="1824" spans="1:16" x14ac:dyDescent="0.3">
      <c r="A1824" s="1">
        <v>45177</v>
      </c>
      <c r="B1824">
        <v>44.28</v>
      </c>
      <c r="C1824">
        <v>26975000</v>
      </c>
      <c r="D1824">
        <v>-0.17100000000000001</v>
      </c>
      <c r="E1824">
        <v>26</v>
      </c>
      <c r="F1824">
        <v>2.27</v>
      </c>
      <c r="G1824">
        <v>2.7799999999999998E-2</v>
      </c>
      <c r="H1824">
        <v>0</v>
      </c>
      <c r="J1824">
        <v>1</v>
      </c>
      <c r="K1824">
        <f>YEAR(NetflixData[[#This Row],[date]])</f>
        <v>2023</v>
      </c>
      <c r="L1824" t="str">
        <f>TEXT(NetflixData[[#This Row],[date]],"mmm")</f>
        <v>Sep</v>
      </c>
      <c r="M1824" t="str">
        <f>TEXT(NetflixData[[#This Row],[date]],"mmm yyyy")</f>
        <v>Sep 2023</v>
      </c>
      <c r="N1824" t="str">
        <f t="shared" si="84"/>
        <v>Non-Trading Day</v>
      </c>
      <c r="O1824" t="str">
        <f t="shared" si="85"/>
        <v>Negative</v>
      </c>
      <c r="P1824" t="str">
        <f t="shared" si="86"/>
        <v>Neutral</v>
      </c>
    </row>
    <row r="1825" spans="1:16" x14ac:dyDescent="0.3">
      <c r="A1825" s="1">
        <v>45178</v>
      </c>
      <c r="B1825">
        <v>44.28</v>
      </c>
      <c r="C1825">
        <v>0</v>
      </c>
      <c r="D1825">
        <v>0</v>
      </c>
      <c r="E1825">
        <v>26</v>
      </c>
      <c r="F1825">
        <v>2.65</v>
      </c>
      <c r="G1825">
        <v>5.2200000000000003E-2</v>
      </c>
      <c r="H1825">
        <v>0</v>
      </c>
      <c r="J1825">
        <v>0</v>
      </c>
      <c r="K1825">
        <f>YEAR(NetflixData[[#This Row],[date]])</f>
        <v>2023</v>
      </c>
      <c r="L1825" t="str">
        <f>TEXT(NetflixData[[#This Row],[date]],"mmm")</f>
        <v>Sep</v>
      </c>
      <c r="M1825" t="str">
        <f>TEXT(NetflixData[[#This Row],[date]],"mmm yyyy")</f>
        <v>Sep 2023</v>
      </c>
      <c r="N1825" t="str">
        <f t="shared" si="84"/>
        <v>Non-Trading Day</v>
      </c>
      <c r="O1825" t="str">
        <f t="shared" si="85"/>
        <v>No Change</v>
      </c>
      <c r="P1825" t="str">
        <f t="shared" si="86"/>
        <v>Neutral</v>
      </c>
    </row>
    <row r="1826" spans="1:16" x14ac:dyDescent="0.3">
      <c r="A1826" s="1">
        <v>45179</v>
      </c>
      <c r="B1826">
        <v>44.28</v>
      </c>
      <c r="C1826">
        <v>0</v>
      </c>
      <c r="D1826">
        <v>0</v>
      </c>
      <c r="E1826">
        <v>34</v>
      </c>
      <c r="F1826">
        <v>2.38</v>
      </c>
      <c r="G1826">
        <v>-2.6700000000000002E-2</v>
      </c>
      <c r="H1826">
        <v>0</v>
      </c>
      <c r="J1826">
        <v>0</v>
      </c>
      <c r="K1826">
        <f>YEAR(NetflixData[[#This Row],[date]])</f>
        <v>2023</v>
      </c>
      <c r="L1826" t="str">
        <f>TEXT(NetflixData[[#This Row],[date]],"mmm")</f>
        <v>Sep</v>
      </c>
      <c r="M1826" t="str">
        <f>TEXT(NetflixData[[#This Row],[date]],"mmm yyyy")</f>
        <v>Sep 2023</v>
      </c>
      <c r="N1826" t="str">
        <f t="shared" si="84"/>
        <v>Trading Day</v>
      </c>
      <c r="O1826" t="str">
        <f t="shared" si="85"/>
        <v>No Change</v>
      </c>
      <c r="P1826" t="str">
        <f t="shared" si="86"/>
        <v>Neutral</v>
      </c>
    </row>
    <row r="1827" spans="1:16" x14ac:dyDescent="0.3">
      <c r="A1827" s="1">
        <v>45180</v>
      </c>
      <c r="B1827">
        <v>44.54</v>
      </c>
      <c r="C1827">
        <v>29138000</v>
      </c>
      <c r="D1827">
        <v>0.51700000000000002</v>
      </c>
      <c r="E1827">
        <v>29</v>
      </c>
      <c r="F1827">
        <v>2.41</v>
      </c>
      <c r="G1827">
        <v>0.15809999999999999</v>
      </c>
      <c r="H1827">
        <v>0</v>
      </c>
      <c r="J1827">
        <v>1</v>
      </c>
      <c r="K1827">
        <f>YEAR(NetflixData[[#This Row],[date]])</f>
        <v>2023</v>
      </c>
      <c r="L1827" t="str">
        <f>TEXT(NetflixData[[#This Row],[date]],"mmm")</f>
        <v>Sep</v>
      </c>
      <c r="M1827" t="str">
        <f>TEXT(NetflixData[[#This Row],[date]],"mmm yyyy")</f>
        <v>Sep 2023</v>
      </c>
      <c r="N1827" t="str">
        <f t="shared" si="84"/>
        <v>Trading Day</v>
      </c>
      <c r="O1827" t="str">
        <f t="shared" si="85"/>
        <v>Positive</v>
      </c>
      <c r="P1827" t="str">
        <f t="shared" si="86"/>
        <v>Positive</v>
      </c>
    </row>
    <row r="1828" spans="1:16" x14ac:dyDescent="0.3">
      <c r="A1828" s="1">
        <v>45181</v>
      </c>
      <c r="B1828">
        <v>43.47</v>
      </c>
      <c r="C1828">
        <v>31240000</v>
      </c>
      <c r="D1828">
        <v>-1.843</v>
      </c>
      <c r="E1828">
        <v>24</v>
      </c>
      <c r="F1828">
        <v>2.33</v>
      </c>
      <c r="G1828">
        <v>-1.2800000000000001E-2</v>
      </c>
      <c r="H1828">
        <v>0</v>
      </c>
      <c r="J1828">
        <v>1</v>
      </c>
      <c r="K1828">
        <f>YEAR(NetflixData[[#This Row],[date]])</f>
        <v>2023</v>
      </c>
      <c r="L1828" t="str">
        <f>TEXT(NetflixData[[#This Row],[date]],"mmm")</f>
        <v>Sep</v>
      </c>
      <c r="M1828" t="str">
        <f>TEXT(NetflixData[[#This Row],[date]],"mmm yyyy")</f>
        <v>Sep 2023</v>
      </c>
      <c r="N1828" t="str">
        <f t="shared" si="84"/>
        <v>Trading Day</v>
      </c>
      <c r="O1828" t="str">
        <f t="shared" si="85"/>
        <v>Negative</v>
      </c>
      <c r="P1828" t="str">
        <f t="shared" si="86"/>
        <v>Neutral</v>
      </c>
    </row>
    <row r="1829" spans="1:16" x14ac:dyDescent="0.3">
      <c r="A1829" s="1">
        <v>45182</v>
      </c>
      <c r="B1829">
        <v>41.22</v>
      </c>
      <c r="C1829">
        <v>118430000</v>
      </c>
      <c r="D1829">
        <v>-5.3410000000000002</v>
      </c>
      <c r="E1829">
        <v>27</v>
      </c>
      <c r="F1829">
        <v>2.37</v>
      </c>
      <c r="G1829">
        <v>0.12920000000000001</v>
      </c>
      <c r="H1829">
        <v>0</v>
      </c>
      <c r="J1829">
        <v>1</v>
      </c>
      <c r="K1829">
        <f>YEAR(NetflixData[[#This Row],[date]])</f>
        <v>2023</v>
      </c>
      <c r="L1829" t="str">
        <f>TEXT(NetflixData[[#This Row],[date]],"mmm")</f>
        <v>Sep</v>
      </c>
      <c r="M1829" t="str">
        <f>TEXT(NetflixData[[#This Row],[date]],"mmm yyyy")</f>
        <v>Sep 2023</v>
      </c>
      <c r="N1829" t="str">
        <f t="shared" si="84"/>
        <v>Trading Day</v>
      </c>
      <c r="O1829" t="str">
        <f t="shared" si="85"/>
        <v>Negative</v>
      </c>
      <c r="P1829" t="str">
        <f t="shared" si="86"/>
        <v>Positive</v>
      </c>
    </row>
    <row r="1830" spans="1:16" x14ac:dyDescent="0.3">
      <c r="A1830" s="1">
        <v>45183</v>
      </c>
      <c r="B1830">
        <v>40.049999999999997</v>
      </c>
      <c r="C1830">
        <v>107090000</v>
      </c>
      <c r="D1830">
        <v>-2.415</v>
      </c>
      <c r="E1830">
        <v>22</v>
      </c>
      <c r="F1830">
        <v>1.77</v>
      </c>
      <c r="G1830">
        <v>-0.12709999999999999</v>
      </c>
      <c r="H1830">
        <v>0</v>
      </c>
      <c r="J1830">
        <v>1</v>
      </c>
      <c r="K1830">
        <f>YEAR(NetflixData[[#This Row],[date]])</f>
        <v>2023</v>
      </c>
      <c r="L1830" t="str">
        <f>TEXT(NetflixData[[#This Row],[date]],"mmm")</f>
        <v>Sep</v>
      </c>
      <c r="M1830" t="str">
        <f>TEXT(NetflixData[[#This Row],[date]],"mmm yyyy")</f>
        <v>Sep 2023</v>
      </c>
      <c r="N1830" t="str">
        <f t="shared" si="84"/>
        <v>Trading Day</v>
      </c>
      <c r="O1830" t="str">
        <f t="shared" si="85"/>
        <v>Negative</v>
      </c>
      <c r="P1830" t="str">
        <f t="shared" si="86"/>
        <v>Negative</v>
      </c>
    </row>
    <row r="1831" spans="1:16" x14ac:dyDescent="0.3">
      <c r="A1831" s="1">
        <v>45184</v>
      </c>
      <c r="B1831">
        <v>39.69</v>
      </c>
      <c r="C1831">
        <v>91167000</v>
      </c>
      <c r="D1831">
        <v>-1.012</v>
      </c>
      <c r="E1831">
        <v>33</v>
      </c>
      <c r="F1831">
        <v>2.48</v>
      </c>
      <c r="G1831">
        <v>0.1434</v>
      </c>
      <c r="H1831">
        <v>0</v>
      </c>
      <c r="J1831">
        <v>1</v>
      </c>
      <c r="K1831">
        <f>YEAR(NetflixData[[#This Row],[date]])</f>
        <v>2023</v>
      </c>
      <c r="L1831" t="str">
        <f>TEXT(NetflixData[[#This Row],[date]],"mmm")</f>
        <v>Sep</v>
      </c>
      <c r="M1831" t="str">
        <f>TEXT(NetflixData[[#This Row],[date]],"mmm yyyy")</f>
        <v>Sep 2023</v>
      </c>
      <c r="N1831" t="str">
        <f t="shared" si="84"/>
        <v>Non-Trading Day</v>
      </c>
      <c r="O1831" t="str">
        <f t="shared" si="85"/>
        <v>Negative</v>
      </c>
      <c r="P1831" t="str">
        <f t="shared" si="86"/>
        <v>Positive</v>
      </c>
    </row>
    <row r="1832" spans="1:16" x14ac:dyDescent="0.3">
      <c r="A1832" s="1">
        <v>45185</v>
      </c>
      <c r="B1832">
        <v>39.69</v>
      </c>
      <c r="C1832">
        <v>0</v>
      </c>
      <c r="D1832">
        <v>0</v>
      </c>
      <c r="E1832">
        <v>27</v>
      </c>
      <c r="F1832">
        <v>2.15</v>
      </c>
      <c r="G1832">
        <v>5.8200000000000002E-2</v>
      </c>
      <c r="H1832">
        <v>0</v>
      </c>
      <c r="J1832">
        <v>0</v>
      </c>
      <c r="K1832">
        <f>YEAR(NetflixData[[#This Row],[date]])</f>
        <v>2023</v>
      </c>
      <c r="L1832" t="str">
        <f>TEXT(NetflixData[[#This Row],[date]],"mmm")</f>
        <v>Sep</v>
      </c>
      <c r="M1832" t="str">
        <f>TEXT(NetflixData[[#This Row],[date]],"mmm yyyy")</f>
        <v>Sep 2023</v>
      </c>
      <c r="N1832" t="str">
        <f t="shared" si="84"/>
        <v>Non-Trading Day</v>
      </c>
      <c r="O1832" t="str">
        <f t="shared" si="85"/>
        <v>No Change</v>
      </c>
      <c r="P1832" t="str">
        <f t="shared" si="86"/>
        <v>Neutral</v>
      </c>
    </row>
    <row r="1833" spans="1:16" x14ac:dyDescent="0.3">
      <c r="A1833" s="1">
        <v>45186</v>
      </c>
      <c r="B1833">
        <v>39.69</v>
      </c>
      <c r="C1833">
        <v>0</v>
      </c>
      <c r="D1833">
        <v>0</v>
      </c>
      <c r="E1833">
        <v>37</v>
      </c>
      <c r="F1833">
        <v>2.19</v>
      </c>
      <c r="G1833">
        <v>-5.9400000000000001E-2</v>
      </c>
      <c r="H1833">
        <v>0</v>
      </c>
      <c r="J1833">
        <v>0</v>
      </c>
      <c r="K1833">
        <f>YEAR(NetflixData[[#This Row],[date]])</f>
        <v>2023</v>
      </c>
      <c r="L1833" t="str">
        <f>TEXT(NetflixData[[#This Row],[date]],"mmm")</f>
        <v>Sep</v>
      </c>
      <c r="M1833" t="str">
        <f>TEXT(NetflixData[[#This Row],[date]],"mmm yyyy")</f>
        <v>Sep 2023</v>
      </c>
      <c r="N1833" t="str">
        <f t="shared" si="84"/>
        <v>Trading Day</v>
      </c>
      <c r="O1833" t="str">
        <f t="shared" si="85"/>
        <v>No Change</v>
      </c>
      <c r="P1833" t="str">
        <f t="shared" si="86"/>
        <v>Neutral</v>
      </c>
    </row>
    <row r="1834" spans="1:16" x14ac:dyDescent="0.3">
      <c r="A1834" s="1">
        <v>45187</v>
      </c>
      <c r="B1834">
        <v>39.44</v>
      </c>
      <c r="C1834">
        <v>47047000</v>
      </c>
      <c r="D1834">
        <v>-0.27800000000000002</v>
      </c>
      <c r="E1834">
        <v>31</v>
      </c>
      <c r="F1834">
        <v>2.23</v>
      </c>
      <c r="G1834">
        <v>-2.92E-2</v>
      </c>
      <c r="H1834">
        <v>0</v>
      </c>
      <c r="J1834">
        <v>1</v>
      </c>
      <c r="K1834">
        <f>YEAR(NetflixData[[#This Row],[date]])</f>
        <v>2023</v>
      </c>
      <c r="L1834" t="str">
        <f>TEXT(NetflixData[[#This Row],[date]],"mmm")</f>
        <v>Sep</v>
      </c>
      <c r="M1834" t="str">
        <f>TEXT(NetflixData[[#This Row],[date]],"mmm yyyy")</f>
        <v>Sep 2023</v>
      </c>
      <c r="N1834" t="str">
        <f t="shared" si="84"/>
        <v>Trading Day</v>
      </c>
      <c r="O1834" t="str">
        <f t="shared" si="85"/>
        <v>Negative</v>
      </c>
      <c r="P1834" t="str">
        <f t="shared" si="86"/>
        <v>Neutral</v>
      </c>
    </row>
    <row r="1835" spans="1:16" x14ac:dyDescent="0.3">
      <c r="A1835" s="1">
        <v>45188</v>
      </c>
      <c r="B1835">
        <v>39.619999999999997</v>
      </c>
      <c r="C1835">
        <v>40768000</v>
      </c>
      <c r="D1835">
        <v>0.85499999999999998</v>
      </c>
      <c r="E1835">
        <v>23</v>
      </c>
      <c r="F1835">
        <v>3.17</v>
      </c>
      <c r="G1835">
        <v>0.26240000000000002</v>
      </c>
      <c r="H1835">
        <v>0</v>
      </c>
      <c r="J1835">
        <v>1</v>
      </c>
      <c r="K1835">
        <f>YEAR(NetflixData[[#This Row],[date]])</f>
        <v>2023</v>
      </c>
      <c r="L1835" t="str">
        <f>TEXT(NetflixData[[#This Row],[date]],"mmm")</f>
        <v>Sep</v>
      </c>
      <c r="M1835" t="str">
        <f>TEXT(NetflixData[[#This Row],[date]],"mmm yyyy")</f>
        <v>Sep 2023</v>
      </c>
      <c r="N1835" t="str">
        <f t="shared" si="84"/>
        <v>Trading Day</v>
      </c>
      <c r="O1835" t="str">
        <f t="shared" si="85"/>
        <v>Positive</v>
      </c>
      <c r="P1835" t="str">
        <f t="shared" si="86"/>
        <v>Positive</v>
      </c>
    </row>
    <row r="1836" spans="1:16" x14ac:dyDescent="0.3">
      <c r="A1836" s="1">
        <v>45189</v>
      </c>
      <c r="B1836">
        <v>38.630000000000003</v>
      </c>
      <c r="C1836">
        <v>38666000</v>
      </c>
      <c r="D1836">
        <v>-2.7069999999999999</v>
      </c>
      <c r="E1836">
        <v>23</v>
      </c>
      <c r="F1836">
        <v>2.4300000000000002</v>
      </c>
      <c r="G1836">
        <v>0.20380000000000001</v>
      </c>
      <c r="H1836">
        <v>0</v>
      </c>
      <c r="J1836">
        <v>1</v>
      </c>
      <c r="K1836">
        <f>YEAR(NetflixData[[#This Row],[date]])</f>
        <v>2023</v>
      </c>
      <c r="L1836" t="str">
        <f>TEXT(NetflixData[[#This Row],[date]],"mmm")</f>
        <v>Sep</v>
      </c>
      <c r="M1836" t="str">
        <f>TEXT(NetflixData[[#This Row],[date]],"mmm yyyy")</f>
        <v>Sep 2023</v>
      </c>
      <c r="N1836" t="str">
        <f t="shared" si="84"/>
        <v>Trading Day</v>
      </c>
      <c r="O1836" t="str">
        <f t="shared" si="85"/>
        <v>Negative</v>
      </c>
      <c r="P1836" t="str">
        <f t="shared" si="86"/>
        <v>Positive</v>
      </c>
    </row>
    <row r="1837" spans="1:16" x14ac:dyDescent="0.3">
      <c r="A1837" s="1">
        <v>45190</v>
      </c>
      <c r="B1837">
        <v>38.42</v>
      </c>
      <c r="C1837">
        <v>55479000</v>
      </c>
      <c r="D1837">
        <v>-0.60799999999999998</v>
      </c>
      <c r="E1837">
        <v>25</v>
      </c>
      <c r="F1837">
        <v>2.48</v>
      </c>
      <c r="G1837">
        <v>0.13830000000000001</v>
      </c>
      <c r="H1837">
        <v>0</v>
      </c>
      <c r="J1837">
        <v>1</v>
      </c>
      <c r="K1837">
        <f>YEAR(NetflixData[[#This Row],[date]])</f>
        <v>2023</v>
      </c>
      <c r="L1837" t="str">
        <f>TEXT(NetflixData[[#This Row],[date]],"mmm")</f>
        <v>Sep</v>
      </c>
      <c r="M1837" t="str">
        <f>TEXT(NetflixData[[#This Row],[date]],"mmm yyyy")</f>
        <v>Sep 2023</v>
      </c>
      <c r="N1837" t="str">
        <f t="shared" si="84"/>
        <v>Trading Day</v>
      </c>
      <c r="O1837" t="str">
        <f t="shared" si="85"/>
        <v>Negative</v>
      </c>
      <c r="P1837" t="str">
        <f t="shared" si="86"/>
        <v>Positive</v>
      </c>
    </row>
    <row r="1838" spans="1:16" x14ac:dyDescent="0.3">
      <c r="A1838" s="1">
        <v>45191</v>
      </c>
      <c r="B1838">
        <v>37.979999999999997</v>
      </c>
      <c r="C1838">
        <v>36928000</v>
      </c>
      <c r="D1838">
        <v>-1.3480000000000001</v>
      </c>
      <c r="E1838">
        <v>31</v>
      </c>
      <c r="F1838">
        <v>1.77</v>
      </c>
      <c r="G1838">
        <v>-1.32E-2</v>
      </c>
      <c r="H1838">
        <v>0</v>
      </c>
      <c r="J1838">
        <v>1</v>
      </c>
      <c r="K1838">
        <f>YEAR(NetflixData[[#This Row],[date]])</f>
        <v>2023</v>
      </c>
      <c r="L1838" t="str">
        <f>TEXT(NetflixData[[#This Row],[date]],"mmm")</f>
        <v>Sep</v>
      </c>
      <c r="M1838" t="str">
        <f>TEXT(NetflixData[[#This Row],[date]],"mmm yyyy")</f>
        <v>Sep 2023</v>
      </c>
      <c r="N1838" t="str">
        <f t="shared" si="84"/>
        <v>Non-Trading Day</v>
      </c>
      <c r="O1838" t="str">
        <f t="shared" si="85"/>
        <v>Negative</v>
      </c>
      <c r="P1838" t="str">
        <f t="shared" si="86"/>
        <v>Neutral</v>
      </c>
    </row>
    <row r="1839" spans="1:16" x14ac:dyDescent="0.3">
      <c r="A1839" s="1">
        <v>45192</v>
      </c>
      <c r="B1839">
        <v>37.979999999999997</v>
      </c>
      <c r="C1839">
        <v>0</v>
      </c>
      <c r="D1839">
        <v>0</v>
      </c>
      <c r="E1839">
        <v>30</v>
      </c>
      <c r="F1839">
        <v>2.57</v>
      </c>
      <c r="G1839">
        <v>0.12189999999999999</v>
      </c>
      <c r="H1839">
        <v>0</v>
      </c>
      <c r="J1839">
        <v>0</v>
      </c>
      <c r="K1839">
        <f>YEAR(NetflixData[[#This Row],[date]])</f>
        <v>2023</v>
      </c>
      <c r="L1839" t="str">
        <f>TEXT(NetflixData[[#This Row],[date]],"mmm")</f>
        <v>Sep</v>
      </c>
      <c r="M1839" t="str">
        <f>TEXT(NetflixData[[#This Row],[date]],"mmm yyyy")</f>
        <v>Sep 2023</v>
      </c>
      <c r="N1839" t="str">
        <f t="shared" si="84"/>
        <v>Non-Trading Day</v>
      </c>
      <c r="O1839" t="str">
        <f t="shared" si="85"/>
        <v>No Change</v>
      </c>
      <c r="P1839" t="str">
        <f t="shared" si="86"/>
        <v>Positive</v>
      </c>
    </row>
    <row r="1840" spans="1:16" x14ac:dyDescent="0.3">
      <c r="A1840" s="1">
        <v>45193</v>
      </c>
      <c r="B1840">
        <v>37.979999999999997</v>
      </c>
      <c r="C1840">
        <v>0</v>
      </c>
      <c r="D1840">
        <v>0</v>
      </c>
      <c r="E1840">
        <v>20</v>
      </c>
      <c r="F1840">
        <v>2.4</v>
      </c>
      <c r="G1840">
        <v>-2.5000000000000001E-3</v>
      </c>
      <c r="H1840">
        <v>0</v>
      </c>
      <c r="J1840">
        <v>0</v>
      </c>
      <c r="K1840">
        <f>YEAR(NetflixData[[#This Row],[date]])</f>
        <v>2023</v>
      </c>
      <c r="L1840" t="str">
        <f>TEXT(NetflixData[[#This Row],[date]],"mmm")</f>
        <v>Sep</v>
      </c>
      <c r="M1840" t="str">
        <f>TEXT(NetflixData[[#This Row],[date]],"mmm yyyy")</f>
        <v>Sep 2023</v>
      </c>
      <c r="N1840" t="str">
        <f t="shared" si="84"/>
        <v>Trading Day</v>
      </c>
      <c r="O1840" t="str">
        <f t="shared" si="85"/>
        <v>No Change</v>
      </c>
      <c r="P1840" t="str">
        <f t="shared" si="86"/>
        <v>Neutral</v>
      </c>
    </row>
    <row r="1841" spans="1:16" x14ac:dyDescent="0.3">
      <c r="A1841" s="1">
        <v>45194</v>
      </c>
      <c r="B1841">
        <v>38.479999999999997</v>
      </c>
      <c r="C1841">
        <v>37573000</v>
      </c>
      <c r="D1841">
        <v>0.496</v>
      </c>
      <c r="E1841">
        <v>29</v>
      </c>
      <c r="F1841">
        <v>1.76</v>
      </c>
      <c r="G1841">
        <v>-0.1086</v>
      </c>
      <c r="H1841">
        <v>0</v>
      </c>
      <c r="J1841">
        <v>1</v>
      </c>
      <c r="K1841">
        <f>YEAR(NetflixData[[#This Row],[date]])</f>
        <v>2023</v>
      </c>
      <c r="L1841" t="str">
        <f>TEXT(NetflixData[[#This Row],[date]],"mmm")</f>
        <v>Sep</v>
      </c>
      <c r="M1841" t="str">
        <f>TEXT(NetflixData[[#This Row],[date]],"mmm yyyy")</f>
        <v>Sep 2023</v>
      </c>
      <c r="N1841" t="str">
        <f t="shared" si="84"/>
        <v>Trading Day</v>
      </c>
      <c r="O1841" t="str">
        <f t="shared" si="85"/>
        <v>Positive</v>
      </c>
      <c r="P1841" t="str">
        <f t="shared" si="86"/>
        <v>Negative</v>
      </c>
    </row>
    <row r="1842" spans="1:16" x14ac:dyDescent="0.3">
      <c r="A1842" s="1">
        <v>45195</v>
      </c>
      <c r="B1842">
        <v>37.92</v>
      </c>
      <c r="C1842">
        <v>40894000</v>
      </c>
      <c r="D1842">
        <v>-0.94799999999999995</v>
      </c>
      <c r="E1842">
        <v>25</v>
      </c>
      <c r="F1842">
        <v>1.68</v>
      </c>
      <c r="G1842">
        <v>0.10390000000000001</v>
      </c>
      <c r="H1842">
        <v>0</v>
      </c>
      <c r="J1842">
        <v>1</v>
      </c>
      <c r="K1842">
        <f>YEAR(NetflixData[[#This Row],[date]])</f>
        <v>2023</v>
      </c>
      <c r="L1842" t="str">
        <f>TEXT(NetflixData[[#This Row],[date]],"mmm")</f>
        <v>Sep</v>
      </c>
      <c r="M1842" t="str">
        <f>TEXT(NetflixData[[#This Row],[date]],"mmm yyyy")</f>
        <v>Sep 2023</v>
      </c>
      <c r="N1842" t="str">
        <f t="shared" si="84"/>
        <v>Trading Day</v>
      </c>
      <c r="O1842" t="str">
        <f t="shared" si="85"/>
        <v>Negative</v>
      </c>
      <c r="P1842" t="str">
        <f t="shared" si="86"/>
        <v>Positive</v>
      </c>
    </row>
    <row r="1843" spans="1:16" x14ac:dyDescent="0.3">
      <c r="A1843" s="1">
        <v>45196</v>
      </c>
      <c r="B1843">
        <v>37.76</v>
      </c>
      <c r="C1843">
        <v>38435000</v>
      </c>
      <c r="D1843">
        <v>-1.258</v>
      </c>
      <c r="E1843">
        <v>27</v>
      </c>
      <c r="F1843">
        <v>2.15</v>
      </c>
      <c r="G1843">
        <v>0.252</v>
      </c>
      <c r="H1843">
        <v>0</v>
      </c>
      <c r="J1843">
        <v>1</v>
      </c>
      <c r="K1843">
        <f>YEAR(NetflixData[[#This Row],[date]])</f>
        <v>2023</v>
      </c>
      <c r="L1843" t="str">
        <f>TEXT(NetflixData[[#This Row],[date]],"mmm")</f>
        <v>Sep</v>
      </c>
      <c r="M1843" t="str">
        <f>TEXT(NetflixData[[#This Row],[date]],"mmm yyyy")</f>
        <v>Sep 2023</v>
      </c>
      <c r="N1843" t="str">
        <f t="shared" si="84"/>
        <v>Trading Day</v>
      </c>
      <c r="O1843" t="str">
        <f t="shared" si="85"/>
        <v>Negative</v>
      </c>
      <c r="P1843" t="str">
        <f t="shared" si="86"/>
        <v>Positive</v>
      </c>
    </row>
    <row r="1844" spans="1:16" x14ac:dyDescent="0.3">
      <c r="A1844" s="1">
        <v>45197</v>
      </c>
      <c r="B1844">
        <v>37.64</v>
      </c>
      <c r="C1844">
        <v>43699000</v>
      </c>
      <c r="D1844">
        <v>0.20200000000000001</v>
      </c>
      <c r="E1844">
        <v>32</v>
      </c>
      <c r="F1844">
        <v>2.09</v>
      </c>
      <c r="G1844">
        <v>8.1699999999999995E-2</v>
      </c>
      <c r="H1844">
        <v>0</v>
      </c>
      <c r="J1844">
        <v>1</v>
      </c>
      <c r="K1844">
        <f>YEAR(NetflixData[[#This Row],[date]])</f>
        <v>2023</v>
      </c>
      <c r="L1844" t="str">
        <f>TEXT(NetflixData[[#This Row],[date]],"mmm")</f>
        <v>Sep</v>
      </c>
      <c r="M1844" t="str">
        <f>TEXT(NetflixData[[#This Row],[date]],"mmm yyyy")</f>
        <v>Sep 2023</v>
      </c>
      <c r="N1844" t="str">
        <f t="shared" si="84"/>
        <v>Trading Day</v>
      </c>
      <c r="O1844" t="str">
        <f t="shared" si="85"/>
        <v>Positive</v>
      </c>
      <c r="P1844" t="str">
        <f t="shared" si="86"/>
        <v>Neutral</v>
      </c>
    </row>
    <row r="1845" spans="1:16" x14ac:dyDescent="0.3">
      <c r="A1845" s="1">
        <v>45198</v>
      </c>
      <c r="B1845">
        <v>37.76</v>
      </c>
      <c r="C1845">
        <v>42053000</v>
      </c>
      <c r="D1845">
        <v>-0.63200000000000001</v>
      </c>
      <c r="E1845">
        <v>33</v>
      </c>
      <c r="F1845">
        <v>1.88</v>
      </c>
      <c r="G1845">
        <v>5.4199999999999998E-2</v>
      </c>
      <c r="H1845">
        <v>0</v>
      </c>
      <c r="J1845">
        <v>1</v>
      </c>
      <c r="K1845">
        <f>YEAR(NetflixData[[#This Row],[date]])</f>
        <v>2023</v>
      </c>
      <c r="L1845" t="str">
        <f>TEXT(NetflixData[[#This Row],[date]],"mmm")</f>
        <v>Sep</v>
      </c>
      <c r="M1845" t="str">
        <f>TEXT(NetflixData[[#This Row],[date]],"mmm yyyy")</f>
        <v>Sep 2023</v>
      </c>
      <c r="N1845" t="str">
        <f t="shared" si="84"/>
        <v>Non-Trading Day</v>
      </c>
      <c r="O1845" t="str">
        <f t="shared" si="85"/>
        <v>Negative</v>
      </c>
      <c r="P1845" t="str">
        <f t="shared" si="86"/>
        <v>Neutral</v>
      </c>
    </row>
    <row r="1846" spans="1:16" x14ac:dyDescent="0.3">
      <c r="A1846" s="1">
        <v>45199</v>
      </c>
      <c r="B1846">
        <v>37.76</v>
      </c>
      <c r="C1846">
        <v>0</v>
      </c>
      <c r="D1846">
        <v>0</v>
      </c>
      <c r="E1846">
        <v>29</v>
      </c>
      <c r="F1846">
        <v>2.14</v>
      </c>
      <c r="G1846">
        <v>-5.57E-2</v>
      </c>
      <c r="H1846">
        <v>0</v>
      </c>
      <c r="J1846">
        <v>0</v>
      </c>
      <c r="K1846">
        <f>YEAR(NetflixData[[#This Row],[date]])</f>
        <v>2023</v>
      </c>
      <c r="L1846" t="str">
        <f>TEXT(NetflixData[[#This Row],[date]],"mmm")</f>
        <v>Sep</v>
      </c>
      <c r="M1846" t="str">
        <f>TEXT(NetflixData[[#This Row],[date]],"mmm yyyy")</f>
        <v>Sep 2023</v>
      </c>
      <c r="N1846" t="str">
        <f t="shared" si="84"/>
        <v>Non-Trading Day</v>
      </c>
      <c r="O1846" t="str">
        <f t="shared" si="85"/>
        <v>No Change</v>
      </c>
      <c r="P1846" t="str">
        <f t="shared" si="86"/>
        <v>Neutral</v>
      </c>
    </row>
    <row r="1847" spans="1:16" x14ac:dyDescent="0.3">
      <c r="A1847" s="1">
        <v>45200</v>
      </c>
      <c r="B1847">
        <v>37.76</v>
      </c>
      <c r="C1847">
        <v>0</v>
      </c>
      <c r="D1847">
        <v>0</v>
      </c>
      <c r="E1847">
        <v>24</v>
      </c>
      <c r="F1847">
        <v>2.29</v>
      </c>
      <c r="G1847">
        <v>0.1164</v>
      </c>
      <c r="H1847">
        <v>0</v>
      </c>
      <c r="J1847">
        <v>0</v>
      </c>
      <c r="K1847">
        <f>YEAR(NetflixData[[#This Row],[date]])</f>
        <v>2023</v>
      </c>
      <c r="L1847" t="str">
        <f>TEXT(NetflixData[[#This Row],[date]],"mmm")</f>
        <v>Oct</v>
      </c>
      <c r="M1847" t="str">
        <f>TEXT(NetflixData[[#This Row],[date]],"mmm yyyy")</f>
        <v>Oct 2023</v>
      </c>
      <c r="N1847" t="str">
        <f t="shared" si="84"/>
        <v>Trading Day</v>
      </c>
      <c r="O1847" t="str">
        <f t="shared" si="85"/>
        <v>No Change</v>
      </c>
      <c r="P1847" t="str">
        <f t="shared" si="86"/>
        <v>Positive</v>
      </c>
    </row>
    <row r="1848" spans="1:16" x14ac:dyDescent="0.3">
      <c r="A1848" s="1">
        <v>45201</v>
      </c>
      <c r="B1848">
        <v>38.03</v>
      </c>
      <c r="C1848">
        <v>31021000</v>
      </c>
      <c r="D1848">
        <v>0.755</v>
      </c>
      <c r="E1848">
        <v>28</v>
      </c>
      <c r="F1848">
        <v>2.36</v>
      </c>
      <c r="G1848">
        <v>1.04E-2</v>
      </c>
      <c r="H1848">
        <v>0</v>
      </c>
      <c r="J1848">
        <v>1</v>
      </c>
      <c r="K1848">
        <f>YEAR(NetflixData[[#This Row],[date]])</f>
        <v>2023</v>
      </c>
      <c r="L1848" t="str">
        <f>TEXT(NetflixData[[#This Row],[date]],"mmm")</f>
        <v>Oct</v>
      </c>
      <c r="M1848" t="str">
        <f>TEXT(NetflixData[[#This Row],[date]],"mmm yyyy")</f>
        <v>Oct 2023</v>
      </c>
      <c r="N1848" t="str">
        <f t="shared" si="84"/>
        <v>Trading Day</v>
      </c>
      <c r="O1848" t="str">
        <f t="shared" si="85"/>
        <v>Positive</v>
      </c>
      <c r="P1848" t="str">
        <f t="shared" si="86"/>
        <v>Neutral</v>
      </c>
    </row>
    <row r="1849" spans="1:16" x14ac:dyDescent="0.3">
      <c r="A1849" s="1">
        <v>45202</v>
      </c>
      <c r="B1849">
        <v>37.67</v>
      </c>
      <c r="C1849">
        <v>88781000</v>
      </c>
      <c r="D1849">
        <v>-9.5000000000000001E-2</v>
      </c>
      <c r="E1849">
        <v>27</v>
      </c>
      <c r="F1849">
        <v>2.48</v>
      </c>
      <c r="G1849">
        <v>0.15870000000000001</v>
      </c>
      <c r="H1849">
        <v>0</v>
      </c>
      <c r="J1849">
        <v>1</v>
      </c>
      <c r="K1849">
        <f>YEAR(NetflixData[[#This Row],[date]])</f>
        <v>2023</v>
      </c>
      <c r="L1849" t="str">
        <f>TEXT(NetflixData[[#This Row],[date]],"mmm")</f>
        <v>Oct</v>
      </c>
      <c r="M1849" t="str">
        <f>TEXT(NetflixData[[#This Row],[date]],"mmm yyyy")</f>
        <v>Oct 2023</v>
      </c>
      <c r="N1849" t="str">
        <f t="shared" si="84"/>
        <v>Trading Day</v>
      </c>
      <c r="O1849" t="str">
        <f t="shared" si="85"/>
        <v>Negative</v>
      </c>
      <c r="P1849" t="str">
        <f t="shared" si="86"/>
        <v>Positive</v>
      </c>
    </row>
    <row r="1850" spans="1:16" x14ac:dyDescent="0.3">
      <c r="A1850" s="1">
        <v>45203</v>
      </c>
      <c r="B1850">
        <v>37.69</v>
      </c>
      <c r="C1850">
        <v>43037000</v>
      </c>
      <c r="D1850">
        <v>0.106</v>
      </c>
      <c r="E1850">
        <v>27</v>
      </c>
      <c r="F1850">
        <v>2.04</v>
      </c>
      <c r="G1850">
        <v>0.30399999999999999</v>
      </c>
      <c r="H1850">
        <v>0</v>
      </c>
      <c r="J1850">
        <v>1</v>
      </c>
      <c r="K1850">
        <f>YEAR(NetflixData[[#This Row],[date]])</f>
        <v>2023</v>
      </c>
      <c r="L1850" t="str">
        <f>TEXT(NetflixData[[#This Row],[date]],"mmm")</f>
        <v>Oct</v>
      </c>
      <c r="M1850" t="str">
        <f>TEXT(NetflixData[[#This Row],[date]],"mmm yyyy")</f>
        <v>Oct 2023</v>
      </c>
      <c r="N1850" t="str">
        <f t="shared" si="84"/>
        <v>Trading Day</v>
      </c>
      <c r="O1850" t="str">
        <f t="shared" si="85"/>
        <v>Positive</v>
      </c>
      <c r="P1850" t="str">
        <f t="shared" si="86"/>
        <v>Positive</v>
      </c>
    </row>
    <row r="1851" spans="1:16" x14ac:dyDescent="0.3">
      <c r="A1851" s="1">
        <v>45204</v>
      </c>
      <c r="B1851">
        <v>37.26</v>
      </c>
      <c r="C1851">
        <v>50348000</v>
      </c>
      <c r="D1851">
        <v>-1.4339999999999999</v>
      </c>
      <c r="E1851">
        <v>24</v>
      </c>
      <c r="F1851">
        <v>2.54</v>
      </c>
      <c r="G1851">
        <v>7.0000000000000007E-2</v>
      </c>
      <c r="H1851">
        <v>0</v>
      </c>
      <c r="J1851">
        <v>1</v>
      </c>
      <c r="K1851">
        <f>YEAR(NetflixData[[#This Row],[date]])</f>
        <v>2023</v>
      </c>
      <c r="L1851" t="str">
        <f>TEXT(NetflixData[[#This Row],[date]],"mmm")</f>
        <v>Oct</v>
      </c>
      <c r="M1851" t="str">
        <f>TEXT(NetflixData[[#This Row],[date]],"mmm yyyy")</f>
        <v>Oct 2023</v>
      </c>
      <c r="N1851" t="str">
        <f t="shared" si="84"/>
        <v>Trading Day</v>
      </c>
      <c r="O1851" t="str">
        <f t="shared" si="85"/>
        <v>Negative</v>
      </c>
      <c r="P1851" t="str">
        <f t="shared" si="86"/>
        <v>Neutral</v>
      </c>
    </row>
    <row r="1852" spans="1:16" x14ac:dyDescent="0.3">
      <c r="A1852" s="1">
        <v>45205</v>
      </c>
      <c r="B1852">
        <v>38.15</v>
      </c>
      <c r="C1852">
        <v>47781000</v>
      </c>
      <c r="D1852">
        <v>3.55</v>
      </c>
      <c r="E1852">
        <v>17</v>
      </c>
      <c r="F1852">
        <v>2.29</v>
      </c>
      <c r="G1852">
        <v>9.2899999999999996E-2</v>
      </c>
      <c r="H1852">
        <v>0</v>
      </c>
      <c r="J1852">
        <v>1</v>
      </c>
      <c r="K1852">
        <f>YEAR(NetflixData[[#This Row],[date]])</f>
        <v>2023</v>
      </c>
      <c r="L1852" t="str">
        <f>TEXT(NetflixData[[#This Row],[date]],"mmm")</f>
        <v>Oct</v>
      </c>
      <c r="M1852" t="str">
        <f>TEXT(NetflixData[[#This Row],[date]],"mmm yyyy")</f>
        <v>Oct 2023</v>
      </c>
      <c r="N1852" t="str">
        <f t="shared" si="84"/>
        <v>Non-Trading Day</v>
      </c>
      <c r="O1852" t="str">
        <f t="shared" si="85"/>
        <v>Positive</v>
      </c>
      <c r="P1852" t="str">
        <f t="shared" si="86"/>
        <v>Neutral</v>
      </c>
    </row>
    <row r="1853" spans="1:16" x14ac:dyDescent="0.3">
      <c r="A1853" s="1">
        <v>45206</v>
      </c>
      <c r="B1853">
        <v>38.15</v>
      </c>
      <c r="C1853">
        <v>0</v>
      </c>
      <c r="D1853">
        <v>0</v>
      </c>
      <c r="E1853">
        <v>25</v>
      </c>
      <c r="F1853">
        <v>2.2799999999999998</v>
      </c>
      <c r="G1853">
        <v>0.22470000000000001</v>
      </c>
      <c r="H1853">
        <v>0</v>
      </c>
      <c r="J1853">
        <v>0</v>
      </c>
      <c r="K1853">
        <f>YEAR(NetflixData[[#This Row],[date]])</f>
        <v>2023</v>
      </c>
      <c r="L1853" t="str">
        <f>TEXT(NetflixData[[#This Row],[date]],"mmm")</f>
        <v>Oct</v>
      </c>
      <c r="M1853" t="str">
        <f>TEXT(NetflixData[[#This Row],[date]],"mmm yyyy")</f>
        <v>Oct 2023</v>
      </c>
      <c r="N1853" t="str">
        <f t="shared" si="84"/>
        <v>Non-Trading Day</v>
      </c>
      <c r="O1853" t="str">
        <f t="shared" si="85"/>
        <v>No Change</v>
      </c>
      <c r="P1853" t="str">
        <f t="shared" si="86"/>
        <v>Positive</v>
      </c>
    </row>
    <row r="1854" spans="1:16" x14ac:dyDescent="0.3">
      <c r="A1854" s="1">
        <v>45207</v>
      </c>
      <c r="B1854">
        <v>38.15</v>
      </c>
      <c r="C1854">
        <v>0</v>
      </c>
      <c r="D1854">
        <v>0</v>
      </c>
      <c r="E1854">
        <v>26</v>
      </c>
      <c r="F1854">
        <v>2.19</v>
      </c>
      <c r="G1854">
        <v>-7.9100000000000004E-2</v>
      </c>
      <c r="H1854">
        <v>0</v>
      </c>
      <c r="J1854">
        <v>0</v>
      </c>
      <c r="K1854">
        <f>YEAR(NetflixData[[#This Row],[date]])</f>
        <v>2023</v>
      </c>
      <c r="L1854" t="str">
        <f>TEXT(NetflixData[[#This Row],[date]],"mmm")</f>
        <v>Oct</v>
      </c>
      <c r="M1854" t="str">
        <f>TEXT(NetflixData[[#This Row],[date]],"mmm yyyy")</f>
        <v>Oct 2023</v>
      </c>
      <c r="N1854" t="str">
        <f t="shared" si="84"/>
        <v>Trading Day</v>
      </c>
      <c r="O1854" t="str">
        <f t="shared" si="85"/>
        <v>No Change</v>
      </c>
      <c r="P1854" t="str">
        <f t="shared" si="86"/>
        <v>Neutral</v>
      </c>
    </row>
    <row r="1855" spans="1:16" x14ac:dyDescent="0.3">
      <c r="A1855" s="1">
        <v>45208</v>
      </c>
      <c r="B1855">
        <v>38.6</v>
      </c>
      <c r="C1855">
        <v>32998000</v>
      </c>
      <c r="D1855">
        <v>2.09</v>
      </c>
      <c r="E1855">
        <v>22</v>
      </c>
      <c r="F1855">
        <v>2.09</v>
      </c>
      <c r="G1855">
        <v>0.12590000000000001</v>
      </c>
      <c r="H1855">
        <v>0</v>
      </c>
      <c r="J1855">
        <v>1</v>
      </c>
      <c r="K1855">
        <f>YEAR(NetflixData[[#This Row],[date]])</f>
        <v>2023</v>
      </c>
      <c r="L1855" t="str">
        <f>TEXT(NetflixData[[#This Row],[date]],"mmm")</f>
        <v>Oct</v>
      </c>
      <c r="M1855" t="str">
        <f>TEXT(NetflixData[[#This Row],[date]],"mmm yyyy")</f>
        <v>Oct 2023</v>
      </c>
      <c r="N1855" t="str">
        <f t="shared" si="84"/>
        <v>Trading Day</v>
      </c>
      <c r="O1855" t="str">
        <f t="shared" si="85"/>
        <v>Positive</v>
      </c>
      <c r="P1855" t="str">
        <f t="shared" si="86"/>
        <v>Positive</v>
      </c>
    </row>
    <row r="1856" spans="1:16" x14ac:dyDescent="0.3">
      <c r="A1856" s="1">
        <v>45209</v>
      </c>
      <c r="B1856">
        <v>37.33</v>
      </c>
      <c r="C1856">
        <v>72889000</v>
      </c>
      <c r="D1856">
        <v>-3.18</v>
      </c>
      <c r="E1856">
        <v>19</v>
      </c>
      <c r="F1856">
        <v>1.42</v>
      </c>
      <c r="G1856">
        <v>-3.61E-2</v>
      </c>
      <c r="H1856">
        <v>0</v>
      </c>
      <c r="J1856">
        <v>1</v>
      </c>
      <c r="K1856">
        <f>YEAR(NetflixData[[#This Row],[date]])</f>
        <v>2023</v>
      </c>
      <c r="L1856" t="str">
        <f>TEXT(NetflixData[[#This Row],[date]],"mmm")</f>
        <v>Oct</v>
      </c>
      <c r="M1856" t="str">
        <f>TEXT(NetflixData[[#This Row],[date]],"mmm yyyy")</f>
        <v>Oct 2023</v>
      </c>
      <c r="N1856" t="str">
        <f t="shared" si="84"/>
        <v>Trading Day</v>
      </c>
      <c r="O1856" t="str">
        <f t="shared" si="85"/>
        <v>Negative</v>
      </c>
      <c r="P1856" t="str">
        <f t="shared" si="86"/>
        <v>Neutral</v>
      </c>
    </row>
    <row r="1857" spans="1:16" x14ac:dyDescent="0.3">
      <c r="A1857" s="1">
        <v>45210</v>
      </c>
      <c r="B1857">
        <v>36.590000000000003</v>
      </c>
      <c r="C1857">
        <v>91514000</v>
      </c>
      <c r="D1857">
        <v>-1.8380000000000001</v>
      </c>
      <c r="E1857">
        <v>27</v>
      </c>
      <c r="F1857">
        <v>2.59</v>
      </c>
      <c r="G1857">
        <v>0.192</v>
      </c>
      <c r="H1857">
        <v>0</v>
      </c>
      <c r="J1857">
        <v>1</v>
      </c>
      <c r="K1857">
        <f>YEAR(NetflixData[[#This Row],[date]])</f>
        <v>2023</v>
      </c>
      <c r="L1857" t="str">
        <f>TEXT(NetflixData[[#This Row],[date]],"mmm")</f>
        <v>Oct</v>
      </c>
      <c r="M1857" t="str">
        <f>TEXT(NetflixData[[#This Row],[date]],"mmm yyyy")</f>
        <v>Oct 2023</v>
      </c>
      <c r="N1857" t="str">
        <f t="shared" si="84"/>
        <v>Trading Day</v>
      </c>
      <c r="O1857" t="str">
        <f t="shared" si="85"/>
        <v>Negative</v>
      </c>
      <c r="P1857" t="str">
        <f t="shared" si="86"/>
        <v>Positive</v>
      </c>
    </row>
    <row r="1858" spans="1:16" x14ac:dyDescent="0.3">
      <c r="A1858" s="1">
        <v>45211</v>
      </c>
      <c r="B1858">
        <v>36.119999999999997</v>
      </c>
      <c r="C1858">
        <v>73761000</v>
      </c>
      <c r="D1858">
        <v>-1.4410000000000001</v>
      </c>
      <c r="E1858">
        <v>22</v>
      </c>
      <c r="F1858">
        <v>2.41</v>
      </c>
      <c r="G1858">
        <v>-4.4400000000000002E-2</v>
      </c>
      <c r="H1858">
        <v>0</v>
      </c>
      <c r="J1858">
        <v>1</v>
      </c>
      <c r="K1858">
        <f>YEAR(NetflixData[[#This Row],[date]])</f>
        <v>2023</v>
      </c>
      <c r="L1858" t="str">
        <f>TEXT(NetflixData[[#This Row],[date]],"mmm")</f>
        <v>Oct</v>
      </c>
      <c r="M1858" t="str">
        <f>TEXT(NetflixData[[#This Row],[date]],"mmm yyyy")</f>
        <v>Oct 2023</v>
      </c>
      <c r="N1858" t="str">
        <f t="shared" ref="N1858:N1921" si="87">IF(J1859=1,"Trading Day","Non-Trading Day")</f>
        <v>Trading Day</v>
      </c>
      <c r="O1858" t="str">
        <f t="shared" ref="O1858:O1921" si="88">IF(D1858&gt;0,"Positive",IF(D1858&lt;0,"Negative","No Change"))</f>
        <v>Negative</v>
      </c>
      <c r="P1858" t="str">
        <f t="shared" ref="P1858:P1921" si="89">IF(G1858&gt;0.1,"Positive",IF(G1858&lt;-0.1,"Negative","Neutral"))</f>
        <v>Neutral</v>
      </c>
    </row>
    <row r="1859" spans="1:16" x14ac:dyDescent="0.3">
      <c r="A1859" s="1">
        <v>45212</v>
      </c>
      <c r="B1859">
        <v>35.57</v>
      </c>
      <c r="C1859">
        <v>63126000</v>
      </c>
      <c r="D1859">
        <v>1.0999999999999999E-2</v>
      </c>
      <c r="E1859">
        <v>21</v>
      </c>
      <c r="F1859">
        <v>1.9</v>
      </c>
      <c r="G1859">
        <v>6.4000000000000003E-3</v>
      </c>
      <c r="H1859">
        <v>0</v>
      </c>
      <c r="J1859">
        <v>1</v>
      </c>
      <c r="K1859">
        <f>YEAR(NetflixData[[#This Row],[date]])</f>
        <v>2023</v>
      </c>
      <c r="L1859" t="str">
        <f>TEXT(NetflixData[[#This Row],[date]],"mmm")</f>
        <v>Oct</v>
      </c>
      <c r="M1859" t="str">
        <f>TEXT(NetflixData[[#This Row],[date]],"mmm yyyy")</f>
        <v>Oct 2023</v>
      </c>
      <c r="N1859" t="str">
        <f t="shared" si="87"/>
        <v>Non-Trading Day</v>
      </c>
      <c r="O1859" t="str">
        <f t="shared" si="88"/>
        <v>Positive</v>
      </c>
      <c r="P1859" t="str">
        <f t="shared" si="89"/>
        <v>Neutral</v>
      </c>
    </row>
    <row r="1860" spans="1:16" x14ac:dyDescent="0.3">
      <c r="A1860" s="1">
        <v>45213</v>
      </c>
      <c r="B1860">
        <v>35.57</v>
      </c>
      <c r="C1860">
        <v>0</v>
      </c>
      <c r="D1860">
        <v>0</v>
      </c>
      <c r="E1860">
        <v>14</v>
      </c>
      <c r="F1860">
        <v>2.0699999999999998</v>
      </c>
      <c r="G1860">
        <v>0.1042</v>
      </c>
      <c r="H1860">
        <v>0</v>
      </c>
      <c r="J1860">
        <v>0</v>
      </c>
      <c r="K1860">
        <f>YEAR(NetflixData[[#This Row],[date]])</f>
        <v>2023</v>
      </c>
      <c r="L1860" t="str">
        <f>TEXT(NetflixData[[#This Row],[date]],"mmm")</f>
        <v>Oct</v>
      </c>
      <c r="M1860" t="str">
        <f>TEXT(NetflixData[[#This Row],[date]],"mmm yyyy")</f>
        <v>Oct 2023</v>
      </c>
      <c r="N1860" t="str">
        <f t="shared" si="87"/>
        <v>Non-Trading Day</v>
      </c>
      <c r="O1860" t="str">
        <f t="shared" si="88"/>
        <v>No Change</v>
      </c>
      <c r="P1860" t="str">
        <f t="shared" si="89"/>
        <v>Positive</v>
      </c>
    </row>
    <row r="1861" spans="1:16" x14ac:dyDescent="0.3">
      <c r="A1861" s="1">
        <v>45214</v>
      </c>
      <c r="B1861">
        <v>35.57</v>
      </c>
      <c r="C1861">
        <v>0</v>
      </c>
      <c r="D1861">
        <v>0</v>
      </c>
      <c r="E1861">
        <v>35</v>
      </c>
      <c r="F1861">
        <v>2.06</v>
      </c>
      <c r="G1861">
        <v>-4.1200000000000001E-2</v>
      </c>
      <c r="H1861">
        <v>0</v>
      </c>
      <c r="J1861">
        <v>0</v>
      </c>
      <c r="K1861">
        <f>YEAR(NetflixData[[#This Row],[date]])</f>
        <v>2023</v>
      </c>
      <c r="L1861" t="str">
        <f>TEXT(NetflixData[[#This Row],[date]],"mmm")</f>
        <v>Oct</v>
      </c>
      <c r="M1861" t="str">
        <f>TEXT(NetflixData[[#This Row],[date]],"mmm yyyy")</f>
        <v>Oct 2023</v>
      </c>
      <c r="N1861" t="str">
        <f t="shared" si="87"/>
        <v>Trading Day</v>
      </c>
      <c r="O1861" t="str">
        <f t="shared" si="88"/>
        <v>No Change</v>
      </c>
      <c r="P1861" t="str">
        <f t="shared" si="89"/>
        <v>Neutral</v>
      </c>
    </row>
    <row r="1862" spans="1:16" x14ac:dyDescent="0.3">
      <c r="A1862" s="1">
        <v>45215</v>
      </c>
      <c r="B1862">
        <v>36.08</v>
      </c>
      <c r="C1862">
        <v>51289000</v>
      </c>
      <c r="D1862">
        <v>1.294</v>
      </c>
      <c r="E1862">
        <v>24</v>
      </c>
      <c r="F1862">
        <v>2.25</v>
      </c>
      <c r="G1862">
        <v>3.8199999999999998E-2</v>
      </c>
      <c r="H1862">
        <v>0</v>
      </c>
      <c r="J1862">
        <v>1</v>
      </c>
      <c r="K1862">
        <f>YEAR(NetflixData[[#This Row],[date]])</f>
        <v>2023</v>
      </c>
      <c r="L1862" t="str">
        <f>TEXT(NetflixData[[#This Row],[date]],"mmm")</f>
        <v>Oct</v>
      </c>
      <c r="M1862" t="str">
        <f>TEXT(NetflixData[[#This Row],[date]],"mmm yyyy")</f>
        <v>Oct 2023</v>
      </c>
      <c r="N1862" t="str">
        <f t="shared" si="87"/>
        <v>Trading Day</v>
      </c>
      <c r="O1862" t="str">
        <f t="shared" si="88"/>
        <v>Positive</v>
      </c>
      <c r="P1862" t="str">
        <f t="shared" si="89"/>
        <v>Neutral</v>
      </c>
    </row>
    <row r="1863" spans="1:16" x14ac:dyDescent="0.3">
      <c r="A1863" s="1">
        <v>45216</v>
      </c>
      <c r="B1863">
        <v>35.57</v>
      </c>
      <c r="C1863">
        <v>59084000</v>
      </c>
      <c r="D1863">
        <v>-1.49</v>
      </c>
      <c r="E1863">
        <v>24</v>
      </c>
      <c r="F1863">
        <v>2.21</v>
      </c>
      <c r="G1863">
        <v>1.4200000000000001E-2</v>
      </c>
      <c r="H1863">
        <v>0</v>
      </c>
      <c r="J1863">
        <v>1</v>
      </c>
      <c r="K1863">
        <f>YEAR(NetflixData[[#This Row],[date]])</f>
        <v>2023</v>
      </c>
      <c r="L1863" t="str">
        <f>TEXT(NetflixData[[#This Row],[date]],"mmm")</f>
        <v>Oct</v>
      </c>
      <c r="M1863" t="str">
        <f>TEXT(NetflixData[[#This Row],[date]],"mmm yyyy")</f>
        <v>Oct 2023</v>
      </c>
      <c r="N1863" t="str">
        <f t="shared" si="87"/>
        <v>Trading Day</v>
      </c>
      <c r="O1863" t="str">
        <f t="shared" si="88"/>
        <v>Negative</v>
      </c>
      <c r="P1863" t="str">
        <f t="shared" si="89"/>
        <v>Neutral</v>
      </c>
    </row>
    <row r="1864" spans="1:16" x14ac:dyDescent="0.3">
      <c r="A1864" s="1">
        <v>45217</v>
      </c>
      <c r="B1864">
        <v>34.619999999999997</v>
      </c>
      <c r="C1864">
        <v>114296000</v>
      </c>
      <c r="D1864">
        <v>-1.37</v>
      </c>
      <c r="E1864">
        <v>19</v>
      </c>
      <c r="F1864">
        <v>2.11</v>
      </c>
      <c r="G1864">
        <v>-7.3499999999999996E-2</v>
      </c>
      <c r="H1864">
        <v>0</v>
      </c>
      <c r="J1864">
        <v>1</v>
      </c>
      <c r="K1864">
        <f>YEAR(NetflixData[[#This Row],[date]])</f>
        <v>2023</v>
      </c>
      <c r="L1864" t="str">
        <f>TEXT(NetflixData[[#This Row],[date]],"mmm")</f>
        <v>Oct</v>
      </c>
      <c r="M1864" t="str">
        <f>TEXT(NetflixData[[#This Row],[date]],"mmm yyyy")</f>
        <v>Oct 2023</v>
      </c>
      <c r="N1864" t="str">
        <f t="shared" si="87"/>
        <v>Trading Day</v>
      </c>
      <c r="O1864" t="str">
        <f t="shared" si="88"/>
        <v>Negative</v>
      </c>
      <c r="P1864" t="str">
        <f t="shared" si="89"/>
        <v>Neutral</v>
      </c>
    </row>
    <row r="1865" spans="1:16" x14ac:dyDescent="0.3">
      <c r="A1865" s="1">
        <v>45218</v>
      </c>
      <c r="B1865">
        <v>40.18</v>
      </c>
      <c r="C1865">
        <v>280744000</v>
      </c>
      <c r="D1865">
        <v>-0.73399999999999999</v>
      </c>
      <c r="E1865">
        <v>32</v>
      </c>
      <c r="F1865">
        <v>1.75</v>
      </c>
      <c r="G1865">
        <v>-7.7100000000000002E-2</v>
      </c>
      <c r="H1865">
        <v>0</v>
      </c>
      <c r="J1865">
        <v>1</v>
      </c>
      <c r="K1865">
        <f>YEAR(NetflixData[[#This Row],[date]])</f>
        <v>2023</v>
      </c>
      <c r="L1865" t="str">
        <f>TEXT(NetflixData[[#This Row],[date]],"mmm")</f>
        <v>Oct</v>
      </c>
      <c r="M1865" t="str">
        <f>TEXT(NetflixData[[#This Row],[date]],"mmm yyyy")</f>
        <v>Oct 2023</v>
      </c>
      <c r="N1865" t="str">
        <f t="shared" si="87"/>
        <v>Trading Day</v>
      </c>
      <c r="O1865" t="str">
        <f t="shared" si="88"/>
        <v>Negative</v>
      </c>
      <c r="P1865" t="str">
        <f t="shared" si="89"/>
        <v>Neutral</v>
      </c>
    </row>
    <row r="1866" spans="1:16" x14ac:dyDescent="0.3">
      <c r="A1866" s="1">
        <v>45219</v>
      </c>
      <c r="B1866">
        <v>40.1</v>
      </c>
      <c r="C1866">
        <v>127829000</v>
      </c>
      <c r="D1866">
        <v>-1.151</v>
      </c>
      <c r="E1866">
        <v>21</v>
      </c>
      <c r="F1866">
        <v>2.81</v>
      </c>
      <c r="G1866">
        <v>-2.5999999999999999E-3</v>
      </c>
      <c r="H1866">
        <v>0</v>
      </c>
      <c r="J1866">
        <v>1</v>
      </c>
      <c r="K1866">
        <f>YEAR(NetflixData[[#This Row],[date]])</f>
        <v>2023</v>
      </c>
      <c r="L1866" t="str">
        <f>TEXT(NetflixData[[#This Row],[date]],"mmm")</f>
        <v>Oct</v>
      </c>
      <c r="M1866" t="str">
        <f>TEXT(NetflixData[[#This Row],[date]],"mmm yyyy")</f>
        <v>Oct 2023</v>
      </c>
      <c r="N1866" t="str">
        <f t="shared" si="87"/>
        <v>Non-Trading Day</v>
      </c>
      <c r="O1866" t="str">
        <f t="shared" si="88"/>
        <v>Negative</v>
      </c>
      <c r="P1866" t="str">
        <f t="shared" si="89"/>
        <v>Neutral</v>
      </c>
    </row>
    <row r="1867" spans="1:16" x14ac:dyDescent="0.3">
      <c r="A1867" s="1">
        <v>45220</v>
      </c>
      <c r="B1867">
        <v>40.1</v>
      </c>
      <c r="C1867">
        <v>0</v>
      </c>
      <c r="D1867">
        <v>0</v>
      </c>
      <c r="E1867">
        <v>19</v>
      </c>
      <c r="F1867">
        <v>2.5299999999999998</v>
      </c>
      <c r="G1867">
        <v>0.12770000000000001</v>
      </c>
      <c r="H1867">
        <v>0</v>
      </c>
      <c r="J1867">
        <v>0</v>
      </c>
      <c r="K1867">
        <f>YEAR(NetflixData[[#This Row],[date]])</f>
        <v>2023</v>
      </c>
      <c r="L1867" t="str">
        <f>TEXT(NetflixData[[#This Row],[date]],"mmm")</f>
        <v>Oct</v>
      </c>
      <c r="M1867" t="str">
        <f>TEXT(NetflixData[[#This Row],[date]],"mmm yyyy")</f>
        <v>Oct 2023</v>
      </c>
      <c r="N1867" t="str">
        <f t="shared" si="87"/>
        <v>Non-Trading Day</v>
      </c>
      <c r="O1867" t="str">
        <f t="shared" si="88"/>
        <v>No Change</v>
      </c>
      <c r="P1867" t="str">
        <f t="shared" si="89"/>
        <v>Positive</v>
      </c>
    </row>
    <row r="1868" spans="1:16" x14ac:dyDescent="0.3">
      <c r="A1868" s="1">
        <v>45221</v>
      </c>
      <c r="B1868">
        <v>40.1</v>
      </c>
      <c r="C1868">
        <v>0</v>
      </c>
      <c r="D1868">
        <v>0</v>
      </c>
      <c r="E1868">
        <v>26</v>
      </c>
      <c r="F1868">
        <v>1.92</v>
      </c>
      <c r="G1868">
        <v>4.4900000000000002E-2</v>
      </c>
      <c r="H1868">
        <v>0</v>
      </c>
      <c r="J1868">
        <v>0</v>
      </c>
      <c r="K1868">
        <f>YEAR(NetflixData[[#This Row],[date]])</f>
        <v>2023</v>
      </c>
      <c r="L1868" t="str">
        <f>TEXT(NetflixData[[#This Row],[date]],"mmm")</f>
        <v>Oct</v>
      </c>
      <c r="M1868" t="str">
        <f>TEXT(NetflixData[[#This Row],[date]],"mmm yyyy")</f>
        <v>Oct 2023</v>
      </c>
      <c r="N1868" t="str">
        <f t="shared" si="87"/>
        <v>Trading Day</v>
      </c>
      <c r="O1868" t="str">
        <f t="shared" si="88"/>
        <v>No Change</v>
      </c>
      <c r="P1868" t="str">
        <f t="shared" si="89"/>
        <v>Neutral</v>
      </c>
    </row>
    <row r="1869" spans="1:16" x14ac:dyDescent="0.3">
      <c r="A1869" s="1">
        <v>45222</v>
      </c>
      <c r="B1869">
        <v>40.68</v>
      </c>
      <c r="C1869">
        <v>73900000</v>
      </c>
      <c r="D1869">
        <v>0.873</v>
      </c>
      <c r="E1869">
        <v>27</v>
      </c>
      <c r="F1869">
        <v>2.7</v>
      </c>
      <c r="G1869">
        <v>0.1113</v>
      </c>
      <c r="H1869">
        <v>0</v>
      </c>
      <c r="J1869">
        <v>1</v>
      </c>
      <c r="K1869">
        <f>YEAR(NetflixData[[#This Row],[date]])</f>
        <v>2023</v>
      </c>
      <c r="L1869" t="str">
        <f>TEXT(NetflixData[[#This Row],[date]],"mmm")</f>
        <v>Oct</v>
      </c>
      <c r="M1869" t="str">
        <f>TEXT(NetflixData[[#This Row],[date]],"mmm yyyy")</f>
        <v>Oct 2023</v>
      </c>
      <c r="N1869" t="str">
        <f t="shared" si="87"/>
        <v>Trading Day</v>
      </c>
      <c r="O1869" t="str">
        <f t="shared" si="88"/>
        <v>Positive</v>
      </c>
      <c r="P1869" t="str">
        <f t="shared" si="89"/>
        <v>Positive</v>
      </c>
    </row>
    <row r="1870" spans="1:16" x14ac:dyDescent="0.3">
      <c r="A1870" s="1">
        <v>45223</v>
      </c>
      <c r="B1870">
        <v>41.37</v>
      </c>
      <c r="C1870">
        <v>64592000</v>
      </c>
      <c r="D1870">
        <v>0.98899999999999999</v>
      </c>
      <c r="E1870">
        <v>15</v>
      </c>
      <c r="F1870">
        <v>2.33</v>
      </c>
      <c r="G1870">
        <v>-5.4600000000000003E-2</v>
      </c>
      <c r="H1870">
        <v>0</v>
      </c>
      <c r="J1870">
        <v>1</v>
      </c>
      <c r="K1870">
        <f>YEAR(NetflixData[[#This Row],[date]])</f>
        <v>2023</v>
      </c>
      <c r="L1870" t="str">
        <f>TEXT(NetflixData[[#This Row],[date]],"mmm")</f>
        <v>Oct</v>
      </c>
      <c r="M1870" t="str">
        <f>TEXT(NetflixData[[#This Row],[date]],"mmm yyyy")</f>
        <v>Oct 2023</v>
      </c>
      <c r="N1870" t="str">
        <f t="shared" si="87"/>
        <v>Trading Day</v>
      </c>
      <c r="O1870" t="str">
        <f t="shared" si="88"/>
        <v>Positive</v>
      </c>
      <c r="P1870" t="str">
        <f t="shared" si="89"/>
        <v>Neutral</v>
      </c>
    </row>
    <row r="1871" spans="1:16" x14ac:dyDescent="0.3">
      <c r="A1871" s="1">
        <v>45224</v>
      </c>
      <c r="B1871">
        <v>41.12</v>
      </c>
      <c r="C1871">
        <v>62996000</v>
      </c>
      <c r="D1871">
        <v>-1.147</v>
      </c>
      <c r="E1871">
        <v>16</v>
      </c>
      <c r="F1871">
        <v>2.5</v>
      </c>
      <c r="G1871">
        <v>0.13519999999999999</v>
      </c>
      <c r="H1871">
        <v>0</v>
      </c>
      <c r="J1871">
        <v>1</v>
      </c>
      <c r="K1871">
        <f>YEAR(NetflixData[[#This Row],[date]])</f>
        <v>2023</v>
      </c>
      <c r="L1871" t="str">
        <f>TEXT(NetflixData[[#This Row],[date]],"mmm")</f>
        <v>Oct</v>
      </c>
      <c r="M1871" t="str">
        <f>TEXT(NetflixData[[#This Row],[date]],"mmm yyyy")</f>
        <v>Oct 2023</v>
      </c>
      <c r="N1871" t="str">
        <f t="shared" si="87"/>
        <v>Trading Day</v>
      </c>
      <c r="O1871" t="str">
        <f t="shared" si="88"/>
        <v>Negative</v>
      </c>
      <c r="P1871" t="str">
        <f t="shared" si="89"/>
        <v>Positive</v>
      </c>
    </row>
    <row r="1872" spans="1:16" x14ac:dyDescent="0.3">
      <c r="A1872" s="1">
        <v>45225</v>
      </c>
      <c r="B1872">
        <v>40.35</v>
      </c>
      <c r="C1872">
        <v>68497000</v>
      </c>
      <c r="D1872">
        <v>-1.915</v>
      </c>
      <c r="E1872">
        <v>23</v>
      </c>
      <c r="F1872">
        <v>2.4300000000000002</v>
      </c>
      <c r="G1872">
        <v>-5.4999999999999997E-3</v>
      </c>
      <c r="H1872">
        <v>0</v>
      </c>
      <c r="J1872">
        <v>1</v>
      </c>
      <c r="K1872">
        <f>YEAR(NetflixData[[#This Row],[date]])</f>
        <v>2023</v>
      </c>
      <c r="L1872" t="str">
        <f>TEXT(NetflixData[[#This Row],[date]],"mmm")</f>
        <v>Oct</v>
      </c>
      <c r="M1872" t="str">
        <f>TEXT(NetflixData[[#This Row],[date]],"mmm yyyy")</f>
        <v>Oct 2023</v>
      </c>
      <c r="N1872" t="str">
        <f t="shared" si="87"/>
        <v>Trading Day</v>
      </c>
      <c r="O1872" t="str">
        <f t="shared" si="88"/>
        <v>Negative</v>
      </c>
      <c r="P1872" t="str">
        <f t="shared" si="89"/>
        <v>Neutral</v>
      </c>
    </row>
    <row r="1873" spans="1:16" x14ac:dyDescent="0.3">
      <c r="A1873" s="1">
        <v>45226</v>
      </c>
      <c r="B1873">
        <v>39.79</v>
      </c>
      <c r="C1873">
        <v>49976000</v>
      </c>
      <c r="D1873">
        <v>-2.1040000000000001</v>
      </c>
      <c r="E1873">
        <v>25</v>
      </c>
      <c r="F1873">
        <v>2</v>
      </c>
      <c r="G1873">
        <v>-0.1166</v>
      </c>
      <c r="H1873">
        <v>0</v>
      </c>
      <c r="J1873">
        <v>1</v>
      </c>
      <c r="K1873">
        <f>YEAR(NetflixData[[#This Row],[date]])</f>
        <v>2023</v>
      </c>
      <c r="L1873" t="str">
        <f>TEXT(NetflixData[[#This Row],[date]],"mmm")</f>
        <v>Oct</v>
      </c>
      <c r="M1873" t="str">
        <f>TEXT(NetflixData[[#This Row],[date]],"mmm yyyy")</f>
        <v>Oct 2023</v>
      </c>
      <c r="N1873" t="str">
        <f t="shared" si="87"/>
        <v>Non-Trading Day</v>
      </c>
      <c r="O1873" t="str">
        <f t="shared" si="88"/>
        <v>Negative</v>
      </c>
      <c r="P1873" t="str">
        <f t="shared" si="89"/>
        <v>Negative</v>
      </c>
    </row>
    <row r="1874" spans="1:16" x14ac:dyDescent="0.3">
      <c r="A1874" s="1">
        <v>45227</v>
      </c>
      <c r="B1874">
        <v>39.79</v>
      </c>
      <c r="C1874">
        <v>0</v>
      </c>
      <c r="D1874">
        <v>0</v>
      </c>
      <c r="E1874">
        <v>21</v>
      </c>
      <c r="F1874">
        <v>2.19</v>
      </c>
      <c r="G1874">
        <v>0.1081</v>
      </c>
      <c r="H1874">
        <v>0</v>
      </c>
      <c r="J1874">
        <v>0</v>
      </c>
      <c r="K1874">
        <f>YEAR(NetflixData[[#This Row],[date]])</f>
        <v>2023</v>
      </c>
      <c r="L1874" t="str">
        <f>TEXT(NetflixData[[#This Row],[date]],"mmm")</f>
        <v>Oct</v>
      </c>
      <c r="M1874" t="str">
        <f>TEXT(NetflixData[[#This Row],[date]],"mmm yyyy")</f>
        <v>Oct 2023</v>
      </c>
      <c r="N1874" t="str">
        <f t="shared" si="87"/>
        <v>Non-Trading Day</v>
      </c>
      <c r="O1874" t="str">
        <f t="shared" si="88"/>
        <v>No Change</v>
      </c>
      <c r="P1874" t="str">
        <f t="shared" si="89"/>
        <v>Positive</v>
      </c>
    </row>
    <row r="1875" spans="1:16" x14ac:dyDescent="0.3">
      <c r="A1875" s="1">
        <v>45228</v>
      </c>
      <c r="B1875">
        <v>39.79</v>
      </c>
      <c r="C1875">
        <v>0</v>
      </c>
      <c r="D1875">
        <v>0</v>
      </c>
      <c r="E1875">
        <v>21</v>
      </c>
      <c r="F1875">
        <v>2.14</v>
      </c>
      <c r="G1875">
        <v>-4.4000000000000003E-3</v>
      </c>
      <c r="H1875">
        <v>0</v>
      </c>
      <c r="J1875">
        <v>0</v>
      </c>
      <c r="K1875">
        <f>YEAR(NetflixData[[#This Row],[date]])</f>
        <v>2023</v>
      </c>
      <c r="L1875" t="str">
        <f>TEXT(NetflixData[[#This Row],[date]],"mmm")</f>
        <v>Oct</v>
      </c>
      <c r="M1875" t="str">
        <f>TEXT(NetflixData[[#This Row],[date]],"mmm yyyy")</f>
        <v>Oct 2023</v>
      </c>
      <c r="N1875" t="str">
        <f t="shared" si="87"/>
        <v>Trading Day</v>
      </c>
      <c r="O1875" t="str">
        <f t="shared" si="88"/>
        <v>No Change</v>
      </c>
      <c r="P1875" t="str">
        <f t="shared" si="89"/>
        <v>Neutral</v>
      </c>
    </row>
    <row r="1876" spans="1:16" x14ac:dyDescent="0.3">
      <c r="A1876" s="1">
        <v>45229</v>
      </c>
      <c r="B1876">
        <v>41.01</v>
      </c>
      <c r="C1876">
        <v>53171000</v>
      </c>
      <c r="D1876">
        <v>1.921</v>
      </c>
      <c r="E1876">
        <v>23</v>
      </c>
      <c r="F1876">
        <v>2.57</v>
      </c>
      <c r="G1876">
        <v>0.1192</v>
      </c>
      <c r="H1876">
        <v>0</v>
      </c>
      <c r="J1876">
        <v>1</v>
      </c>
      <c r="K1876">
        <f>YEAR(NetflixData[[#This Row],[date]])</f>
        <v>2023</v>
      </c>
      <c r="L1876" t="str">
        <f>TEXT(NetflixData[[#This Row],[date]],"mmm")</f>
        <v>Oct</v>
      </c>
      <c r="M1876" t="str">
        <f>TEXT(NetflixData[[#This Row],[date]],"mmm yyyy")</f>
        <v>Oct 2023</v>
      </c>
      <c r="N1876" t="str">
        <f t="shared" si="87"/>
        <v>Trading Day</v>
      </c>
      <c r="O1876" t="str">
        <f t="shared" si="88"/>
        <v>Positive</v>
      </c>
      <c r="P1876" t="str">
        <f t="shared" si="89"/>
        <v>Positive</v>
      </c>
    </row>
    <row r="1877" spans="1:16" x14ac:dyDescent="0.3">
      <c r="A1877" s="1">
        <v>45230</v>
      </c>
      <c r="B1877">
        <v>41.17</v>
      </c>
      <c r="C1877">
        <v>38776000</v>
      </c>
      <c r="D1877">
        <v>0.59899999999999998</v>
      </c>
      <c r="E1877">
        <v>27</v>
      </c>
      <c r="F1877">
        <v>2.2999999999999998</v>
      </c>
      <c r="G1877">
        <v>1.8100000000000002E-2</v>
      </c>
      <c r="H1877">
        <v>0</v>
      </c>
      <c r="J1877">
        <v>1</v>
      </c>
      <c r="K1877">
        <f>YEAR(NetflixData[[#This Row],[date]])</f>
        <v>2023</v>
      </c>
      <c r="L1877" t="str">
        <f>TEXT(NetflixData[[#This Row],[date]],"mmm")</f>
        <v>Oct</v>
      </c>
      <c r="M1877" t="str">
        <f>TEXT(NetflixData[[#This Row],[date]],"mmm yyyy")</f>
        <v>Oct 2023</v>
      </c>
      <c r="N1877" t="str">
        <f t="shared" si="87"/>
        <v>Trading Day</v>
      </c>
      <c r="O1877" t="str">
        <f t="shared" si="88"/>
        <v>Positive</v>
      </c>
      <c r="P1877" t="str">
        <f t="shared" si="89"/>
        <v>Neutral</v>
      </c>
    </row>
    <row r="1878" spans="1:16" x14ac:dyDescent="0.3">
      <c r="A1878" s="1">
        <v>45231</v>
      </c>
      <c r="B1878">
        <v>42.02</v>
      </c>
      <c r="C1878">
        <v>48061000</v>
      </c>
      <c r="D1878">
        <v>1.3069999999999999</v>
      </c>
      <c r="E1878">
        <v>18</v>
      </c>
      <c r="F1878">
        <v>1.56</v>
      </c>
      <c r="G1878">
        <v>-0.17030000000000001</v>
      </c>
      <c r="H1878">
        <v>0</v>
      </c>
      <c r="J1878">
        <v>1</v>
      </c>
      <c r="K1878">
        <f>YEAR(NetflixData[[#This Row],[date]])</f>
        <v>2023</v>
      </c>
      <c r="L1878" t="str">
        <f>TEXT(NetflixData[[#This Row],[date]],"mmm")</f>
        <v>Nov</v>
      </c>
      <c r="M1878" t="str">
        <f>TEXT(NetflixData[[#This Row],[date]],"mmm yyyy")</f>
        <v>Nov 2023</v>
      </c>
      <c r="N1878" t="str">
        <f t="shared" si="87"/>
        <v>Trading Day</v>
      </c>
      <c r="O1878" t="str">
        <f t="shared" si="88"/>
        <v>Positive</v>
      </c>
      <c r="P1878" t="str">
        <f t="shared" si="89"/>
        <v>Negative</v>
      </c>
    </row>
    <row r="1879" spans="1:16" x14ac:dyDescent="0.3">
      <c r="A1879" s="1">
        <v>45232</v>
      </c>
      <c r="B1879">
        <v>42.47</v>
      </c>
      <c r="C1879">
        <v>44760000</v>
      </c>
      <c r="D1879">
        <v>0.84099999999999997</v>
      </c>
      <c r="E1879">
        <v>26</v>
      </c>
      <c r="F1879">
        <v>2</v>
      </c>
      <c r="G1879">
        <v>0.1368</v>
      </c>
      <c r="H1879">
        <v>0</v>
      </c>
      <c r="J1879">
        <v>1</v>
      </c>
      <c r="K1879">
        <f>YEAR(NetflixData[[#This Row],[date]])</f>
        <v>2023</v>
      </c>
      <c r="L1879" t="str">
        <f>TEXT(NetflixData[[#This Row],[date]],"mmm")</f>
        <v>Nov</v>
      </c>
      <c r="M1879" t="str">
        <f>TEXT(NetflixData[[#This Row],[date]],"mmm yyyy")</f>
        <v>Nov 2023</v>
      </c>
      <c r="N1879" t="str">
        <f t="shared" si="87"/>
        <v>Trading Day</v>
      </c>
      <c r="O1879" t="str">
        <f t="shared" si="88"/>
        <v>Positive</v>
      </c>
      <c r="P1879" t="str">
        <f t="shared" si="89"/>
        <v>Positive</v>
      </c>
    </row>
    <row r="1880" spans="1:16" x14ac:dyDescent="0.3">
      <c r="A1880" s="1">
        <v>45233</v>
      </c>
      <c r="B1880">
        <v>43.24</v>
      </c>
      <c r="C1880">
        <v>36671000</v>
      </c>
      <c r="D1880">
        <v>0.84</v>
      </c>
      <c r="E1880">
        <v>24</v>
      </c>
      <c r="F1880">
        <v>3.04</v>
      </c>
      <c r="G1880">
        <v>0.31719999999999998</v>
      </c>
      <c r="H1880">
        <v>0</v>
      </c>
      <c r="J1880">
        <v>1</v>
      </c>
      <c r="K1880">
        <f>YEAR(NetflixData[[#This Row],[date]])</f>
        <v>2023</v>
      </c>
      <c r="L1880" t="str">
        <f>TEXT(NetflixData[[#This Row],[date]],"mmm")</f>
        <v>Nov</v>
      </c>
      <c r="M1880" t="str">
        <f>TEXT(NetflixData[[#This Row],[date]],"mmm yyyy")</f>
        <v>Nov 2023</v>
      </c>
      <c r="N1880" t="str">
        <f t="shared" si="87"/>
        <v>Non-Trading Day</v>
      </c>
      <c r="O1880" t="str">
        <f t="shared" si="88"/>
        <v>Positive</v>
      </c>
      <c r="P1880" t="str">
        <f t="shared" si="89"/>
        <v>Positive</v>
      </c>
    </row>
    <row r="1881" spans="1:16" x14ac:dyDescent="0.3">
      <c r="A1881" s="1">
        <v>45234</v>
      </c>
      <c r="B1881">
        <v>43.24</v>
      </c>
      <c r="C1881">
        <v>0</v>
      </c>
      <c r="D1881">
        <v>0</v>
      </c>
      <c r="E1881">
        <v>22</v>
      </c>
      <c r="F1881">
        <v>2.27</v>
      </c>
      <c r="G1881">
        <v>8.4199999999999997E-2</v>
      </c>
      <c r="H1881">
        <v>0</v>
      </c>
      <c r="J1881">
        <v>0</v>
      </c>
      <c r="K1881">
        <f>YEAR(NetflixData[[#This Row],[date]])</f>
        <v>2023</v>
      </c>
      <c r="L1881" t="str">
        <f>TEXT(NetflixData[[#This Row],[date]],"mmm")</f>
        <v>Nov</v>
      </c>
      <c r="M1881" t="str">
        <f>TEXT(NetflixData[[#This Row],[date]],"mmm yyyy")</f>
        <v>Nov 2023</v>
      </c>
      <c r="N1881" t="str">
        <f t="shared" si="87"/>
        <v>Non-Trading Day</v>
      </c>
      <c r="O1881" t="str">
        <f t="shared" si="88"/>
        <v>No Change</v>
      </c>
      <c r="P1881" t="str">
        <f t="shared" si="89"/>
        <v>Neutral</v>
      </c>
    </row>
    <row r="1882" spans="1:16" x14ac:dyDescent="0.3">
      <c r="A1882" s="1">
        <v>45235</v>
      </c>
      <c r="B1882">
        <v>43.24</v>
      </c>
      <c r="C1882">
        <v>0</v>
      </c>
      <c r="D1882">
        <v>0</v>
      </c>
      <c r="E1882">
        <v>15</v>
      </c>
      <c r="F1882">
        <v>2.93</v>
      </c>
      <c r="G1882">
        <v>0.113</v>
      </c>
      <c r="H1882">
        <v>0</v>
      </c>
      <c r="J1882">
        <v>0</v>
      </c>
      <c r="K1882">
        <f>YEAR(NetflixData[[#This Row],[date]])</f>
        <v>2023</v>
      </c>
      <c r="L1882" t="str">
        <f>TEXT(NetflixData[[#This Row],[date]],"mmm")</f>
        <v>Nov</v>
      </c>
      <c r="M1882" t="str">
        <f>TEXT(NetflixData[[#This Row],[date]],"mmm yyyy")</f>
        <v>Nov 2023</v>
      </c>
      <c r="N1882" t="str">
        <f t="shared" si="87"/>
        <v>Trading Day</v>
      </c>
      <c r="O1882" t="str">
        <f t="shared" si="88"/>
        <v>No Change</v>
      </c>
      <c r="P1882" t="str">
        <f t="shared" si="89"/>
        <v>Positive</v>
      </c>
    </row>
    <row r="1883" spans="1:16" x14ac:dyDescent="0.3">
      <c r="A1883" s="1">
        <v>45236</v>
      </c>
      <c r="B1883">
        <v>43.47</v>
      </c>
      <c r="C1883">
        <v>30032000</v>
      </c>
      <c r="D1883">
        <v>8.3000000000000004E-2</v>
      </c>
      <c r="E1883">
        <v>22</v>
      </c>
      <c r="F1883">
        <v>1.86</v>
      </c>
      <c r="G1883">
        <v>0.12570000000000001</v>
      </c>
      <c r="H1883">
        <v>0</v>
      </c>
      <c r="J1883">
        <v>1</v>
      </c>
      <c r="K1883">
        <f>YEAR(NetflixData[[#This Row],[date]])</f>
        <v>2023</v>
      </c>
      <c r="L1883" t="str">
        <f>TEXT(NetflixData[[#This Row],[date]],"mmm")</f>
        <v>Nov</v>
      </c>
      <c r="M1883" t="str">
        <f>TEXT(NetflixData[[#This Row],[date]],"mmm yyyy")</f>
        <v>Nov 2023</v>
      </c>
      <c r="N1883" t="str">
        <f t="shared" si="87"/>
        <v>Trading Day</v>
      </c>
      <c r="O1883" t="str">
        <f t="shared" si="88"/>
        <v>Positive</v>
      </c>
      <c r="P1883" t="str">
        <f t="shared" si="89"/>
        <v>Positive</v>
      </c>
    </row>
    <row r="1884" spans="1:16" x14ac:dyDescent="0.3">
      <c r="A1884" s="1">
        <v>45237</v>
      </c>
      <c r="B1884">
        <v>43.46</v>
      </c>
      <c r="C1884">
        <v>32911000</v>
      </c>
      <c r="D1884">
        <v>-0.36</v>
      </c>
      <c r="E1884">
        <v>17</v>
      </c>
      <c r="F1884">
        <v>2.29</v>
      </c>
      <c r="G1884">
        <v>0.15479999999999999</v>
      </c>
      <c r="H1884">
        <v>0</v>
      </c>
      <c r="J1884">
        <v>1</v>
      </c>
      <c r="K1884">
        <f>YEAR(NetflixData[[#This Row],[date]])</f>
        <v>2023</v>
      </c>
      <c r="L1884" t="str">
        <f>TEXT(NetflixData[[#This Row],[date]],"mmm")</f>
        <v>Nov</v>
      </c>
      <c r="M1884" t="str">
        <f>TEXT(NetflixData[[#This Row],[date]],"mmm yyyy")</f>
        <v>Nov 2023</v>
      </c>
      <c r="N1884" t="str">
        <f t="shared" si="87"/>
        <v>Trading Day</v>
      </c>
      <c r="O1884" t="str">
        <f t="shared" si="88"/>
        <v>Negative</v>
      </c>
      <c r="P1884" t="str">
        <f t="shared" si="89"/>
        <v>Positive</v>
      </c>
    </row>
    <row r="1885" spans="1:16" x14ac:dyDescent="0.3">
      <c r="A1885" s="1">
        <v>45238</v>
      </c>
      <c r="B1885">
        <v>43.67</v>
      </c>
      <c r="C1885">
        <v>23568000</v>
      </c>
      <c r="D1885">
        <v>0.379</v>
      </c>
      <c r="E1885">
        <v>24</v>
      </c>
      <c r="F1885">
        <v>2.04</v>
      </c>
      <c r="G1885">
        <v>1.32E-2</v>
      </c>
      <c r="H1885">
        <v>0</v>
      </c>
      <c r="J1885">
        <v>1</v>
      </c>
      <c r="K1885">
        <f>YEAR(NetflixData[[#This Row],[date]])</f>
        <v>2023</v>
      </c>
      <c r="L1885" t="str">
        <f>TEXT(NetflixData[[#This Row],[date]],"mmm")</f>
        <v>Nov</v>
      </c>
      <c r="M1885" t="str">
        <f>TEXT(NetflixData[[#This Row],[date]],"mmm yyyy")</f>
        <v>Nov 2023</v>
      </c>
      <c r="N1885" t="str">
        <f t="shared" si="87"/>
        <v>Trading Day</v>
      </c>
      <c r="O1885" t="str">
        <f t="shared" si="88"/>
        <v>Positive</v>
      </c>
      <c r="P1885" t="str">
        <f t="shared" si="89"/>
        <v>Neutral</v>
      </c>
    </row>
    <row r="1886" spans="1:16" x14ac:dyDescent="0.3">
      <c r="A1886" s="1">
        <v>45239</v>
      </c>
      <c r="B1886">
        <v>43.51</v>
      </c>
      <c r="C1886">
        <v>27355000</v>
      </c>
      <c r="D1886">
        <v>-0.65700000000000003</v>
      </c>
      <c r="E1886">
        <v>21</v>
      </c>
      <c r="F1886">
        <v>2.2400000000000002</v>
      </c>
      <c r="G1886">
        <v>0.36</v>
      </c>
      <c r="H1886">
        <v>0</v>
      </c>
      <c r="J1886">
        <v>1</v>
      </c>
      <c r="K1886">
        <f>YEAR(NetflixData[[#This Row],[date]])</f>
        <v>2023</v>
      </c>
      <c r="L1886" t="str">
        <f>TEXT(NetflixData[[#This Row],[date]],"mmm")</f>
        <v>Nov</v>
      </c>
      <c r="M1886" t="str">
        <f>TEXT(NetflixData[[#This Row],[date]],"mmm yyyy")</f>
        <v>Nov 2023</v>
      </c>
      <c r="N1886" t="str">
        <f t="shared" si="87"/>
        <v>Trading Day</v>
      </c>
      <c r="O1886" t="str">
        <f t="shared" si="88"/>
        <v>Negative</v>
      </c>
      <c r="P1886" t="str">
        <f t="shared" si="89"/>
        <v>Positive</v>
      </c>
    </row>
    <row r="1887" spans="1:16" x14ac:dyDescent="0.3">
      <c r="A1887" s="1">
        <v>45240</v>
      </c>
      <c r="B1887">
        <v>44.72</v>
      </c>
      <c r="C1887">
        <v>44406000</v>
      </c>
      <c r="D1887">
        <v>2.2309999999999999</v>
      </c>
      <c r="E1887">
        <v>19</v>
      </c>
      <c r="F1887">
        <v>1.63</v>
      </c>
      <c r="G1887">
        <v>0.1173</v>
      </c>
      <c r="H1887">
        <v>0</v>
      </c>
      <c r="J1887">
        <v>1</v>
      </c>
      <c r="K1887">
        <f>YEAR(NetflixData[[#This Row],[date]])</f>
        <v>2023</v>
      </c>
      <c r="L1887" t="str">
        <f>TEXT(NetflixData[[#This Row],[date]],"mmm")</f>
        <v>Nov</v>
      </c>
      <c r="M1887" t="str">
        <f>TEXT(NetflixData[[#This Row],[date]],"mmm yyyy")</f>
        <v>Nov 2023</v>
      </c>
      <c r="N1887" t="str">
        <f t="shared" si="87"/>
        <v>Non-Trading Day</v>
      </c>
      <c r="O1887" t="str">
        <f t="shared" si="88"/>
        <v>Positive</v>
      </c>
      <c r="P1887" t="str">
        <f t="shared" si="89"/>
        <v>Positive</v>
      </c>
    </row>
    <row r="1888" spans="1:16" x14ac:dyDescent="0.3">
      <c r="A1888" s="1">
        <v>45241</v>
      </c>
      <c r="B1888">
        <v>44.72</v>
      </c>
      <c r="C1888">
        <v>0</v>
      </c>
      <c r="D1888">
        <v>0</v>
      </c>
      <c r="E1888">
        <v>49</v>
      </c>
      <c r="F1888">
        <v>2.06</v>
      </c>
      <c r="G1888">
        <v>0.1046</v>
      </c>
      <c r="H1888">
        <v>0</v>
      </c>
      <c r="J1888">
        <v>0</v>
      </c>
      <c r="K1888">
        <f>YEAR(NetflixData[[#This Row],[date]])</f>
        <v>2023</v>
      </c>
      <c r="L1888" t="str">
        <f>TEXT(NetflixData[[#This Row],[date]],"mmm")</f>
        <v>Nov</v>
      </c>
      <c r="M1888" t="str">
        <f>TEXT(NetflixData[[#This Row],[date]],"mmm yyyy")</f>
        <v>Nov 2023</v>
      </c>
      <c r="N1888" t="str">
        <f t="shared" si="87"/>
        <v>Non-Trading Day</v>
      </c>
      <c r="O1888" t="str">
        <f t="shared" si="88"/>
        <v>No Change</v>
      </c>
      <c r="P1888" t="str">
        <f t="shared" si="89"/>
        <v>Positive</v>
      </c>
    </row>
    <row r="1889" spans="1:16" x14ac:dyDescent="0.3">
      <c r="A1889" s="1">
        <v>45242</v>
      </c>
      <c r="B1889">
        <v>44.72</v>
      </c>
      <c r="C1889">
        <v>0</v>
      </c>
      <c r="D1889">
        <v>0</v>
      </c>
      <c r="E1889">
        <v>48</v>
      </c>
      <c r="F1889">
        <v>2</v>
      </c>
      <c r="G1889">
        <v>6.6000000000000003E-2</v>
      </c>
      <c r="H1889">
        <v>0</v>
      </c>
      <c r="J1889">
        <v>0</v>
      </c>
      <c r="K1889">
        <f>YEAR(NetflixData[[#This Row],[date]])</f>
        <v>2023</v>
      </c>
      <c r="L1889" t="str">
        <f>TEXT(NetflixData[[#This Row],[date]],"mmm")</f>
        <v>Nov</v>
      </c>
      <c r="M1889" t="str">
        <f>TEXT(NetflixData[[#This Row],[date]],"mmm yyyy")</f>
        <v>Nov 2023</v>
      </c>
      <c r="N1889" t="str">
        <f t="shared" si="87"/>
        <v>Trading Day</v>
      </c>
      <c r="O1889" t="str">
        <f t="shared" si="88"/>
        <v>No Change</v>
      </c>
      <c r="P1889" t="str">
        <f t="shared" si="89"/>
        <v>Neutral</v>
      </c>
    </row>
    <row r="1890" spans="1:16" x14ac:dyDescent="0.3">
      <c r="A1890" s="1">
        <v>45243</v>
      </c>
      <c r="B1890">
        <v>44.46</v>
      </c>
      <c r="C1890">
        <v>28961000</v>
      </c>
      <c r="D1890">
        <v>-0.58799999999999997</v>
      </c>
      <c r="E1890">
        <v>39</v>
      </c>
      <c r="F1890">
        <v>2.0499999999999998</v>
      </c>
      <c r="G1890">
        <v>3.7499999999999999E-2</v>
      </c>
      <c r="H1890">
        <v>0</v>
      </c>
      <c r="J1890">
        <v>1</v>
      </c>
      <c r="K1890">
        <f>YEAR(NetflixData[[#This Row],[date]])</f>
        <v>2023</v>
      </c>
      <c r="L1890" t="str">
        <f>TEXT(NetflixData[[#This Row],[date]],"mmm")</f>
        <v>Nov</v>
      </c>
      <c r="M1890" t="str">
        <f>TEXT(NetflixData[[#This Row],[date]],"mmm yyyy")</f>
        <v>Nov 2023</v>
      </c>
      <c r="N1890" t="str">
        <f t="shared" si="87"/>
        <v>Trading Day</v>
      </c>
      <c r="O1890" t="str">
        <f t="shared" si="88"/>
        <v>Negative</v>
      </c>
      <c r="P1890" t="str">
        <f t="shared" si="89"/>
        <v>Neutral</v>
      </c>
    </row>
    <row r="1891" spans="1:16" x14ac:dyDescent="0.3">
      <c r="A1891" s="1">
        <v>45244</v>
      </c>
      <c r="B1891">
        <v>44.87</v>
      </c>
      <c r="C1891">
        <v>40609000</v>
      </c>
      <c r="D1891">
        <v>-2.9000000000000001E-2</v>
      </c>
      <c r="E1891">
        <v>31</v>
      </c>
      <c r="F1891">
        <v>2.19</v>
      </c>
      <c r="G1891">
        <v>0.1391</v>
      </c>
      <c r="H1891">
        <v>0</v>
      </c>
      <c r="J1891">
        <v>1</v>
      </c>
      <c r="K1891">
        <f>YEAR(NetflixData[[#This Row],[date]])</f>
        <v>2023</v>
      </c>
      <c r="L1891" t="str">
        <f>TEXT(NetflixData[[#This Row],[date]],"mmm")</f>
        <v>Nov</v>
      </c>
      <c r="M1891" t="str">
        <f>TEXT(NetflixData[[#This Row],[date]],"mmm yyyy")</f>
        <v>Nov 2023</v>
      </c>
      <c r="N1891" t="str">
        <f t="shared" si="87"/>
        <v>Trading Day</v>
      </c>
      <c r="O1891" t="str">
        <f t="shared" si="88"/>
        <v>Negative</v>
      </c>
      <c r="P1891" t="str">
        <f t="shared" si="89"/>
        <v>Positive</v>
      </c>
    </row>
    <row r="1892" spans="1:16" x14ac:dyDescent="0.3">
      <c r="A1892" s="1">
        <v>45245</v>
      </c>
      <c r="B1892">
        <v>46.19</v>
      </c>
      <c r="C1892">
        <v>50353000</v>
      </c>
      <c r="D1892">
        <v>2.016</v>
      </c>
      <c r="E1892">
        <v>40</v>
      </c>
      <c r="F1892">
        <v>2.02</v>
      </c>
      <c r="G1892">
        <v>0.10630000000000001</v>
      </c>
      <c r="H1892">
        <v>0</v>
      </c>
      <c r="J1892">
        <v>1</v>
      </c>
      <c r="K1892">
        <f>YEAR(NetflixData[[#This Row],[date]])</f>
        <v>2023</v>
      </c>
      <c r="L1892" t="str">
        <f>TEXT(NetflixData[[#This Row],[date]],"mmm")</f>
        <v>Nov</v>
      </c>
      <c r="M1892" t="str">
        <f>TEXT(NetflixData[[#This Row],[date]],"mmm yyyy")</f>
        <v>Nov 2023</v>
      </c>
      <c r="N1892" t="str">
        <f t="shared" si="87"/>
        <v>Trading Day</v>
      </c>
      <c r="O1892" t="str">
        <f t="shared" si="88"/>
        <v>Positive</v>
      </c>
      <c r="P1892" t="str">
        <f t="shared" si="89"/>
        <v>Positive</v>
      </c>
    </row>
    <row r="1893" spans="1:16" x14ac:dyDescent="0.3">
      <c r="A1893" s="1">
        <v>45246</v>
      </c>
      <c r="B1893">
        <v>46.69</v>
      </c>
      <c r="C1893">
        <v>36560000</v>
      </c>
      <c r="D1893">
        <v>0.85299999999999998</v>
      </c>
      <c r="E1893">
        <v>43</v>
      </c>
      <c r="F1893">
        <v>1.95</v>
      </c>
      <c r="G1893">
        <v>0.1173</v>
      </c>
      <c r="H1893">
        <v>0</v>
      </c>
      <c r="J1893">
        <v>1</v>
      </c>
      <c r="K1893">
        <f>YEAR(NetflixData[[#This Row],[date]])</f>
        <v>2023</v>
      </c>
      <c r="L1893" t="str">
        <f>TEXT(NetflixData[[#This Row],[date]],"mmm")</f>
        <v>Nov</v>
      </c>
      <c r="M1893" t="str">
        <f>TEXT(NetflixData[[#This Row],[date]],"mmm yyyy")</f>
        <v>Nov 2023</v>
      </c>
      <c r="N1893" t="str">
        <f t="shared" si="87"/>
        <v>Trading Day</v>
      </c>
      <c r="O1893" t="str">
        <f t="shared" si="88"/>
        <v>Positive</v>
      </c>
      <c r="P1893" t="str">
        <f t="shared" si="89"/>
        <v>Positive</v>
      </c>
    </row>
    <row r="1894" spans="1:16" x14ac:dyDescent="0.3">
      <c r="A1894" s="1">
        <v>45247</v>
      </c>
      <c r="B1894">
        <v>46.59</v>
      </c>
      <c r="C1894">
        <v>27985000</v>
      </c>
      <c r="D1894">
        <v>-0.223</v>
      </c>
      <c r="E1894">
        <v>38</v>
      </c>
      <c r="F1894">
        <v>2.5499999999999998</v>
      </c>
      <c r="G1894">
        <v>0.14779999999999999</v>
      </c>
      <c r="H1894">
        <v>0</v>
      </c>
      <c r="J1894">
        <v>1</v>
      </c>
      <c r="K1894">
        <f>YEAR(NetflixData[[#This Row],[date]])</f>
        <v>2023</v>
      </c>
      <c r="L1894" t="str">
        <f>TEXT(NetflixData[[#This Row],[date]],"mmm")</f>
        <v>Nov</v>
      </c>
      <c r="M1894" t="str">
        <f>TEXT(NetflixData[[#This Row],[date]],"mmm yyyy")</f>
        <v>Nov 2023</v>
      </c>
      <c r="N1894" t="str">
        <f t="shared" si="87"/>
        <v>Non-Trading Day</v>
      </c>
      <c r="O1894" t="str">
        <f t="shared" si="88"/>
        <v>Negative</v>
      </c>
      <c r="P1894" t="str">
        <f t="shared" si="89"/>
        <v>Positive</v>
      </c>
    </row>
    <row r="1895" spans="1:16" x14ac:dyDescent="0.3">
      <c r="A1895" s="1">
        <v>45248</v>
      </c>
      <c r="B1895">
        <v>46.59</v>
      </c>
      <c r="C1895">
        <v>0</v>
      </c>
      <c r="D1895">
        <v>0</v>
      </c>
      <c r="E1895">
        <v>69</v>
      </c>
      <c r="F1895">
        <v>2.2599999999999998</v>
      </c>
      <c r="G1895">
        <v>5.1499999999999997E-2</v>
      </c>
      <c r="H1895">
        <v>0</v>
      </c>
      <c r="J1895">
        <v>0</v>
      </c>
      <c r="K1895">
        <f>YEAR(NetflixData[[#This Row],[date]])</f>
        <v>2023</v>
      </c>
      <c r="L1895" t="str">
        <f>TEXT(NetflixData[[#This Row],[date]],"mmm")</f>
        <v>Nov</v>
      </c>
      <c r="M1895" t="str">
        <f>TEXT(NetflixData[[#This Row],[date]],"mmm yyyy")</f>
        <v>Nov 2023</v>
      </c>
      <c r="N1895" t="str">
        <f t="shared" si="87"/>
        <v>Non-Trading Day</v>
      </c>
      <c r="O1895" t="str">
        <f t="shared" si="88"/>
        <v>No Change</v>
      </c>
      <c r="P1895" t="str">
        <f t="shared" si="89"/>
        <v>Neutral</v>
      </c>
    </row>
    <row r="1896" spans="1:16" x14ac:dyDescent="0.3">
      <c r="A1896" s="1">
        <v>45249</v>
      </c>
      <c r="B1896">
        <v>46.59</v>
      </c>
      <c r="C1896">
        <v>0</v>
      </c>
      <c r="D1896">
        <v>0</v>
      </c>
      <c r="E1896">
        <v>66</v>
      </c>
      <c r="F1896">
        <v>2.08</v>
      </c>
      <c r="G1896">
        <v>7.8399999999999997E-2</v>
      </c>
      <c r="H1896">
        <v>0</v>
      </c>
      <c r="J1896">
        <v>0</v>
      </c>
      <c r="K1896">
        <f>YEAR(NetflixData[[#This Row],[date]])</f>
        <v>2023</v>
      </c>
      <c r="L1896" t="str">
        <f>TEXT(NetflixData[[#This Row],[date]],"mmm")</f>
        <v>Nov</v>
      </c>
      <c r="M1896" t="str">
        <f>TEXT(NetflixData[[#This Row],[date]],"mmm yyyy")</f>
        <v>Nov 2023</v>
      </c>
      <c r="N1896" t="str">
        <f t="shared" si="87"/>
        <v>Trading Day</v>
      </c>
      <c r="O1896" t="str">
        <f t="shared" si="88"/>
        <v>No Change</v>
      </c>
      <c r="P1896" t="str">
        <f t="shared" si="89"/>
        <v>Neutral</v>
      </c>
    </row>
    <row r="1897" spans="1:16" x14ac:dyDescent="0.3">
      <c r="A1897" s="1">
        <v>45250</v>
      </c>
      <c r="B1897">
        <v>47.45</v>
      </c>
      <c r="C1897">
        <v>36176000</v>
      </c>
      <c r="D1897">
        <v>1.9490000000000001</v>
      </c>
      <c r="E1897">
        <v>54</v>
      </c>
      <c r="F1897">
        <v>2.5</v>
      </c>
      <c r="G1897">
        <v>0.16170000000000001</v>
      </c>
      <c r="H1897">
        <v>0</v>
      </c>
      <c r="J1897">
        <v>1</v>
      </c>
      <c r="K1897">
        <f>YEAR(NetflixData[[#This Row],[date]])</f>
        <v>2023</v>
      </c>
      <c r="L1897" t="str">
        <f>TEXT(NetflixData[[#This Row],[date]],"mmm")</f>
        <v>Nov</v>
      </c>
      <c r="M1897" t="str">
        <f>TEXT(NetflixData[[#This Row],[date]],"mmm yyyy")</f>
        <v>Nov 2023</v>
      </c>
      <c r="N1897" t="str">
        <f t="shared" si="87"/>
        <v>Trading Day</v>
      </c>
      <c r="O1897" t="str">
        <f t="shared" si="88"/>
        <v>Positive</v>
      </c>
      <c r="P1897" t="str">
        <f t="shared" si="89"/>
        <v>Positive</v>
      </c>
    </row>
    <row r="1898" spans="1:16" x14ac:dyDescent="0.3">
      <c r="A1898" s="1">
        <v>45251</v>
      </c>
      <c r="B1898">
        <v>47.49</v>
      </c>
      <c r="C1898">
        <v>29977000</v>
      </c>
      <c r="D1898">
        <v>0.49099999999999999</v>
      </c>
      <c r="E1898">
        <v>47</v>
      </c>
      <c r="F1898">
        <v>2.23</v>
      </c>
      <c r="G1898">
        <v>3.3399999999999999E-2</v>
      </c>
      <c r="H1898">
        <v>0</v>
      </c>
      <c r="J1898">
        <v>1</v>
      </c>
      <c r="K1898">
        <f>YEAR(NetflixData[[#This Row],[date]])</f>
        <v>2023</v>
      </c>
      <c r="L1898" t="str">
        <f>TEXT(NetflixData[[#This Row],[date]],"mmm")</f>
        <v>Nov</v>
      </c>
      <c r="M1898" t="str">
        <f>TEXT(NetflixData[[#This Row],[date]],"mmm yyyy")</f>
        <v>Nov 2023</v>
      </c>
      <c r="N1898" t="str">
        <f t="shared" si="87"/>
        <v>Trading Day</v>
      </c>
      <c r="O1898" t="str">
        <f t="shared" si="88"/>
        <v>Positive</v>
      </c>
      <c r="P1898" t="str">
        <f t="shared" si="89"/>
        <v>Neutral</v>
      </c>
    </row>
    <row r="1899" spans="1:16" x14ac:dyDescent="0.3">
      <c r="A1899" s="1">
        <v>45252</v>
      </c>
      <c r="B1899">
        <v>47.8</v>
      </c>
      <c r="C1899">
        <v>28416000</v>
      </c>
      <c r="D1899">
        <v>0.252</v>
      </c>
      <c r="E1899">
        <v>47</v>
      </c>
      <c r="F1899">
        <v>2.06</v>
      </c>
      <c r="G1899">
        <v>9.6500000000000002E-2</v>
      </c>
      <c r="H1899">
        <v>0</v>
      </c>
      <c r="J1899">
        <v>1</v>
      </c>
      <c r="K1899">
        <f>YEAR(NetflixData[[#This Row],[date]])</f>
        <v>2023</v>
      </c>
      <c r="L1899" t="str">
        <f>TEXT(NetflixData[[#This Row],[date]],"mmm")</f>
        <v>Nov</v>
      </c>
      <c r="M1899" t="str">
        <f>TEXT(NetflixData[[#This Row],[date]],"mmm yyyy")</f>
        <v>Nov 2023</v>
      </c>
      <c r="N1899" t="str">
        <f t="shared" si="87"/>
        <v>Non-Trading Day</v>
      </c>
      <c r="O1899" t="str">
        <f t="shared" si="88"/>
        <v>Positive</v>
      </c>
      <c r="P1899" t="str">
        <f t="shared" si="89"/>
        <v>Neutral</v>
      </c>
    </row>
    <row r="1900" spans="1:16" x14ac:dyDescent="0.3">
      <c r="A1900" s="1">
        <v>45253</v>
      </c>
      <c r="B1900">
        <v>47.8</v>
      </c>
      <c r="C1900">
        <v>0</v>
      </c>
      <c r="D1900">
        <v>0</v>
      </c>
      <c r="E1900">
        <v>54</v>
      </c>
      <c r="F1900">
        <v>2.2599999999999998</v>
      </c>
      <c r="G1900">
        <v>5.1999999999999998E-3</v>
      </c>
      <c r="H1900">
        <v>0</v>
      </c>
      <c r="J1900">
        <v>0</v>
      </c>
      <c r="K1900">
        <f>YEAR(NetflixData[[#This Row],[date]])</f>
        <v>2023</v>
      </c>
      <c r="L1900" t="str">
        <f>TEXT(NetflixData[[#This Row],[date]],"mmm")</f>
        <v>Nov</v>
      </c>
      <c r="M1900" t="str">
        <f>TEXT(NetflixData[[#This Row],[date]],"mmm yyyy")</f>
        <v>Nov 2023</v>
      </c>
      <c r="N1900" t="str">
        <f t="shared" si="87"/>
        <v>Trading Day</v>
      </c>
      <c r="O1900" t="str">
        <f t="shared" si="88"/>
        <v>No Change</v>
      </c>
      <c r="P1900" t="str">
        <f t="shared" si="89"/>
        <v>Neutral</v>
      </c>
    </row>
    <row r="1901" spans="1:16" x14ac:dyDescent="0.3">
      <c r="A1901" s="1">
        <v>45254</v>
      </c>
      <c r="B1901">
        <v>47.96</v>
      </c>
      <c r="C1901">
        <v>14047000</v>
      </c>
      <c r="D1901">
        <v>0.51400000000000001</v>
      </c>
      <c r="E1901">
        <v>45</v>
      </c>
      <c r="F1901">
        <v>2.62</v>
      </c>
      <c r="G1901">
        <v>8.7800000000000003E-2</v>
      </c>
      <c r="H1901">
        <v>0</v>
      </c>
      <c r="J1901">
        <v>1</v>
      </c>
      <c r="K1901">
        <f>YEAR(NetflixData[[#This Row],[date]])</f>
        <v>2023</v>
      </c>
      <c r="L1901" t="str">
        <f>TEXT(NetflixData[[#This Row],[date]],"mmm")</f>
        <v>Nov</v>
      </c>
      <c r="M1901" t="str">
        <f>TEXT(NetflixData[[#This Row],[date]],"mmm yyyy")</f>
        <v>Nov 2023</v>
      </c>
      <c r="N1901" t="str">
        <f t="shared" si="87"/>
        <v>Non-Trading Day</v>
      </c>
      <c r="O1901" t="str">
        <f t="shared" si="88"/>
        <v>Positive</v>
      </c>
      <c r="P1901" t="str">
        <f t="shared" si="89"/>
        <v>Neutral</v>
      </c>
    </row>
    <row r="1902" spans="1:16" x14ac:dyDescent="0.3">
      <c r="A1902" s="1">
        <v>45255</v>
      </c>
      <c r="B1902">
        <v>47.96</v>
      </c>
      <c r="C1902">
        <v>0</v>
      </c>
      <c r="D1902">
        <v>0</v>
      </c>
      <c r="E1902">
        <v>62</v>
      </c>
      <c r="F1902">
        <v>2.2400000000000002</v>
      </c>
      <c r="G1902">
        <v>3.0000000000000001E-3</v>
      </c>
      <c r="H1902">
        <v>0</v>
      </c>
      <c r="J1902">
        <v>0</v>
      </c>
      <c r="K1902">
        <f>YEAR(NetflixData[[#This Row],[date]])</f>
        <v>2023</v>
      </c>
      <c r="L1902" t="str">
        <f>TEXT(NetflixData[[#This Row],[date]],"mmm")</f>
        <v>Nov</v>
      </c>
      <c r="M1902" t="str">
        <f>TEXT(NetflixData[[#This Row],[date]],"mmm yyyy")</f>
        <v>Nov 2023</v>
      </c>
      <c r="N1902" t="str">
        <f t="shared" si="87"/>
        <v>Non-Trading Day</v>
      </c>
      <c r="O1902" t="str">
        <f t="shared" si="88"/>
        <v>No Change</v>
      </c>
      <c r="P1902" t="str">
        <f t="shared" si="89"/>
        <v>Neutral</v>
      </c>
    </row>
    <row r="1903" spans="1:16" x14ac:dyDescent="0.3">
      <c r="A1903" s="1">
        <v>45256</v>
      </c>
      <c r="B1903">
        <v>47.96</v>
      </c>
      <c r="C1903">
        <v>0</v>
      </c>
      <c r="D1903">
        <v>0</v>
      </c>
      <c r="E1903">
        <v>59</v>
      </c>
      <c r="F1903">
        <v>2.46</v>
      </c>
      <c r="G1903">
        <v>9.6100000000000005E-2</v>
      </c>
      <c r="H1903">
        <v>0</v>
      </c>
      <c r="J1903">
        <v>0</v>
      </c>
      <c r="K1903">
        <f>YEAR(NetflixData[[#This Row],[date]])</f>
        <v>2023</v>
      </c>
      <c r="L1903" t="str">
        <f>TEXT(NetflixData[[#This Row],[date]],"mmm")</f>
        <v>Nov</v>
      </c>
      <c r="M1903" t="str">
        <f>TEXT(NetflixData[[#This Row],[date]],"mmm yyyy")</f>
        <v>Nov 2023</v>
      </c>
      <c r="N1903" t="str">
        <f t="shared" si="87"/>
        <v>Trading Day</v>
      </c>
      <c r="O1903" t="str">
        <f t="shared" si="88"/>
        <v>No Change</v>
      </c>
      <c r="P1903" t="str">
        <f t="shared" si="89"/>
        <v>Neutral</v>
      </c>
    </row>
    <row r="1904" spans="1:16" x14ac:dyDescent="0.3">
      <c r="A1904" s="1">
        <v>45257</v>
      </c>
      <c r="B1904">
        <v>47.92</v>
      </c>
      <c r="C1904">
        <v>36259000</v>
      </c>
      <c r="D1904">
        <v>2.9000000000000001E-2</v>
      </c>
      <c r="E1904">
        <v>46</v>
      </c>
      <c r="F1904">
        <v>2.37</v>
      </c>
      <c r="G1904">
        <v>0.11849999999999999</v>
      </c>
      <c r="H1904">
        <v>0</v>
      </c>
      <c r="J1904">
        <v>1</v>
      </c>
      <c r="K1904">
        <f>YEAR(NetflixData[[#This Row],[date]])</f>
        <v>2023</v>
      </c>
      <c r="L1904" t="str">
        <f>TEXT(NetflixData[[#This Row],[date]],"mmm")</f>
        <v>Nov</v>
      </c>
      <c r="M1904" t="str">
        <f>TEXT(NetflixData[[#This Row],[date]],"mmm yyyy")</f>
        <v>Nov 2023</v>
      </c>
      <c r="N1904" t="str">
        <f t="shared" si="87"/>
        <v>Trading Day</v>
      </c>
      <c r="O1904" t="str">
        <f t="shared" si="88"/>
        <v>Positive</v>
      </c>
      <c r="P1904" t="str">
        <f t="shared" si="89"/>
        <v>Positive</v>
      </c>
    </row>
    <row r="1905" spans="1:16" x14ac:dyDescent="0.3">
      <c r="A1905" s="1">
        <v>45258</v>
      </c>
      <c r="B1905">
        <v>47.9</v>
      </c>
      <c r="C1905">
        <v>28902000</v>
      </c>
      <c r="D1905">
        <v>0.186</v>
      </c>
      <c r="E1905">
        <v>40</v>
      </c>
      <c r="F1905">
        <v>2.33</v>
      </c>
      <c r="G1905">
        <v>0.10009999999999999</v>
      </c>
      <c r="H1905">
        <v>0</v>
      </c>
      <c r="J1905">
        <v>1</v>
      </c>
      <c r="K1905">
        <f>YEAR(NetflixData[[#This Row],[date]])</f>
        <v>2023</v>
      </c>
      <c r="L1905" t="str">
        <f>TEXT(NetflixData[[#This Row],[date]],"mmm")</f>
        <v>Nov</v>
      </c>
      <c r="M1905" t="str">
        <f>TEXT(NetflixData[[#This Row],[date]],"mmm yyyy")</f>
        <v>Nov 2023</v>
      </c>
      <c r="N1905" t="str">
        <f t="shared" si="87"/>
        <v>Trading Day</v>
      </c>
      <c r="O1905" t="str">
        <f t="shared" si="88"/>
        <v>Positive</v>
      </c>
      <c r="P1905" t="str">
        <f t="shared" si="89"/>
        <v>Positive</v>
      </c>
    </row>
    <row r="1906" spans="1:16" x14ac:dyDescent="0.3">
      <c r="A1906" s="1">
        <v>45259</v>
      </c>
      <c r="B1906">
        <v>47.72</v>
      </c>
      <c r="C1906">
        <v>28555000</v>
      </c>
      <c r="D1906">
        <v>-0.378</v>
      </c>
      <c r="E1906">
        <v>44</v>
      </c>
      <c r="F1906">
        <v>2.0699999999999998</v>
      </c>
      <c r="G1906">
        <v>1.06E-2</v>
      </c>
      <c r="H1906">
        <v>0</v>
      </c>
      <c r="J1906">
        <v>1</v>
      </c>
      <c r="K1906">
        <f>YEAR(NetflixData[[#This Row],[date]])</f>
        <v>2023</v>
      </c>
      <c r="L1906" t="str">
        <f>TEXT(NetflixData[[#This Row],[date]],"mmm")</f>
        <v>Nov</v>
      </c>
      <c r="M1906" t="str">
        <f>TEXT(NetflixData[[#This Row],[date]],"mmm yyyy")</f>
        <v>Nov 2023</v>
      </c>
      <c r="N1906" t="str">
        <f t="shared" si="87"/>
        <v>Trading Day</v>
      </c>
      <c r="O1906" t="str">
        <f t="shared" si="88"/>
        <v>Negative</v>
      </c>
      <c r="P1906" t="str">
        <f t="shared" si="89"/>
        <v>Neutral</v>
      </c>
    </row>
    <row r="1907" spans="1:16" x14ac:dyDescent="0.3">
      <c r="A1907" s="1">
        <v>45260</v>
      </c>
      <c r="B1907">
        <v>47.4</v>
      </c>
      <c r="C1907">
        <v>42873000</v>
      </c>
      <c r="D1907">
        <v>-0.28199999999999997</v>
      </c>
      <c r="E1907">
        <v>61</v>
      </c>
      <c r="F1907">
        <v>2.2999999999999998</v>
      </c>
      <c r="G1907">
        <v>0.1731</v>
      </c>
      <c r="H1907">
        <v>0</v>
      </c>
      <c r="J1907">
        <v>1</v>
      </c>
      <c r="K1907">
        <f>YEAR(NetflixData[[#This Row],[date]])</f>
        <v>2023</v>
      </c>
      <c r="L1907" t="str">
        <f>TEXT(NetflixData[[#This Row],[date]],"mmm")</f>
        <v>Nov</v>
      </c>
      <c r="M1907" t="str">
        <f>TEXT(NetflixData[[#This Row],[date]],"mmm yyyy")</f>
        <v>Nov 2023</v>
      </c>
      <c r="N1907" t="str">
        <f t="shared" si="87"/>
        <v>Trading Day</v>
      </c>
      <c r="O1907" t="str">
        <f t="shared" si="88"/>
        <v>Negative</v>
      </c>
      <c r="P1907" t="str">
        <f t="shared" si="89"/>
        <v>Positive</v>
      </c>
    </row>
    <row r="1908" spans="1:16" x14ac:dyDescent="0.3">
      <c r="A1908" s="1">
        <v>45261</v>
      </c>
      <c r="B1908">
        <v>46.57</v>
      </c>
      <c r="C1908">
        <v>43415000</v>
      </c>
      <c r="D1908">
        <v>-1.57</v>
      </c>
      <c r="E1908">
        <v>68</v>
      </c>
      <c r="F1908">
        <v>2.1</v>
      </c>
      <c r="G1908">
        <v>3.3E-3</v>
      </c>
      <c r="H1908">
        <v>0</v>
      </c>
      <c r="J1908">
        <v>1</v>
      </c>
      <c r="K1908">
        <f>YEAR(NetflixData[[#This Row],[date]])</f>
        <v>2023</v>
      </c>
      <c r="L1908" t="str">
        <f>TEXT(NetflixData[[#This Row],[date]],"mmm")</f>
        <v>Dec</v>
      </c>
      <c r="M1908" t="str">
        <f>TEXT(NetflixData[[#This Row],[date]],"mmm yyyy")</f>
        <v>Dec 2023</v>
      </c>
      <c r="N1908" t="str">
        <f t="shared" si="87"/>
        <v>Non-Trading Day</v>
      </c>
      <c r="O1908" t="str">
        <f t="shared" si="88"/>
        <v>Negative</v>
      </c>
      <c r="P1908" t="str">
        <f t="shared" si="89"/>
        <v>Neutral</v>
      </c>
    </row>
    <row r="1909" spans="1:16" x14ac:dyDescent="0.3">
      <c r="A1909" s="1">
        <v>45262</v>
      </c>
      <c r="B1909">
        <v>46.57</v>
      </c>
      <c r="C1909">
        <v>0</v>
      </c>
      <c r="D1909">
        <v>0</v>
      </c>
      <c r="E1909">
        <v>49</v>
      </c>
      <c r="F1909">
        <v>2.37</v>
      </c>
      <c r="G1909">
        <v>3.6299999999999999E-2</v>
      </c>
      <c r="H1909">
        <v>0</v>
      </c>
      <c r="J1909">
        <v>0</v>
      </c>
      <c r="K1909">
        <f>YEAR(NetflixData[[#This Row],[date]])</f>
        <v>2023</v>
      </c>
      <c r="L1909" t="str">
        <f>TEXT(NetflixData[[#This Row],[date]],"mmm")</f>
        <v>Dec</v>
      </c>
      <c r="M1909" t="str">
        <f>TEXT(NetflixData[[#This Row],[date]],"mmm yyyy")</f>
        <v>Dec 2023</v>
      </c>
      <c r="N1909" t="str">
        <f t="shared" si="87"/>
        <v>Non-Trading Day</v>
      </c>
      <c r="O1909" t="str">
        <f t="shared" si="88"/>
        <v>No Change</v>
      </c>
      <c r="P1909" t="str">
        <f t="shared" si="89"/>
        <v>Neutral</v>
      </c>
    </row>
    <row r="1910" spans="1:16" x14ac:dyDescent="0.3">
      <c r="A1910" s="1">
        <v>45263</v>
      </c>
      <c r="B1910">
        <v>46.57</v>
      </c>
      <c r="C1910">
        <v>0</v>
      </c>
      <c r="D1910">
        <v>0</v>
      </c>
      <c r="E1910">
        <v>62</v>
      </c>
      <c r="F1910">
        <v>2.2400000000000002</v>
      </c>
      <c r="G1910">
        <v>7.5300000000000006E-2</v>
      </c>
      <c r="H1910">
        <v>0</v>
      </c>
      <c r="J1910">
        <v>0</v>
      </c>
      <c r="K1910">
        <f>YEAR(NetflixData[[#This Row],[date]])</f>
        <v>2023</v>
      </c>
      <c r="L1910" t="str">
        <f>TEXT(NetflixData[[#This Row],[date]],"mmm")</f>
        <v>Dec</v>
      </c>
      <c r="M1910" t="str">
        <f>TEXT(NetflixData[[#This Row],[date]],"mmm yyyy")</f>
        <v>Dec 2023</v>
      </c>
      <c r="N1910" t="str">
        <f t="shared" si="87"/>
        <v>Trading Day</v>
      </c>
      <c r="O1910" t="str">
        <f t="shared" si="88"/>
        <v>No Change</v>
      </c>
      <c r="P1910" t="str">
        <f t="shared" si="89"/>
        <v>Neutral</v>
      </c>
    </row>
    <row r="1911" spans="1:16" x14ac:dyDescent="0.3">
      <c r="A1911" s="1">
        <v>45264</v>
      </c>
      <c r="B1911">
        <v>45.39</v>
      </c>
      <c r="C1911">
        <v>51577000</v>
      </c>
      <c r="D1911">
        <v>-1.538</v>
      </c>
      <c r="E1911">
        <v>64</v>
      </c>
      <c r="F1911">
        <v>2.36</v>
      </c>
      <c r="G1911">
        <v>0.12520000000000001</v>
      </c>
      <c r="H1911">
        <v>0</v>
      </c>
      <c r="J1911">
        <v>1</v>
      </c>
      <c r="K1911">
        <f>YEAR(NetflixData[[#This Row],[date]])</f>
        <v>2023</v>
      </c>
      <c r="L1911" t="str">
        <f>TEXT(NetflixData[[#This Row],[date]],"mmm")</f>
        <v>Dec</v>
      </c>
      <c r="M1911" t="str">
        <f>TEXT(NetflixData[[#This Row],[date]],"mmm yyyy")</f>
        <v>Dec 2023</v>
      </c>
      <c r="N1911" t="str">
        <f t="shared" si="87"/>
        <v>Trading Day</v>
      </c>
      <c r="O1911" t="str">
        <f t="shared" si="88"/>
        <v>Negative</v>
      </c>
      <c r="P1911" t="str">
        <f t="shared" si="89"/>
        <v>Positive</v>
      </c>
    </row>
    <row r="1912" spans="1:16" x14ac:dyDescent="0.3">
      <c r="A1912" s="1">
        <v>45265</v>
      </c>
      <c r="B1912">
        <v>45.51</v>
      </c>
      <c r="C1912">
        <v>33807000</v>
      </c>
      <c r="D1912">
        <v>0.98699999999999999</v>
      </c>
      <c r="E1912">
        <v>59</v>
      </c>
      <c r="F1912">
        <v>2.42</v>
      </c>
      <c r="G1912">
        <v>-2.9999999999999997E-4</v>
      </c>
      <c r="H1912">
        <v>0</v>
      </c>
      <c r="J1912">
        <v>1</v>
      </c>
      <c r="K1912">
        <f>YEAR(NetflixData[[#This Row],[date]])</f>
        <v>2023</v>
      </c>
      <c r="L1912" t="str">
        <f>TEXT(NetflixData[[#This Row],[date]],"mmm")</f>
        <v>Dec</v>
      </c>
      <c r="M1912" t="str">
        <f>TEXT(NetflixData[[#This Row],[date]],"mmm yyyy")</f>
        <v>Dec 2023</v>
      </c>
      <c r="N1912" t="str">
        <f t="shared" si="87"/>
        <v>Trading Day</v>
      </c>
      <c r="O1912" t="str">
        <f t="shared" si="88"/>
        <v>Positive</v>
      </c>
      <c r="P1912" t="str">
        <f t="shared" si="89"/>
        <v>Neutral</v>
      </c>
    </row>
    <row r="1913" spans="1:16" x14ac:dyDescent="0.3">
      <c r="A1913" s="1">
        <v>45266</v>
      </c>
      <c r="B1913">
        <v>44.67</v>
      </c>
      <c r="C1913">
        <v>41788000</v>
      </c>
      <c r="D1913">
        <v>-2.8849999999999998</v>
      </c>
      <c r="E1913">
        <v>64</v>
      </c>
      <c r="F1913">
        <v>2.09</v>
      </c>
      <c r="G1913">
        <v>-7.3400000000000007E-2</v>
      </c>
      <c r="H1913">
        <v>0</v>
      </c>
      <c r="J1913">
        <v>1</v>
      </c>
      <c r="K1913">
        <f>YEAR(NetflixData[[#This Row],[date]])</f>
        <v>2023</v>
      </c>
      <c r="L1913" t="str">
        <f>TEXT(NetflixData[[#This Row],[date]],"mmm")</f>
        <v>Dec</v>
      </c>
      <c r="M1913" t="str">
        <f>TEXT(NetflixData[[#This Row],[date]],"mmm yyyy")</f>
        <v>Dec 2023</v>
      </c>
      <c r="N1913" t="str">
        <f t="shared" si="87"/>
        <v>Trading Day</v>
      </c>
      <c r="O1913" t="str">
        <f t="shared" si="88"/>
        <v>Negative</v>
      </c>
      <c r="P1913" t="str">
        <f t="shared" si="89"/>
        <v>Neutral</v>
      </c>
    </row>
    <row r="1914" spans="1:16" x14ac:dyDescent="0.3">
      <c r="A1914" s="1">
        <v>45267</v>
      </c>
      <c r="B1914">
        <v>45.2</v>
      </c>
      <c r="C1914">
        <v>35067000</v>
      </c>
      <c r="D1914">
        <v>0.255</v>
      </c>
      <c r="E1914">
        <v>54</v>
      </c>
      <c r="F1914">
        <v>2.56</v>
      </c>
      <c r="G1914">
        <v>0.1497</v>
      </c>
      <c r="H1914">
        <v>0</v>
      </c>
      <c r="J1914">
        <v>1</v>
      </c>
      <c r="K1914">
        <f>YEAR(NetflixData[[#This Row],[date]])</f>
        <v>2023</v>
      </c>
      <c r="L1914" t="str">
        <f>TEXT(NetflixData[[#This Row],[date]],"mmm")</f>
        <v>Dec</v>
      </c>
      <c r="M1914" t="str">
        <f>TEXT(NetflixData[[#This Row],[date]],"mmm yyyy")</f>
        <v>Dec 2023</v>
      </c>
      <c r="N1914" t="str">
        <f t="shared" si="87"/>
        <v>Trading Day</v>
      </c>
      <c r="O1914" t="str">
        <f t="shared" si="88"/>
        <v>Positive</v>
      </c>
      <c r="P1914" t="str">
        <f t="shared" si="89"/>
        <v>Positive</v>
      </c>
    </row>
    <row r="1915" spans="1:16" x14ac:dyDescent="0.3">
      <c r="A1915" s="1">
        <v>45268</v>
      </c>
      <c r="B1915">
        <v>45.38</v>
      </c>
      <c r="C1915">
        <v>34584000</v>
      </c>
      <c r="D1915">
        <v>0.66600000000000004</v>
      </c>
      <c r="E1915">
        <v>55</v>
      </c>
      <c r="F1915">
        <v>2.4</v>
      </c>
      <c r="G1915">
        <v>1.8700000000000001E-2</v>
      </c>
      <c r="H1915">
        <v>0</v>
      </c>
      <c r="J1915">
        <v>1</v>
      </c>
      <c r="K1915">
        <f>YEAR(NetflixData[[#This Row],[date]])</f>
        <v>2023</v>
      </c>
      <c r="L1915" t="str">
        <f>TEXT(NetflixData[[#This Row],[date]],"mmm")</f>
        <v>Dec</v>
      </c>
      <c r="M1915" t="str">
        <f>TEXT(NetflixData[[#This Row],[date]],"mmm yyyy")</f>
        <v>Dec 2023</v>
      </c>
      <c r="N1915" t="str">
        <f t="shared" si="87"/>
        <v>Non-Trading Day</v>
      </c>
      <c r="O1915" t="str">
        <f t="shared" si="88"/>
        <v>Positive</v>
      </c>
      <c r="P1915" t="str">
        <f t="shared" si="89"/>
        <v>Neutral</v>
      </c>
    </row>
    <row r="1916" spans="1:16" x14ac:dyDescent="0.3">
      <c r="A1916" s="1">
        <v>45269</v>
      </c>
      <c r="B1916">
        <v>45.38</v>
      </c>
      <c r="C1916">
        <v>0</v>
      </c>
      <c r="D1916">
        <v>0</v>
      </c>
      <c r="E1916">
        <v>59</v>
      </c>
      <c r="F1916">
        <v>2.5099999999999998</v>
      </c>
      <c r="G1916">
        <v>0.1045</v>
      </c>
      <c r="H1916">
        <v>0</v>
      </c>
      <c r="J1916">
        <v>0</v>
      </c>
      <c r="K1916">
        <f>YEAR(NetflixData[[#This Row],[date]])</f>
        <v>2023</v>
      </c>
      <c r="L1916" t="str">
        <f>TEXT(NetflixData[[#This Row],[date]],"mmm")</f>
        <v>Dec</v>
      </c>
      <c r="M1916" t="str">
        <f>TEXT(NetflixData[[#This Row],[date]],"mmm yyyy")</f>
        <v>Dec 2023</v>
      </c>
      <c r="N1916" t="str">
        <f t="shared" si="87"/>
        <v>Non-Trading Day</v>
      </c>
      <c r="O1916" t="str">
        <f t="shared" si="88"/>
        <v>No Change</v>
      </c>
      <c r="P1916" t="str">
        <f t="shared" si="89"/>
        <v>Positive</v>
      </c>
    </row>
    <row r="1917" spans="1:16" x14ac:dyDescent="0.3">
      <c r="A1917" s="1">
        <v>45270</v>
      </c>
      <c r="B1917">
        <v>45.38</v>
      </c>
      <c r="C1917">
        <v>0</v>
      </c>
      <c r="D1917">
        <v>0</v>
      </c>
      <c r="E1917">
        <v>57</v>
      </c>
      <c r="F1917">
        <v>2.6</v>
      </c>
      <c r="G1917">
        <v>0.12609999999999999</v>
      </c>
      <c r="H1917">
        <v>0</v>
      </c>
      <c r="J1917">
        <v>0</v>
      </c>
      <c r="K1917">
        <f>YEAR(NetflixData[[#This Row],[date]])</f>
        <v>2023</v>
      </c>
      <c r="L1917" t="str">
        <f>TEXT(NetflixData[[#This Row],[date]],"mmm")</f>
        <v>Dec</v>
      </c>
      <c r="M1917" t="str">
        <f>TEXT(NetflixData[[#This Row],[date]],"mmm yyyy")</f>
        <v>Dec 2023</v>
      </c>
      <c r="N1917" t="str">
        <f t="shared" si="87"/>
        <v>Trading Day</v>
      </c>
      <c r="O1917" t="str">
        <f t="shared" si="88"/>
        <v>No Change</v>
      </c>
      <c r="P1917" t="str">
        <f t="shared" si="89"/>
        <v>Positive</v>
      </c>
    </row>
    <row r="1918" spans="1:16" x14ac:dyDescent="0.3">
      <c r="A1918" s="1">
        <v>45271</v>
      </c>
      <c r="B1918">
        <v>45.99</v>
      </c>
      <c r="C1918">
        <v>49297000</v>
      </c>
      <c r="D1918">
        <v>0.115</v>
      </c>
      <c r="E1918">
        <v>66</v>
      </c>
      <c r="F1918">
        <v>1.91</v>
      </c>
      <c r="G1918">
        <v>1.15E-2</v>
      </c>
      <c r="H1918">
        <v>0</v>
      </c>
      <c r="J1918">
        <v>1</v>
      </c>
      <c r="K1918">
        <f>YEAR(NetflixData[[#This Row],[date]])</f>
        <v>2023</v>
      </c>
      <c r="L1918" t="str">
        <f>TEXT(NetflixData[[#This Row],[date]],"mmm")</f>
        <v>Dec</v>
      </c>
      <c r="M1918" t="str">
        <f>TEXT(NetflixData[[#This Row],[date]],"mmm yyyy")</f>
        <v>Dec 2023</v>
      </c>
      <c r="N1918" t="str">
        <f t="shared" si="87"/>
        <v>Trading Day</v>
      </c>
      <c r="O1918" t="str">
        <f t="shared" si="88"/>
        <v>Positive</v>
      </c>
      <c r="P1918" t="str">
        <f t="shared" si="89"/>
        <v>Neutral</v>
      </c>
    </row>
    <row r="1919" spans="1:16" x14ac:dyDescent="0.3">
      <c r="A1919" s="1">
        <v>45272</v>
      </c>
      <c r="B1919">
        <v>46.3</v>
      </c>
      <c r="C1919">
        <v>33027000</v>
      </c>
      <c r="D1919">
        <v>-0.47899999999999998</v>
      </c>
      <c r="E1919">
        <v>60</v>
      </c>
      <c r="F1919">
        <v>1.85</v>
      </c>
      <c r="G1919">
        <v>3.5499999999999997E-2</v>
      </c>
      <c r="H1919">
        <v>0</v>
      </c>
      <c r="J1919">
        <v>1</v>
      </c>
      <c r="K1919">
        <f>YEAR(NetflixData[[#This Row],[date]])</f>
        <v>2023</v>
      </c>
      <c r="L1919" t="str">
        <f>TEXT(NetflixData[[#This Row],[date]],"mmm")</f>
        <v>Dec</v>
      </c>
      <c r="M1919" t="str">
        <f>TEXT(NetflixData[[#This Row],[date]],"mmm yyyy")</f>
        <v>Dec 2023</v>
      </c>
      <c r="N1919" t="str">
        <f t="shared" si="87"/>
        <v>Trading Day</v>
      </c>
      <c r="O1919" t="str">
        <f t="shared" si="88"/>
        <v>Negative</v>
      </c>
      <c r="P1919" t="str">
        <f t="shared" si="89"/>
        <v>Neutral</v>
      </c>
    </row>
    <row r="1920" spans="1:16" x14ac:dyDescent="0.3">
      <c r="A1920" s="1">
        <v>45273</v>
      </c>
      <c r="B1920">
        <v>48</v>
      </c>
      <c r="C1920">
        <v>58202000</v>
      </c>
      <c r="D1920">
        <v>3.8959999999999999</v>
      </c>
      <c r="E1920">
        <v>60</v>
      </c>
      <c r="F1920">
        <v>2.0699999999999998</v>
      </c>
      <c r="G1920">
        <v>-5.0799999999999998E-2</v>
      </c>
      <c r="H1920">
        <v>0</v>
      </c>
      <c r="J1920">
        <v>1</v>
      </c>
      <c r="K1920">
        <f>YEAR(NetflixData[[#This Row],[date]])</f>
        <v>2023</v>
      </c>
      <c r="L1920" t="str">
        <f>TEXT(NetflixData[[#This Row],[date]],"mmm")</f>
        <v>Dec</v>
      </c>
      <c r="M1920" t="str">
        <f>TEXT(NetflixData[[#This Row],[date]],"mmm yyyy")</f>
        <v>Dec 2023</v>
      </c>
      <c r="N1920" t="str">
        <f t="shared" si="87"/>
        <v>Trading Day</v>
      </c>
      <c r="O1920" t="str">
        <f t="shared" si="88"/>
        <v>Positive</v>
      </c>
      <c r="P1920" t="str">
        <f t="shared" si="89"/>
        <v>Neutral</v>
      </c>
    </row>
    <row r="1921" spans="1:16" x14ac:dyDescent="0.3">
      <c r="A1921" s="1">
        <v>45274</v>
      </c>
      <c r="B1921">
        <v>46.98</v>
      </c>
      <c r="C1921">
        <v>51764000</v>
      </c>
      <c r="D1921">
        <v>-2.1920000000000002</v>
      </c>
      <c r="E1921">
        <v>69</v>
      </c>
      <c r="F1921">
        <v>2.0699999999999998</v>
      </c>
      <c r="G1921">
        <v>0.10929999999999999</v>
      </c>
      <c r="H1921">
        <v>0</v>
      </c>
      <c r="J1921">
        <v>1</v>
      </c>
      <c r="K1921">
        <f>YEAR(NetflixData[[#This Row],[date]])</f>
        <v>2023</v>
      </c>
      <c r="L1921" t="str">
        <f>TEXT(NetflixData[[#This Row],[date]],"mmm")</f>
        <v>Dec</v>
      </c>
      <c r="M1921" t="str">
        <f>TEXT(NetflixData[[#This Row],[date]],"mmm yyyy")</f>
        <v>Dec 2023</v>
      </c>
      <c r="N1921" t="str">
        <f t="shared" si="87"/>
        <v>Trading Day</v>
      </c>
      <c r="O1921" t="str">
        <f t="shared" si="88"/>
        <v>Negative</v>
      </c>
      <c r="P1921" t="str">
        <f t="shared" si="89"/>
        <v>Positive</v>
      </c>
    </row>
    <row r="1922" spans="1:16" x14ac:dyDescent="0.3">
      <c r="A1922" s="1">
        <v>45275</v>
      </c>
      <c r="B1922">
        <v>47.21</v>
      </c>
      <c r="C1922">
        <v>78410000</v>
      </c>
      <c r="D1922">
        <v>1.0189999999999999</v>
      </c>
      <c r="E1922">
        <v>69</v>
      </c>
      <c r="F1922">
        <v>2.0699999999999998</v>
      </c>
      <c r="G1922">
        <v>3.5799999999999998E-2</v>
      </c>
      <c r="H1922">
        <v>0</v>
      </c>
      <c r="J1922">
        <v>1</v>
      </c>
      <c r="K1922">
        <f>YEAR(NetflixData[[#This Row],[date]])</f>
        <v>2023</v>
      </c>
      <c r="L1922" t="str">
        <f>TEXT(NetflixData[[#This Row],[date]],"mmm")</f>
        <v>Dec</v>
      </c>
      <c r="M1922" t="str">
        <f>TEXT(NetflixData[[#This Row],[date]],"mmm yyyy")</f>
        <v>Dec 2023</v>
      </c>
      <c r="N1922" t="str">
        <f t="shared" ref="N1922:N1985" si="90">IF(J1923=1,"Trading Day","Non-Trading Day")</f>
        <v>Non-Trading Day</v>
      </c>
      <c r="O1922" t="str">
        <f t="shared" ref="O1922:O1985" si="91">IF(D1922&gt;0,"Positive",IF(D1922&lt;0,"Negative","No Change"))</f>
        <v>Positive</v>
      </c>
      <c r="P1922" t="str">
        <f t="shared" ref="P1922:P1985" si="92">IF(G1922&gt;0.1,"Positive",IF(G1922&lt;-0.1,"Negative","Neutral"))</f>
        <v>Neutral</v>
      </c>
    </row>
    <row r="1923" spans="1:16" x14ac:dyDescent="0.3">
      <c r="A1923" s="1">
        <v>45276</v>
      </c>
      <c r="B1923">
        <v>47.21</v>
      </c>
      <c r="C1923">
        <v>0</v>
      </c>
      <c r="D1923">
        <v>0</v>
      </c>
      <c r="E1923">
        <v>71</v>
      </c>
      <c r="F1923">
        <v>2.13</v>
      </c>
      <c r="G1923">
        <v>-2.1600000000000001E-2</v>
      </c>
      <c r="H1923">
        <v>0</v>
      </c>
      <c r="J1923">
        <v>0</v>
      </c>
      <c r="K1923">
        <f>YEAR(NetflixData[[#This Row],[date]])</f>
        <v>2023</v>
      </c>
      <c r="L1923" t="str">
        <f>TEXT(NetflixData[[#This Row],[date]],"mmm")</f>
        <v>Dec</v>
      </c>
      <c r="M1923" t="str">
        <f>TEXT(NetflixData[[#This Row],[date]],"mmm yyyy")</f>
        <v>Dec 2023</v>
      </c>
      <c r="N1923" t="str">
        <f t="shared" si="90"/>
        <v>Non-Trading Day</v>
      </c>
      <c r="O1923" t="str">
        <f t="shared" si="91"/>
        <v>No Change</v>
      </c>
      <c r="P1923" t="str">
        <f t="shared" si="92"/>
        <v>Neutral</v>
      </c>
    </row>
    <row r="1924" spans="1:16" x14ac:dyDescent="0.3">
      <c r="A1924" s="1">
        <v>45277</v>
      </c>
      <c r="B1924">
        <v>47.21</v>
      </c>
      <c r="C1924">
        <v>0</v>
      </c>
      <c r="D1924">
        <v>0</v>
      </c>
      <c r="E1924">
        <v>76</v>
      </c>
      <c r="F1924">
        <v>2.1800000000000002</v>
      </c>
      <c r="G1924">
        <v>1.5800000000000002E-2</v>
      </c>
      <c r="H1924">
        <v>0</v>
      </c>
      <c r="J1924">
        <v>0</v>
      </c>
      <c r="K1924">
        <f>YEAR(NetflixData[[#This Row],[date]])</f>
        <v>2023</v>
      </c>
      <c r="L1924" t="str">
        <f>TEXT(NetflixData[[#This Row],[date]],"mmm")</f>
        <v>Dec</v>
      </c>
      <c r="M1924" t="str">
        <f>TEXT(NetflixData[[#This Row],[date]],"mmm yyyy")</f>
        <v>Dec 2023</v>
      </c>
      <c r="N1924" t="str">
        <f t="shared" si="90"/>
        <v>Trading Day</v>
      </c>
      <c r="O1924" t="str">
        <f t="shared" si="91"/>
        <v>No Change</v>
      </c>
      <c r="P1924" t="str">
        <f t="shared" si="92"/>
        <v>Neutral</v>
      </c>
    </row>
    <row r="1925" spans="1:16" x14ac:dyDescent="0.3">
      <c r="A1925" s="1">
        <v>45278</v>
      </c>
      <c r="B1925">
        <v>48.61</v>
      </c>
      <c r="C1925">
        <v>64107000</v>
      </c>
      <c r="D1925">
        <v>2.0619999999999998</v>
      </c>
      <c r="E1925">
        <v>65</v>
      </c>
      <c r="F1925">
        <v>2.37</v>
      </c>
      <c r="G1925">
        <v>0.15340000000000001</v>
      </c>
      <c r="H1925">
        <v>0</v>
      </c>
      <c r="J1925">
        <v>1</v>
      </c>
      <c r="K1925">
        <f>YEAR(NetflixData[[#This Row],[date]])</f>
        <v>2023</v>
      </c>
      <c r="L1925" t="str">
        <f>TEXT(NetflixData[[#This Row],[date]],"mmm")</f>
        <v>Dec</v>
      </c>
      <c r="M1925" t="str">
        <f>TEXT(NetflixData[[#This Row],[date]],"mmm yyyy")</f>
        <v>Dec 2023</v>
      </c>
      <c r="N1925" t="str">
        <f t="shared" si="90"/>
        <v>Trading Day</v>
      </c>
      <c r="O1925" t="str">
        <f t="shared" si="91"/>
        <v>Positive</v>
      </c>
      <c r="P1925" t="str">
        <f t="shared" si="92"/>
        <v>Positive</v>
      </c>
    </row>
    <row r="1926" spans="1:16" x14ac:dyDescent="0.3">
      <c r="A1926" s="1">
        <v>45279</v>
      </c>
      <c r="B1926">
        <v>49.5</v>
      </c>
      <c r="C1926">
        <v>38490000</v>
      </c>
      <c r="D1926">
        <v>1.355</v>
      </c>
      <c r="E1926">
        <v>65</v>
      </c>
      <c r="F1926">
        <v>2.2000000000000002</v>
      </c>
      <c r="G1926">
        <v>0.1115</v>
      </c>
      <c r="H1926">
        <v>0</v>
      </c>
      <c r="J1926">
        <v>1</v>
      </c>
      <c r="K1926">
        <f>YEAR(NetflixData[[#This Row],[date]])</f>
        <v>2023</v>
      </c>
      <c r="L1926" t="str">
        <f>TEXT(NetflixData[[#This Row],[date]],"mmm")</f>
        <v>Dec</v>
      </c>
      <c r="M1926" t="str">
        <f>TEXT(NetflixData[[#This Row],[date]],"mmm yyyy")</f>
        <v>Dec 2023</v>
      </c>
      <c r="N1926" t="str">
        <f t="shared" si="90"/>
        <v>Trading Day</v>
      </c>
      <c r="O1926" t="str">
        <f t="shared" si="91"/>
        <v>Positive</v>
      </c>
      <c r="P1926" t="str">
        <f t="shared" si="92"/>
        <v>Positive</v>
      </c>
    </row>
    <row r="1927" spans="1:16" x14ac:dyDescent="0.3">
      <c r="A1927" s="1">
        <v>45280</v>
      </c>
      <c r="B1927">
        <v>48.93</v>
      </c>
      <c r="C1927">
        <v>45637000</v>
      </c>
      <c r="D1927">
        <v>-0.55500000000000005</v>
      </c>
      <c r="E1927">
        <v>59</v>
      </c>
      <c r="F1927">
        <v>2.42</v>
      </c>
      <c r="G1927">
        <v>7.3700000000000002E-2</v>
      </c>
      <c r="H1927">
        <v>0</v>
      </c>
      <c r="J1927">
        <v>1</v>
      </c>
      <c r="K1927">
        <f>YEAR(NetflixData[[#This Row],[date]])</f>
        <v>2023</v>
      </c>
      <c r="L1927" t="str">
        <f>TEXT(NetflixData[[#This Row],[date]],"mmm")</f>
        <v>Dec</v>
      </c>
      <c r="M1927" t="str">
        <f>TEXT(NetflixData[[#This Row],[date]],"mmm yyyy")</f>
        <v>Dec 2023</v>
      </c>
      <c r="N1927" t="str">
        <f t="shared" si="90"/>
        <v>Trading Day</v>
      </c>
      <c r="O1927" t="str">
        <f t="shared" si="91"/>
        <v>Negative</v>
      </c>
      <c r="P1927" t="str">
        <f t="shared" si="92"/>
        <v>Neutral</v>
      </c>
    </row>
    <row r="1928" spans="1:16" x14ac:dyDescent="0.3">
      <c r="A1928" s="1">
        <v>45281</v>
      </c>
      <c r="B1928">
        <v>49.16</v>
      </c>
      <c r="C1928">
        <v>27562000</v>
      </c>
      <c r="D1928">
        <v>-0.21299999999999999</v>
      </c>
      <c r="E1928">
        <v>63</v>
      </c>
      <c r="F1928">
        <v>2.54</v>
      </c>
      <c r="G1928">
        <v>0.152</v>
      </c>
      <c r="H1928">
        <v>0</v>
      </c>
      <c r="J1928">
        <v>1</v>
      </c>
      <c r="K1928">
        <f>YEAR(NetflixData[[#This Row],[date]])</f>
        <v>2023</v>
      </c>
      <c r="L1928" t="str">
        <f>TEXT(NetflixData[[#This Row],[date]],"mmm")</f>
        <v>Dec</v>
      </c>
      <c r="M1928" t="str">
        <f>TEXT(NetflixData[[#This Row],[date]],"mmm yyyy")</f>
        <v>Dec 2023</v>
      </c>
      <c r="N1928" t="str">
        <f t="shared" si="90"/>
        <v>Trading Day</v>
      </c>
      <c r="O1928" t="str">
        <f t="shared" si="91"/>
        <v>Negative</v>
      </c>
      <c r="P1928" t="str">
        <f t="shared" si="92"/>
        <v>Positive</v>
      </c>
    </row>
    <row r="1929" spans="1:16" x14ac:dyDescent="0.3">
      <c r="A1929" s="1">
        <v>45282</v>
      </c>
      <c r="B1929">
        <v>48.68</v>
      </c>
      <c r="C1929">
        <v>27027000</v>
      </c>
      <c r="D1929">
        <v>-1.466</v>
      </c>
      <c r="E1929">
        <v>59</v>
      </c>
      <c r="F1929">
        <v>2.27</v>
      </c>
      <c r="G1929">
        <v>7.1400000000000005E-2</v>
      </c>
      <c r="H1929">
        <v>0</v>
      </c>
      <c r="J1929">
        <v>1</v>
      </c>
      <c r="K1929">
        <f>YEAR(NetflixData[[#This Row],[date]])</f>
        <v>2023</v>
      </c>
      <c r="L1929" t="str">
        <f>TEXT(NetflixData[[#This Row],[date]],"mmm")</f>
        <v>Dec</v>
      </c>
      <c r="M1929" t="str">
        <f>TEXT(NetflixData[[#This Row],[date]],"mmm yyyy")</f>
        <v>Dec 2023</v>
      </c>
      <c r="N1929" t="str">
        <f t="shared" si="90"/>
        <v>Non-Trading Day</v>
      </c>
      <c r="O1929" t="str">
        <f t="shared" si="91"/>
        <v>Negative</v>
      </c>
      <c r="P1929" t="str">
        <f t="shared" si="92"/>
        <v>Neutral</v>
      </c>
    </row>
    <row r="1930" spans="1:16" x14ac:dyDescent="0.3">
      <c r="A1930" s="1">
        <v>45283</v>
      </c>
      <c r="B1930">
        <v>48.68</v>
      </c>
      <c r="C1930">
        <v>0</v>
      </c>
      <c r="D1930">
        <v>0</v>
      </c>
      <c r="E1930">
        <v>58</v>
      </c>
      <c r="F1930">
        <v>2.57</v>
      </c>
      <c r="G1930">
        <v>0.15479999999999999</v>
      </c>
      <c r="H1930">
        <v>0</v>
      </c>
      <c r="J1930">
        <v>0</v>
      </c>
      <c r="K1930">
        <f>YEAR(NetflixData[[#This Row],[date]])</f>
        <v>2023</v>
      </c>
      <c r="L1930" t="str">
        <f>TEXT(NetflixData[[#This Row],[date]],"mmm")</f>
        <v>Dec</v>
      </c>
      <c r="M1930" t="str">
        <f>TEXT(NetflixData[[#This Row],[date]],"mmm yyyy")</f>
        <v>Dec 2023</v>
      </c>
      <c r="N1930" t="str">
        <f t="shared" si="90"/>
        <v>Non-Trading Day</v>
      </c>
      <c r="O1930" t="str">
        <f t="shared" si="91"/>
        <v>No Change</v>
      </c>
      <c r="P1930" t="str">
        <f t="shared" si="92"/>
        <v>Positive</v>
      </c>
    </row>
    <row r="1931" spans="1:16" x14ac:dyDescent="0.3">
      <c r="A1931" s="1">
        <v>45284</v>
      </c>
      <c r="B1931">
        <v>48.68</v>
      </c>
      <c r="C1931">
        <v>0</v>
      </c>
      <c r="D1931">
        <v>0</v>
      </c>
      <c r="E1931">
        <v>78</v>
      </c>
      <c r="F1931">
        <v>1.94</v>
      </c>
      <c r="G1931">
        <v>6.8199999999999997E-2</v>
      </c>
      <c r="H1931">
        <v>0</v>
      </c>
      <c r="J1931">
        <v>0</v>
      </c>
      <c r="K1931">
        <f>YEAR(NetflixData[[#This Row],[date]])</f>
        <v>2023</v>
      </c>
      <c r="L1931" t="str">
        <f>TEXT(NetflixData[[#This Row],[date]],"mmm")</f>
        <v>Dec</v>
      </c>
      <c r="M1931" t="str">
        <f>TEXT(NetflixData[[#This Row],[date]],"mmm yyyy")</f>
        <v>Dec 2023</v>
      </c>
      <c r="N1931" t="str">
        <f t="shared" si="90"/>
        <v>Non-Trading Day</v>
      </c>
      <c r="O1931" t="str">
        <f t="shared" si="91"/>
        <v>No Change</v>
      </c>
      <c r="P1931" t="str">
        <f t="shared" si="92"/>
        <v>Neutral</v>
      </c>
    </row>
    <row r="1932" spans="1:16" x14ac:dyDescent="0.3">
      <c r="A1932" s="1">
        <v>45285</v>
      </c>
      <c r="B1932">
        <v>48.68</v>
      </c>
      <c r="C1932">
        <v>0</v>
      </c>
      <c r="D1932">
        <v>0</v>
      </c>
      <c r="E1932">
        <v>59</v>
      </c>
      <c r="F1932">
        <v>2.2400000000000002</v>
      </c>
      <c r="G1932">
        <v>0.15529999999999999</v>
      </c>
      <c r="H1932">
        <v>0</v>
      </c>
      <c r="J1932">
        <v>0</v>
      </c>
      <c r="K1932">
        <f>YEAR(NetflixData[[#This Row],[date]])</f>
        <v>2023</v>
      </c>
      <c r="L1932" t="str">
        <f>TEXT(NetflixData[[#This Row],[date]],"mmm")</f>
        <v>Dec</v>
      </c>
      <c r="M1932" t="str">
        <f>TEXT(NetflixData[[#This Row],[date]],"mmm yyyy")</f>
        <v>Dec 2023</v>
      </c>
      <c r="N1932" t="str">
        <f t="shared" si="90"/>
        <v>Trading Day</v>
      </c>
      <c r="O1932" t="str">
        <f t="shared" si="91"/>
        <v>No Change</v>
      </c>
      <c r="P1932" t="str">
        <f t="shared" si="92"/>
        <v>Positive</v>
      </c>
    </row>
    <row r="1933" spans="1:16" x14ac:dyDescent="0.3">
      <c r="A1933" s="1">
        <v>45286</v>
      </c>
      <c r="B1933">
        <v>49.12</v>
      </c>
      <c r="C1933">
        <v>20345000</v>
      </c>
      <c r="D1933">
        <v>0.36799999999999999</v>
      </c>
      <c r="E1933">
        <v>65</v>
      </c>
      <c r="F1933">
        <v>2.31</v>
      </c>
      <c r="G1933">
        <v>8.1900000000000001E-2</v>
      </c>
      <c r="H1933">
        <v>0</v>
      </c>
      <c r="J1933">
        <v>1</v>
      </c>
      <c r="K1933">
        <f>YEAR(NetflixData[[#This Row],[date]])</f>
        <v>2023</v>
      </c>
      <c r="L1933" t="str">
        <f>TEXT(NetflixData[[#This Row],[date]],"mmm")</f>
        <v>Dec</v>
      </c>
      <c r="M1933" t="str">
        <f>TEXT(NetflixData[[#This Row],[date]],"mmm yyyy")</f>
        <v>Dec 2023</v>
      </c>
      <c r="N1933" t="str">
        <f t="shared" si="90"/>
        <v>Trading Day</v>
      </c>
      <c r="O1933" t="str">
        <f t="shared" si="91"/>
        <v>Positive</v>
      </c>
      <c r="P1933" t="str">
        <f t="shared" si="92"/>
        <v>Neutral</v>
      </c>
    </row>
    <row r="1934" spans="1:16" x14ac:dyDescent="0.3">
      <c r="A1934" s="1">
        <v>45287</v>
      </c>
      <c r="B1934">
        <v>49.18</v>
      </c>
      <c r="C1934">
        <v>25613000</v>
      </c>
      <c r="D1934">
        <v>0.112</v>
      </c>
      <c r="E1934">
        <v>48</v>
      </c>
      <c r="F1934">
        <v>2.58</v>
      </c>
      <c r="G1934">
        <v>3.6499999999999998E-2</v>
      </c>
      <c r="H1934">
        <v>0</v>
      </c>
      <c r="J1934">
        <v>1</v>
      </c>
      <c r="K1934">
        <f>YEAR(NetflixData[[#This Row],[date]])</f>
        <v>2023</v>
      </c>
      <c r="L1934" t="str">
        <f>TEXT(NetflixData[[#This Row],[date]],"mmm")</f>
        <v>Dec</v>
      </c>
      <c r="M1934" t="str">
        <f>TEXT(NetflixData[[#This Row],[date]],"mmm yyyy")</f>
        <v>Dec 2023</v>
      </c>
      <c r="N1934" t="str">
        <f t="shared" si="90"/>
        <v>Trading Day</v>
      </c>
      <c r="O1934" t="str">
        <f t="shared" si="91"/>
        <v>Positive</v>
      </c>
      <c r="P1934" t="str">
        <f t="shared" si="92"/>
        <v>Neutral</v>
      </c>
    </row>
    <row r="1935" spans="1:16" x14ac:dyDescent="0.3">
      <c r="A1935" s="1">
        <v>45288</v>
      </c>
      <c r="B1935">
        <v>49.05</v>
      </c>
      <c r="C1935">
        <v>17105000</v>
      </c>
      <c r="D1935">
        <v>-0.30299999999999999</v>
      </c>
      <c r="E1935">
        <v>63</v>
      </c>
      <c r="F1935">
        <v>2.08</v>
      </c>
      <c r="G1935">
        <v>-2.5899999999999999E-2</v>
      </c>
      <c r="H1935">
        <v>0</v>
      </c>
      <c r="J1935">
        <v>1</v>
      </c>
      <c r="K1935">
        <f>YEAR(NetflixData[[#This Row],[date]])</f>
        <v>2023</v>
      </c>
      <c r="L1935" t="str">
        <f>TEXT(NetflixData[[#This Row],[date]],"mmm")</f>
        <v>Dec</v>
      </c>
      <c r="M1935" t="str">
        <f>TEXT(NetflixData[[#This Row],[date]],"mmm yyyy")</f>
        <v>Dec 2023</v>
      </c>
      <c r="N1935" t="str">
        <f t="shared" si="90"/>
        <v>Trading Day</v>
      </c>
      <c r="O1935" t="str">
        <f t="shared" si="91"/>
        <v>Negative</v>
      </c>
      <c r="P1935" t="str">
        <f t="shared" si="92"/>
        <v>Neutral</v>
      </c>
    </row>
    <row r="1936" spans="1:16" x14ac:dyDescent="0.3">
      <c r="A1936" s="1">
        <v>45289</v>
      </c>
      <c r="B1936">
        <v>48.69</v>
      </c>
      <c r="C1936">
        <v>27406000</v>
      </c>
      <c r="D1936">
        <v>-0.71199999999999997</v>
      </c>
      <c r="E1936">
        <v>67</v>
      </c>
      <c r="F1936">
        <v>2.31</v>
      </c>
      <c r="G1936">
        <v>6.8500000000000005E-2</v>
      </c>
      <c r="H1936">
        <v>0</v>
      </c>
      <c r="J1936">
        <v>1</v>
      </c>
      <c r="K1936">
        <f>YEAR(NetflixData[[#This Row],[date]])</f>
        <v>2023</v>
      </c>
      <c r="L1936" t="str">
        <f>TEXT(NetflixData[[#This Row],[date]],"mmm")</f>
        <v>Dec</v>
      </c>
      <c r="M1936" t="str">
        <f>TEXT(NetflixData[[#This Row],[date]],"mmm yyyy")</f>
        <v>Dec 2023</v>
      </c>
      <c r="N1936" t="str">
        <f t="shared" si="90"/>
        <v>Non-Trading Day</v>
      </c>
      <c r="O1936" t="str">
        <f t="shared" si="91"/>
        <v>Negative</v>
      </c>
      <c r="P1936" t="str">
        <f t="shared" si="92"/>
        <v>Neutral</v>
      </c>
    </row>
    <row r="1937" spans="1:16" x14ac:dyDescent="0.3">
      <c r="A1937" s="1">
        <v>45290</v>
      </c>
      <c r="B1937">
        <v>48.69</v>
      </c>
      <c r="C1937">
        <v>0</v>
      </c>
      <c r="D1937">
        <v>0</v>
      </c>
      <c r="E1937">
        <v>64</v>
      </c>
      <c r="F1937">
        <v>2.4500000000000002</v>
      </c>
      <c r="G1937">
        <v>3.7600000000000001E-2</v>
      </c>
      <c r="H1937">
        <v>0</v>
      </c>
      <c r="J1937">
        <v>0</v>
      </c>
      <c r="K1937">
        <f>YEAR(NetflixData[[#This Row],[date]])</f>
        <v>2023</v>
      </c>
      <c r="L1937" t="str">
        <f>TEXT(NetflixData[[#This Row],[date]],"mmm")</f>
        <v>Dec</v>
      </c>
      <c r="M1937" t="str">
        <f>TEXT(NetflixData[[#This Row],[date]],"mmm yyyy")</f>
        <v>Dec 2023</v>
      </c>
      <c r="N1937" t="str">
        <f t="shared" si="90"/>
        <v>Non-Trading Day</v>
      </c>
      <c r="O1937" t="str">
        <f t="shared" si="91"/>
        <v>No Change</v>
      </c>
      <c r="P1937" t="str">
        <f t="shared" si="92"/>
        <v>Neutral</v>
      </c>
    </row>
    <row r="1938" spans="1:16" x14ac:dyDescent="0.3">
      <c r="A1938" s="1">
        <v>45291</v>
      </c>
      <c r="B1938">
        <v>48.69</v>
      </c>
      <c r="C1938">
        <v>0</v>
      </c>
      <c r="D1938">
        <v>0</v>
      </c>
      <c r="E1938">
        <v>55</v>
      </c>
      <c r="F1938">
        <v>2.27</v>
      </c>
      <c r="G1938">
        <v>-2.0000000000000001E-4</v>
      </c>
      <c r="H1938">
        <v>0</v>
      </c>
      <c r="J1938">
        <v>0</v>
      </c>
      <c r="K1938">
        <f>YEAR(NetflixData[[#This Row],[date]])</f>
        <v>2023</v>
      </c>
      <c r="L1938" t="str">
        <f>TEXT(NetflixData[[#This Row],[date]],"mmm")</f>
        <v>Dec</v>
      </c>
      <c r="M1938" t="str">
        <f>TEXT(NetflixData[[#This Row],[date]],"mmm yyyy")</f>
        <v>Dec 2023</v>
      </c>
      <c r="N1938" t="str">
        <f t="shared" si="90"/>
        <v>Non-Trading Day</v>
      </c>
      <c r="O1938" t="str">
        <f t="shared" si="91"/>
        <v>No Change</v>
      </c>
      <c r="P1938" t="str">
        <f t="shared" si="92"/>
        <v>Neutral</v>
      </c>
    </row>
    <row r="1939" spans="1:16" x14ac:dyDescent="0.3">
      <c r="A1939" s="1">
        <v>45292</v>
      </c>
      <c r="B1939">
        <v>48.69</v>
      </c>
      <c r="C1939">
        <v>0</v>
      </c>
      <c r="D1939">
        <v>0</v>
      </c>
      <c r="E1939">
        <v>58</v>
      </c>
      <c r="F1939">
        <v>2.21</v>
      </c>
      <c r="G1939">
        <v>0.1186</v>
      </c>
      <c r="H1939">
        <v>0</v>
      </c>
      <c r="J1939">
        <v>0</v>
      </c>
      <c r="K1939">
        <f>YEAR(NetflixData[[#This Row],[date]])</f>
        <v>2024</v>
      </c>
      <c r="L1939" t="str">
        <f>TEXT(NetflixData[[#This Row],[date]],"mmm")</f>
        <v>Jan</v>
      </c>
      <c r="M1939" t="str">
        <f>TEXT(NetflixData[[#This Row],[date]],"mmm yyyy")</f>
        <v>Jan 2024</v>
      </c>
      <c r="N1939" t="str">
        <f t="shared" si="90"/>
        <v>Trading Day</v>
      </c>
      <c r="O1939" t="str">
        <f t="shared" si="91"/>
        <v>No Change</v>
      </c>
      <c r="P1939" t="str">
        <f t="shared" si="92"/>
        <v>Positive</v>
      </c>
    </row>
    <row r="1940" spans="1:16" x14ac:dyDescent="0.3">
      <c r="A1940" s="1">
        <v>45293</v>
      </c>
      <c r="B1940">
        <v>46.85</v>
      </c>
      <c r="C1940">
        <v>50494000</v>
      </c>
      <c r="D1940">
        <v>-3.04</v>
      </c>
      <c r="E1940">
        <v>79</v>
      </c>
      <c r="F1940">
        <v>1.99</v>
      </c>
      <c r="G1940">
        <v>5.1999999999999998E-3</v>
      </c>
      <c r="H1940">
        <v>0</v>
      </c>
      <c r="J1940">
        <v>1</v>
      </c>
      <c r="K1940">
        <f>YEAR(NetflixData[[#This Row],[date]])</f>
        <v>2024</v>
      </c>
      <c r="L1940" t="str">
        <f>TEXT(NetflixData[[#This Row],[date]],"mmm")</f>
        <v>Jan</v>
      </c>
      <c r="M1940" t="str">
        <f>TEXT(NetflixData[[#This Row],[date]],"mmm yyyy")</f>
        <v>Jan 2024</v>
      </c>
      <c r="N1940" t="str">
        <f t="shared" si="90"/>
        <v>Trading Day</v>
      </c>
      <c r="O1940" t="str">
        <f t="shared" si="91"/>
        <v>Negative</v>
      </c>
      <c r="P1940" t="str">
        <f t="shared" si="92"/>
        <v>Neutral</v>
      </c>
    </row>
    <row r="1941" spans="1:16" x14ac:dyDescent="0.3">
      <c r="A1941" s="1">
        <v>45294</v>
      </c>
      <c r="B1941">
        <v>47.03</v>
      </c>
      <c r="C1941">
        <v>34437000</v>
      </c>
      <c r="D1941">
        <v>0.629</v>
      </c>
      <c r="E1941">
        <v>56</v>
      </c>
      <c r="F1941">
        <v>2.38</v>
      </c>
      <c r="G1941">
        <v>9.9099999999999994E-2</v>
      </c>
      <c r="H1941">
        <v>0</v>
      </c>
      <c r="J1941">
        <v>1</v>
      </c>
      <c r="K1941">
        <f>YEAR(NetflixData[[#This Row],[date]])</f>
        <v>2024</v>
      </c>
      <c r="L1941" t="str">
        <f>TEXT(NetflixData[[#This Row],[date]],"mmm")</f>
        <v>Jan</v>
      </c>
      <c r="M1941" t="str">
        <f>TEXT(NetflixData[[#This Row],[date]],"mmm yyyy")</f>
        <v>Jan 2024</v>
      </c>
      <c r="N1941" t="str">
        <f t="shared" si="90"/>
        <v>Trading Day</v>
      </c>
      <c r="O1941" t="str">
        <f t="shared" si="91"/>
        <v>Positive</v>
      </c>
      <c r="P1941" t="str">
        <f t="shared" si="92"/>
        <v>Neutral</v>
      </c>
    </row>
    <row r="1942" spans="1:16" x14ac:dyDescent="0.3">
      <c r="A1942" s="1">
        <v>45295</v>
      </c>
      <c r="B1942">
        <v>47.47</v>
      </c>
      <c r="C1942">
        <v>36365000</v>
      </c>
      <c r="D1942">
        <v>0.35699999999999998</v>
      </c>
      <c r="E1942">
        <v>50</v>
      </c>
      <c r="F1942">
        <v>2.1</v>
      </c>
      <c r="G1942">
        <v>-6.0999999999999999E-2</v>
      </c>
      <c r="H1942">
        <v>0</v>
      </c>
      <c r="J1942">
        <v>1</v>
      </c>
      <c r="K1942">
        <f>YEAR(NetflixData[[#This Row],[date]])</f>
        <v>2024</v>
      </c>
      <c r="L1942" t="str">
        <f>TEXT(NetflixData[[#This Row],[date]],"mmm")</f>
        <v>Jan</v>
      </c>
      <c r="M1942" t="str">
        <f>TEXT(NetflixData[[#This Row],[date]],"mmm yyyy")</f>
        <v>Jan 2024</v>
      </c>
      <c r="N1942" t="str">
        <f t="shared" si="90"/>
        <v>Trading Day</v>
      </c>
      <c r="O1942" t="str">
        <f t="shared" si="91"/>
        <v>Positive</v>
      </c>
      <c r="P1942" t="str">
        <f t="shared" si="92"/>
        <v>Neutral</v>
      </c>
    </row>
    <row r="1943" spans="1:16" x14ac:dyDescent="0.3">
      <c r="A1943" s="1">
        <v>45296</v>
      </c>
      <c r="B1943">
        <v>47.41</v>
      </c>
      <c r="C1943">
        <v>26313000</v>
      </c>
      <c r="D1943">
        <v>-0.51200000000000001</v>
      </c>
      <c r="E1943">
        <v>55</v>
      </c>
      <c r="F1943">
        <v>2.4500000000000002</v>
      </c>
      <c r="G1943">
        <v>9.6299999999999997E-2</v>
      </c>
      <c r="H1943">
        <v>0</v>
      </c>
      <c r="J1943">
        <v>1</v>
      </c>
      <c r="K1943">
        <f>YEAR(NetflixData[[#This Row],[date]])</f>
        <v>2024</v>
      </c>
      <c r="L1943" t="str">
        <f>TEXT(NetflixData[[#This Row],[date]],"mmm")</f>
        <v>Jan</v>
      </c>
      <c r="M1943" t="str">
        <f>TEXT(NetflixData[[#This Row],[date]],"mmm yyyy")</f>
        <v>Jan 2024</v>
      </c>
      <c r="N1943" t="str">
        <f t="shared" si="90"/>
        <v>Non-Trading Day</v>
      </c>
      <c r="O1943" t="str">
        <f t="shared" si="91"/>
        <v>Negative</v>
      </c>
      <c r="P1943" t="str">
        <f t="shared" si="92"/>
        <v>Neutral</v>
      </c>
    </row>
    <row r="1944" spans="1:16" x14ac:dyDescent="0.3">
      <c r="A1944" s="1">
        <v>45297</v>
      </c>
      <c r="B1944">
        <v>47.41</v>
      </c>
      <c r="C1944">
        <v>0</v>
      </c>
      <c r="D1944">
        <v>0</v>
      </c>
      <c r="E1944">
        <v>70</v>
      </c>
      <c r="F1944">
        <v>2.5299999999999998</v>
      </c>
      <c r="G1944">
        <v>0.1099</v>
      </c>
      <c r="H1944">
        <v>0</v>
      </c>
      <c r="J1944">
        <v>0</v>
      </c>
      <c r="K1944">
        <f>YEAR(NetflixData[[#This Row],[date]])</f>
        <v>2024</v>
      </c>
      <c r="L1944" t="str">
        <f>TEXT(NetflixData[[#This Row],[date]],"mmm")</f>
        <v>Jan</v>
      </c>
      <c r="M1944" t="str">
        <f>TEXT(NetflixData[[#This Row],[date]],"mmm yyyy")</f>
        <v>Jan 2024</v>
      </c>
      <c r="N1944" t="str">
        <f t="shared" si="90"/>
        <v>Non-Trading Day</v>
      </c>
      <c r="O1944" t="str">
        <f t="shared" si="91"/>
        <v>No Change</v>
      </c>
      <c r="P1944" t="str">
        <f t="shared" si="92"/>
        <v>Positive</v>
      </c>
    </row>
    <row r="1945" spans="1:16" x14ac:dyDescent="0.3">
      <c r="A1945" s="1">
        <v>45298</v>
      </c>
      <c r="B1945">
        <v>47.41</v>
      </c>
      <c r="C1945">
        <v>0</v>
      </c>
      <c r="D1945">
        <v>0</v>
      </c>
      <c r="E1945">
        <v>76</v>
      </c>
      <c r="F1945">
        <v>2.2999999999999998</v>
      </c>
      <c r="G1945">
        <v>0.10829999999999999</v>
      </c>
      <c r="H1945">
        <v>0</v>
      </c>
      <c r="J1945">
        <v>0</v>
      </c>
      <c r="K1945">
        <f>YEAR(NetflixData[[#This Row],[date]])</f>
        <v>2024</v>
      </c>
      <c r="L1945" t="str">
        <f>TEXT(NetflixData[[#This Row],[date]],"mmm")</f>
        <v>Jan</v>
      </c>
      <c r="M1945" t="str">
        <f>TEXT(NetflixData[[#This Row],[date]],"mmm yyyy")</f>
        <v>Jan 2024</v>
      </c>
      <c r="N1945" t="str">
        <f t="shared" si="90"/>
        <v>Trading Day</v>
      </c>
      <c r="O1945" t="str">
        <f t="shared" si="91"/>
        <v>No Change</v>
      </c>
      <c r="P1945" t="str">
        <f t="shared" si="92"/>
        <v>Positive</v>
      </c>
    </row>
    <row r="1946" spans="1:16" x14ac:dyDescent="0.3">
      <c r="A1946" s="1">
        <v>45299</v>
      </c>
      <c r="B1946">
        <v>48.5</v>
      </c>
      <c r="C1946">
        <v>36758000</v>
      </c>
      <c r="D1946">
        <v>2.351</v>
      </c>
      <c r="E1946">
        <v>56</v>
      </c>
      <c r="F1946">
        <v>1.96</v>
      </c>
      <c r="G1946">
        <v>7.2999999999999995E-2</v>
      </c>
      <c r="H1946">
        <v>0</v>
      </c>
      <c r="J1946">
        <v>1</v>
      </c>
      <c r="K1946">
        <f>YEAR(NetflixData[[#This Row],[date]])</f>
        <v>2024</v>
      </c>
      <c r="L1946" t="str">
        <f>TEXT(NetflixData[[#This Row],[date]],"mmm")</f>
        <v>Jan</v>
      </c>
      <c r="M1946" t="str">
        <f>TEXT(NetflixData[[#This Row],[date]],"mmm yyyy")</f>
        <v>Jan 2024</v>
      </c>
      <c r="N1946" t="str">
        <f t="shared" si="90"/>
        <v>Trading Day</v>
      </c>
      <c r="O1946" t="str">
        <f t="shared" si="91"/>
        <v>Positive</v>
      </c>
      <c r="P1946" t="str">
        <f t="shared" si="92"/>
        <v>Neutral</v>
      </c>
    </row>
    <row r="1947" spans="1:16" x14ac:dyDescent="0.3">
      <c r="A1947" s="1">
        <v>45300</v>
      </c>
      <c r="B1947">
        <v>48.21</v>
      </c>
      <c r="C1947">
        <v>35268000</v>
      </c>
      <c r="D1947">
        <v>1.38</v>
      </c>
      <c r="E1947">
        <v>50</v>
      </c>
      <c r="F1947">
        <v>2.08</v>
      </c>
      <c r="G1947">
        <v>-6.6199999999999995E-2</v>
      </c>
      <c r="H1947">
        <v>0</v>
      </c>
      <c r="J1947">
        <v>1</v>
      </c>
      <c r="K1947">
        <f>YEAR(NetflixData[[#This Row],[date]])</f>
        <v>2024</v>
      </c>
      <c r="L1947" t="str">
        <f>TEXT(NetflixData[[#This Row],[date]],"mmm")</f>
        <v>Jan</v>
      </c>
      <c r="M1947" t="str">
        <f>TEXT(NetflixData[[#This Row],[date]],"mmm yyyy")</f>
        <v>Jan 2024</v>
      </c>
      <c r="N1947" t="str">
        <f t="shared" si="90"/>
        <v>Trading Day</v>
      </c>
      <c r="O1947" t="str">
        <f t="shared" si="91"/>
        <v>Positive</v>
      </c>
      <c r="P1947" t="str">
        <f t="shared" si="92"/>
        <v>Neutral</v>
      </c>
    </row>
    <row r="1948" spans="1:16" x14ac:dyDescent="0.3">
      <c r="A1948" s="1">
        <v>45301</v>
      </c>
      <c r="B1948">
        <v>47.83</v>
      </c>
      <c r="C1948">
        <v>43424000</v>
      </c>
      <c r="D1948">
        <v>-0.67900000000000005</v>
      </c>
      <c r="E1948">
        <v>53</v>
      </c>
      <c r="F1948">
        <v>2.21</v>
      </c>
      <c r="G1948">
        <v>9.8799999999999999E-2</v>
      </c>
      <c r="H1948">
        <v>0</v>
      </c>
      <c r="J1948">
        <v>1</v>
      </c>
      <c r="K1948">
        <f>YEAR(NetflixData[[#This Row],[date]])</f>
        <v>2024</v>
      </c>
      <c r="L1948" t="str">
        <f>TEXT(NetflixData[[#This Row],[date]],"mmm")</f>
        <v>Jan</v>
      </c>
      <c r="M1948" t="str">
        <f>TEXT(NetflixData[[#This Row],[date]],"mmm yyyy")</f>
        <v>Jan 2024</v>
      </c>
      <c r="N1948" t="str">
        <f t="shared" si="90"/>
        <v>Trading Day</v>
      </c>
      <c r="O1948" t="str">
        <f t="shared" si="91"/>
        <v>Negative</v>
      </c>
      <c r="P1948" t="str">
        <f t="shared" si="92"/>
        <v>Neutral</v>
      </c>
    </row>
    <row r="1949" spans="1:16" x14ac:dyDescent="0.3">
      <c r="A1949" s="1">
        <v>45302</v>
      </c>
      <c r="B1949">
        <v>49.22</v>
      </c>
      <c r="C1949">
        <v>79933000</v>
      </c>
      <c r="D1949">
        <v>-6.3E-2</v>
      </c>
      <c r="E1949">
        <v>68</v>
      </c>
      <c r="F1949">
        <v>2.0299999999999998</v>
      </c>
      <c r="G1949">
        <v>4.5499999999999999E-2</v>
      </c>
      <c r="H1949">
        <v>0</v>
      </c>
      <c r="J1949">
        <v>1</v>
      </c>
      <c r="K1949">
        <f>YEAR(NetflixData[[#This Row],[date]])</f>
        <v>2024</v>
      </c>
      <c r="L1949" t="str">
        <f>TEXT(NetflixData[[#This Row],[date]],"mmm")</f>
        <v>Jan</v>
      </c>
      <c r="M1949" t="str">
        <f>TEXT(NetflixData[[#This Row],[date]],"mmm yyyy")</f>
        <v>Jan 2024</v>
      </c>
      <c r="N1949" t="str">
        <f t="shared" si="90"/>
        <v>Trading Day</v>
      </c>
      <c r="O1949" t="str">
        <f t="shared" si="91"/>
        <v>Negative</v>
      </c>
      <c r="P1949" t="str">
        <f t="shared" si="92"/>
        <v>Neutral</v>
      </c>
    </row>
    <row r="1950" spans="1:16" x14ac:dyDescent="0.3">
      <c r="A1950" s="1">
        <v>45303</v>
      </c>
      <c r="B1950">
        <v>49.22</v>
      </c>
      <c r="C1950">
        <v>50037000</v>
      </c>
      <c r="D1950">
        <v>-1.6679999999999999</v>
      </c>
      <c r="E1950">
        <v>35</v>
      </c>
      <c r="F1950">
        <v>2.37</v>
      </c>
      <c r="G1950">
        <v>-1.9E-2</v>
      </c>
      <c r="H1950">
        <v>0</v>
      </c>
      <c r="J1950">
        <v>1</v>
      </c>
      <c r="K1950">
        <f>YEAR(NetflixData[[#This Row],[date]])</f>
        <v>2024</v>
      </c>
      <c r="L1950" t="str">
        <f>TEXT(NetflixData[[#This Row],[date]],"mmm")</f>
        <v>Jan</v>
      </c>
      <c r="M1950" t="str">
        <f>TEXT(NetflixData[[#This Row],[date]],"mmm yyyy")</f>
        <v>Jan 2024</v>
      </c>
      <c r="N1950" t="str">
        <f t="shared" si="90"/>
        <v>Non-Trading Day</v>
      </c>
      <c r="O1950" t="str">
        <f t="shared" si="91"/>
        <v>Negative</v>
      </c>
      <c r="P1950" t="str">
        <f t="shared" si="92"/>
        <v>Neutral</v>
      </c>
    </row>
    <row r="1951" spans="1:16" x14ac:dyDescent="0.3">
      <c r="A1951" s="1">
        <v>45304</v>
      </c>
      <c r="B1951">
        <v>49.22</v>
      </c>
      <c r="C1951">
        <v>0</v>
      </c>
      <c r="D1951">
        <v>0</v>
      </c>
      <c r="E1951">
        <v>62</v>
      </c>
      <c r="F1951">
        <v>2.58</v>
      </c>
      <c r="G1951">
        <v>0.13270000000000001</v>
      </c>
      <c r="H1951">
        <v>0</v>
      </c>
      <c r="J1951">
        <v>0</v>
      </c>
      <c r="K1951">
        <f>YEAR(NetflixData[[#This Row],[date]])</f>
        <v>2024</v>
      </c>
      <c r="L1951" t="str">
        <f>TEXT(NetflixData[[#This Row],[date]],"mmm")</f>
        <v>Jan</v>
      </c>
      <c r="M1951" t="str">
        <f>TEXT(NetflixData[[#This Row],[date]],"mmm yyyy")</f>
        <v>Jan 2024</v>
      </c>
      <c r="N1951" t="str">
        <f t="shared" si="90"/>
        <v>Non-Trading Day</v>
      </c>
      <c r="O1951" t="str">
        <f t="shared" si="91"/>
        <v>No Change</v>
      </c>
      <c r="P1951" t="str">
        <f t="shared" si="92"/>
        <v>Positive</v>
      </c>
    </row>
    <row r="1952" spans="1:16" x14ac:dyDescent="0.3">
      <c r="A1952" s="1">
        <v>45305</v>
      </c>
      <c r="B1952">
        <v>49.22</v>
      </c>
      <c r="C1952">
        <v>0</v>
      </c>
      <c r="D1952">
        <v>0</v>
      </c>
      <c r="E1952">
        <v>61</v>
      </c>
      <c r="F1952">
        <v>2.2999999999999998</v>
      </c>
      <c r="G1952">
        <v>0.1145</v>
      </c>
      <c r="H1952">
        <v>0</v>
      </c>
      <c r="J1952">
        <v>0</v>
      </c>
      <c r="K1952">
        <f>YEAR(NetflixData[[#This Row],[date]])</f>
        <v>2024</v>
      </c>
      <c r="L1952" t="str">
        <f>TEXT(NetflixData[[#This Row],[date]],"mmm")</f>
        <v>Jan</v>
      </c>
      <c r="M1952" t="str">
        <f>TEXT(NetflixData[[#This Row],[date]],"mmm yyyy")</f>
        <v>Jan 2024</v>
      </c>
      <c r="N1952" t="str">
        <f t="shared" si="90"/>
        <v>Non-Trading Day</v>
      </c>
      <c r="O1952" t="str">
        <f t="shared" si="91"/>
        <v>No Change</v>
      </c>
      <c r="P1952" t="str">
        <f t="shared" si="92"/>
        <v>Positive</v>
      </c>
    </row>
    <row r="1953" spans="1:16" x14ac:dyDescent="0.3">
      <c r="A1953" s="1">
        <v>45306</v>
      </c>
      <c r="B1953">
        <v>49.22</v>
      </c>
      <c r="C1953">
        <v>0</v>
      </c>
      <c r="D1953">
        <v>0</v>
      </c>
      <c r="E1953">
        <v>70</v>
      </c>
      <c r="F1953">
        <v>2.67</v>
      </c>
      <c r="G1953">
        <v>0.15290000000000001</v>
      </c>
      <c r="H1953">
        <v>0</v>
      </c>
      <c r="J1953">
        <v>0</v>
      </c>
      <c r="K1953">
        <f>YEAR(NetflixData[[#This Row],[date]])</f>
        <v>2024</v>
      </c>
      <c r="L1953" t="str">
        <f>TEXT(NetflixData[[#This Row],[date]],"mmm")</f>
        <v>Jan</v>
      </c>
      <c r="M1953" t="str">
        <f>TEXT(NetflixData[[#This Row],[date]],"mmm yyyy")</f>
        <v>Jan 2024</v>
      </c>
      <c r="N1953" t="str">
        <f t="shared" si="90"/>
        <v>Trading Day</v>
      </c>
      <c r="O1953" t="str">
        <f t="shared" si="91"/>
        <v>No Change</v>
      </c>
      <c r="P1953" t="str">
        <f t="shared" si="92"/>
        <v>Positive</v>
      </c>
    </row>
    <row r="1954" spans="1:16" x14ac:dyDescent="0.3">
      <c r="A1954" s="1">
        <v>45307</v>
      </c>
      <c r="B1954">
        <v>48.12</v>
      </c>
      <c r="C1954">
        <v>46790000</v>
      </c>
      <c r="D1954">
        <v>-1.788</v>
      </c>
      <c r="E1954">
        <v>54</v>
      </c>
      <c r="F1954">
        <v>2.72</v>
      </c>
      <c r="G1954">
        <v>0.16059999999999999</v>
      </c>
      <c r="H1954">
        <v>0</v>
      </c>
      <c r="J1954">
        <v>1</v>
      </c>
      <c r="K1954">
        <f>YEAR(NetflixData[[#This Row],[date]])</f>
        <v>2024</v>
      </c>
      <c r="L1954" t="str">
        <f>TEXT(NetflixData[[#This Row],[date]],"mmm")</f>
        <v>Jan</v>
      </c>
      <c r="M1954" t="str">
        <f>TEXT(NetflixData[[#This Row],[date]],"mmm yyyy")</f>
        <v>Jan 2024</v>
      </c>
      <c r="N1954" t="str">
        <f t="shared" si="90"/>
        <v>Trading Day</v>
      </c>
      <c r="O1954" t="str">
        <f t="shared" si="91"/>
        <v>Negative</v>
      </c>
      <c r="P1954" t="str">
        <f t="shared" si="92"/>
        <v>Positive</v>
      </c>
    </row>
    <row r="1955" spans="1:16" x14ac:dyDescent="0.3">
      <c r="A1955" s="1">
        <v>45308</v>
      </c>
      <c r="B1955">
        <v>48.03</v>
      </c>
      <c r="C1955">
        <v>48946000</v>
      </c>
      <c r="D1955">
        <v>-0.86099999999999999</v>
      </c>
      <c r="E1955">
        <v>50</v>
      </c>
      <c r="F1955">
        <v>2.4</v>
      </c>
      <c r="G1955">
        <v>0.1135</v>
      </c>
      <c r="H1955">
        <v>0</v>
      </c>
      <c r="J1955">
        <v>1</v>
      </c>
      <c r="K1955">
        <f>YEAR(NetflixData[[#This Row],[date]])</f>
        <v>2024</v>
      </c>
      <c r="L1955" t="str">
        <f>TEXT(NetflixData[[#This Row],[date]],"mmm")</f>
        <v>Jan</v>
      </c>
      <c r="M1955" t="str">
        <f>TEXT(NetflixData[[#This Row],[date]],"mmm yyyy")</f>
        <v>Jan 2024</v>
      </c>
      <c r="N1955" t="str">
        <f t="shared" si="90"/>
        <v>Trading Day</v>
      </c>
      <c r="O1955" t="str">
        <f t="shared" si="91"/>
        <v>Negative</v>
      </c>
      <c r="P1955" t="str">
        <f t="shared" si="92"/>
        <v>Positive</v>
      </c>
    </row>
    <row r="1956" spans="1:16" x14ac:dyDescent="0.3">
      <c r="A1956" s="1">
        <v>45309</v>
      </c>
      <c r="B1956">
        <v>48.53</v>
      </c>
      <c r="C1956">
        <v>40544000</v>
      </c>
      <c r="D1956">
        <v>1.1000000000000001</v>
      </c>
      <c r="E1956">
        <v>54</v>
      </c>
      <c r="F1956">
        <v>2.35</v>
      </c>
      <c r="G1956">
        <v>2.3E-2</v>
      </c>
      <c r="H1956">
        <v>0</v>
      </c>
      <c r="J1956">
        <v>1</v>
      </c>
      <c r="K1956">
        <f>YEAR(NetflixData[[#This Row],[date]])</f>
        <v>2024</v>
      </c>
      <c r="L1956" t="str">
        <f>TEXT(NetflixData[[#This Row],[date]],"mmm")</f>
        <v>Jan</v>
      </c>
      <c r="M1956" t="str">
        <f>TEXT(NetflixData[[#This Row],[date]],"mmm yyyy")</f>
        <v>Jan 2024</v>
      </c>
      <c r="N1956" t="str">
        <f t="shared" si="90"/>
        <v>Trading Day</v>
      </c>
      <c r="O1956" t="str">
        <f t="shared" si="91"/>
        <v>Positive</v>
      </c>
      <c r="P1956" t="str">
        <f t="shared" si="92"/>
        <v>Neutral</v>
      </c>
    </row>
    <row r="1957" spans="1:16" x14ac:dyDescent="0.3">
      <c r="A1957" s="1">
        <v>45310</v>
      </c>
      <c r="B1957">
        <v>48.29</v>
      </c>
      <c r="C1957">
        <v>56724000</v>
      </c>
      <c r="D1957">
        <v>-0.41899999999999998</v>
      </c>
      <c r="E1957">
        <v>71</v>
      </c>
      <c r="F1957">
        <v>2.42</v>
      </c>
      <c r="G1957">
        <v>0.1741</v>
      </c>
      <c r="H1957">
        <v>0</v>
      </c>
      <c r="J1957">
        <v>1</v>
      </c>
      <c r="K1957">
        <f>YEAR(NetflixData[[#This Row],[date]])</f>
        <v>2024</v>
      </c>
      <c r="L1957" t="str">
        <f>TEXT(NetflixData[[#This Row],[date]],"mmm")</f>
        <v>Jan</v>
      </c>
      <c r="M1957" t="str">
        <f>TEXT(NetflixData[[#This Row],[date]],"mmm yyyy")</f>
        <v>Jan 2024</v>
      </c>
      <c r="N1957" t="str">
        <f t="shared" si="90"/>
        <v>Non-Trading Day</v>
      </c>
      <c r="O1957" t="str">
        <f t="shared" si="91"/>
        <v>Negative</v>
      </c>
      <c r="P1957" t="str">
        <f t="shared" si="92"/>
        <v>Positive</v>
      </c>
    </row>
    <row r="1958" spans="1:16" x14ac:dyDescent="0.3">
      <c r="A1958" s="1">
        <v>45311</v>
      </c>
      <c r="B1958">
        <v>48.29</v>
      </c>
      <c r="C1958">
        <v>0</v>
      </c>
      <c r="D1958">
        <v>0</v>
      </c>
      <c r="E1958">
        <v>56</v>
      </c>
      <c r="F1958">
        <v>2.14</v>
      </c>
      <c r="G1958">
        <v>4.5199999999999997E-2</v>
      </c>
      <c r="H1958">
        <v>0</v>
      </c>
      <c r="J1958">
        <v>0</v>
      </c>
      <c r="K1958">
        <f>YEAR(NetflixData[[#This Row],[date]])</f>
        <v>2024</v>
      </c>
      <c r="L1958" t="str">
        <f>TEXT(NetflixData[[#This Row],[date]],"mmm")</f>
        <v>Jan</v>
      </c>
      <c r="M1958" t="str">
        <f>TEXT(NetflixData[[#This Row],[date]],"mmm yyyy")</f>
        <v>Jan 2024</v>
      </c>
      <c r="N1958" t="str">
        <f t="shared" si="90"/>
        <v>Non-Trading Day</v>
      </c>
      <c r="O1958" t="str">
        <f t="shared" si="91"/>
        <v>No Change</v>
      </c>
      <c r="P1958" t="str">
        <f t="shared" si="92"/>
        <v>Neutral</v>
      </c>
    </row>
    <row r="1959" spans="1:16" x14ac:dyDescent="0.3">
      <c r="A1959" s="1">
        <v>45312</v>
      </c>
      <c r="B1959">
        <v>48.29</v>
      </c>
      <c r="C1959">
        <v>0</v>
      </c>
      <c r="D1959">
        <v>0</v>
      </c>
      <c r="E1959">
        <v>47</v>
      </c>
      <c r="F1959">
        <v>2.13</v>
      </c>
      <c r="G1959">
        <v>-2.3699999999999999E-2</v>
      </c>
      <c r="H1959">
        <v>0</v>
      </c>
      <c r="J1959">
        <v>0</v>
      </c>
      <c r="K1959">
        <f>YEAR(NetflixData[[#This Row],[date]])</f>
        <v>2024</v>
      </c>
      <c r="L1959" t="str">
        <f>TEXT(NetflixData[[#This Row],[date]],"mmm")</f>
        <v>Jan</v>
      </c>
      <c r="M1959" t="str">
        <f>TEXT(NetflixData[[#This Row],[date]],"mmm yyyy")</f>
        <v>Jan 2024</v>
      </c>
      <c r="N1959" t="str">
        <f t="shared" si="90"/>
        <v>Trading Day</v>
      </c>
      <c r="O1959" t="str">
        <f t="shared" si="91"/>
        <v>No Change</v>
      </c>
      <c r="P1959" t="str">
        <f t="shared" si="92"/>
        <v>Neutral</v>
      </c>
    </row>
    <row r="1960" spans="1:16" x14ac:dyDescent="0.3">
      <c r="A1960" s="1">
        <v>45313</v>
      </c>
      <c r="B1960">
        <v>48.57</v>
      </c>
      <c r="C1960">
        <v>52123000</v>
      </c>
      <c r="D1960">
        <v>-0.377</v>
      </c>
      <c r="E1960">
        <v>39</v>
      </c>
      <c r="F1960">
        <v>2.2799999999999998</v>
      </c>
      <c r="G1960">
        <v>2.9700000000000001E-2</v>
      </c>
      <c r="H1960">
        <v>0</v>
      </c>
      <c r="J1960">
        <v>1</v>
      </c>
      <c r="K1960">
        <f>YEAR(NetflixData[[#This Row],[date]])</f>
        <v>2024</v>
      </c>
      <c r="L1960" t="str">
        <f>TEXT(NetflixData[[#This Row],[date]],"mmm")</f>
        <v>Jan</v>
      </c>
      <c r="M1960" t="str">
        <f>TEXT(NetflixData[[#This Row],[date]],"mmm yyyy")</f>
        <v>Jan 2024</v>
      </c>
      <c r="N1960" t="str">
        <f t="shared" si="90"/>
        <v>Trading Day</v>
      </c>
      <c r="O1960" t="str">
        <f t="shared" si="91"/>
        <v>Negative</v>
      </c>
      <c r="P1960" t="str">
        <f t="shared" si="92"/>
        <v>Neutral</v>
      </c>
    </row>
    <row r="1961" spans="1:16" x14ac:dyDescent="0.3">
      <c r="A1961" s="1">
        <v>45314</v>
      </c>
      <c r="B1961">
        <v>49.22</v>
      </c>
      <c r="C1961">
        <v>155060000</v>
      </c>
      <c r="D1961">
        <v>3.9E-2</v>
      </c>
      <c r="E1961">
        <v>58</v>
      </c>
      <c r="F1961">
        <v>2.21</v>
      </c>
      <c r="G1961">
        <v>4.9000000000000002E-2</v>
      </c>
      <c r="H1961">
        <v>0</v>
      </c>
      <c r="J1961">
        <v>1</v>
      </c>
      <c r="K1961">
        <f>YEAR(NetflixData[[#This Row],[date]])</f>
        <v>2024</v>
      </c>
      <c r="L1961" t="str">
        <f>TEXT(NetflixData[[#This Row],[date]],"mmm")</f>
        <v>Jan</v>
      </c>
      <c r="M1961" t="str">
        <f>TEXT(NetflixData[[#This Row],[date]],"mmm yyyy")</f>
        <v>Jan 2024</v>
      </c>
      <c r="N1961" t="str">
        <f t="shared" si="90"/>
        <v>Trading Day</v>
      </c>
      <c r="O1961" t="str">
        <f t="shared" si="91"/>
        <v>Positive</v>
      </c>
      <c r="P1961" t="str">
        <f t="shared" si="92"/>
        <v>Neutral</v>
      </c>
    </row>
    <row r="1962" spans="1:16" x14ac:dyDescent="0.3">
      <c r="A1962" s="1">
        <v>45315</v>
      </c>
      <c r="B1962">
        <v>54.49</v>
      </c>
      <c r="C1962">
        <v>264328000</v>
      </c>
      <c r="D1962">
        <v>1.3240000000000001</v>
      </c>
      <c r="E1962">
        <v>49</v>
      </c>
      <c r="F1962">
        <v>1.65</v>
      </c>
      <c r="G1962">
        <v>-3.7199999999999997E-2</v>
      </c>
      <c r="H1962">
        <v>0</v>
      </c>
      <c r="J1962">
        <v>1</v>
      </c>
      <c r="K1962">
        <f>YEAR(NetflixData[[#This Row],[date]])</f>
        <v>2024</v>
      </c>
      <c r="L1962" t="str">
        <f>TEXT(NetflixData[[#This Row],[date]],"mmm")</f>
        <v>Jan</v>
      </c>
      <c r="M1962" t="str">
        <f>TEXT(NetflixData[[#This Row],[date]],"mmm yyyy")</f>
        <v>Jan 2024</v>
      </c>
      <c r="N1962" t="str">
        <f t="shared" si="90"/>
        <v>Trading Day</v>
      </c>
      <c r="O1962" t="str">
        <f t="shared" si="91"/>
        <v>Positive</v>
      </c>
      <c r="P1962" t="str">
        <f t="shared" si="92"/>
        <v>Neutral</v>
      </c>
    </row>
    <row r="1963" spans="1:16" x14ac:dyDescent="0.3">
      <c r="A1963" s="1">
        <v>45316</v>
      </c>
      <c r="B1963">
        <v>56.2</v>
      </c>
      <c r="C1963">
        <v>94519000</v>
      </c>
      <c r="D1963">
        <v>1.821</v>
      </c>
      <c r="E1963">
        <v>40</v>
      </c>
      <c r="F1963">
        <v>2.2200000000000002</v>
      </c>
      <c r="G1963">
        <v>-1.47E-2</v>
      </c>
      <c r="H1963">
        <v>0</v>
      </c>
      <c r="J1963">
        <v>1</v>
      </c>
      <c r="K1963">
        <f>YEAR(NetflixData[[#This Row],[date]])</f>
        <v>2024</v>
      </c>
      <c r="L1963" t="str">
        <f>TEXT(NetflixData[[#This Row],[date]],"mmm")</f>
        <v>Jan</v>
      </c>
      <c r="M1963" t="str">
        <f>TEXT(NetflixData[[#This Row],[date]],"mmm yyyy")</f>
        <v>Jan 2024</v>
      </c>
      <c r="N1963" t="str">
        <f t="shared" si="90"/>
        <v>Trading Day</v>
      </c>
      <c r="O1963" t="str">
        <f t="shared" si="91"/>
        <v>Positive</v>
      </c>
      <c r="P1963" t="str">
        <f t="shared" si="92"/>
        <v>Neutral</v>
      </c>
    </row>
    <row r="1964" spans="1:16" x14ac:dyDescent="0.3">
      <c r="A1964" s="1">
        <v>45317</v>
      </c>
      <c r="B1964">
        <v>57.04</v>
      </c>
      <c r="C1964">
        <v>127706000</v>
      </c>
      <c r="D1964">
        <v>1.5329999999999999</v>
      </c>
      <c r="E1964">
        <v>51</v>
      </c>
      <c r="F1964">
        <v>2.2400000000000002</v>
      </c>
      <c r="G1964">
        <v>8.6499999999999994E-2</v>
      </c>
      <c r="H1964">
        <v>0</v>
      </c>
      <c r="J1964">
        <v>1</v>
      </c>
      <c r="K1964">
        <f>YEAR(NetflixData[[#This Row],[date]])</f>
        <v>2024</v>
      </c>
      <c r="L1964" t="str">
        <f>TEXT(NetflixData[[#This Row],[date]],"mmm")</f>
        <v>Jan</v>
      </c>
      <c r="M1964" t="str">
        <f>TEXT(NetflixData[[#This Row],[date]],"mmm yyyy")</f>
        <v>Jan 2024</v>
      </c>
      <c r="N1964" t="str">
        <f t="shared" si="90"/>
        <v>Non-Trading Day</v>
      </c>
      <c r="O1964" t="str">
        <f t="shared" si="91"/>
        <v>Positive</v>
      </c>
      <c r="P1964" t="str">
        <f t="shared" si="92"/>
        <v>Neutral</v>
      </c>
    </row>
    <row r="1965" spans="1:16" x14ac:dyDescent="0.3">
      <c r="A1965" s="1">
        <v>45318</v>
      </c>
      <c r="B1965">
        <v>57.04</v>
      </c>
      <c r="C1965">
        <v>0</v>
      </c>
      <c r="D1965">
        <v>0</v>
      </c>
      <c r="E1965">
        <v>61</v>
      </c>
      <c r="F1965">
        <v>2.31</v>
      </c>
      <c r="G1965">
        <v>0.1009</v>
      </c>
      <c r="H1965">
        <v>0</v>
      </c>
      <c r="J1965">
        <v>0</v>
      </c>
      <c r="K1965">
        <f>YEAR(NetflixData[[#This Row],[date]])</f>
        <v>2024</v>
      </c>
      <c r="L1965" t="str">
        <f>TEXT(NetflixData[[#This Row],[date]],"mmm")</f>
        <v>Jan</v>
      </c>
      <c r="M1965" t="str">
        <f>TEXT(NetflixData[[#This Row],[date]],"mmm yyyy")</f>
        <v>Jan 2024</v>
      </c>
      <c r="N1965" t="str">
        <f t="shared" si="90"/>
        <v>Non-Trading Day</v>
      </c>
      <c r="O1965" t="str">
        <f t="shared" si="91"/>
        <v>No Change</v>
      </c>
      <c r="P1965" t="str">
        <f t="shared" si="92"/>
        <v>Positive</v>
      </c>
    </row>
    <row r="1966" spans="1:16" x14ac:dyDescent="0.3">
      <c r="A1966" s="1">
        <v>45319</v>
      </c>
      <c r="B1966">
        <v>57.04</v>
      </c>
      <c r="C1966">
        <v>0</v>
      </c>
      <c r="D1966">
        <v>0</v>
      </c>
      <c r="E1966">
        <v>71</v>
      </c>
      <c r="F1966">
        <v>2.54</v>
      </c>
      <c r="G1966">
        <v>0.18590000000000001</v>
      </c>
      <c r="H1966">
        <v>0</v>
      </c>
      <c r="J1966">
        <v>0</v>
      </c>
      <c r="K1966">
        <f>YEAR(NetflixData[[#This Row],[date]])</f>
        <v>2024</v>
      </c>
      <c r="L1966" t="str">
        <f>TEXT(NetflixData[[#This Row],[date]],"mmm")</f>
        <v>Jan</v>
      </c>
      <c r="M1966" t="str">
        <f>TEXT(NetflixData[[#This Row],[date]],"mmm yyyy")</f>
        <v>Jan 2024</v>
      </c>
      <c r="N1966" t="str">
        <f t="shared" si="90"/>
        <v>Trading Day</v>
      </c>
      <c r="O1966" t="str">
        <f t="shared" si="91"/>
        <v>No Change</v>
      </c>
      <c r="P1966" t="str">
        <f t="shared" si="92"/>
        <v>Positive</v>
      </c>
    </row>
    <row r="1967" spans="1:16" x14ac:dyDescent="0.3">
      <c r="A1967" s="1">
        <v>45320</v>
      </c>
      <c r="B1967">
        <v>57.58</v>
      </c>
      <c r="C1967">
        <v>69054000</v>
      </c>
      <c r="D1967">
        <v>0.77700000000000002</v>
      </c>
      <c r="E1967">
        <v>58</v>
      </c>
      <c r="F1967">
        <v>2.14</v>
      </c>
      <c r="G1967">
        <v>8.1600000000000006E-2</v>
      </c>
      <c r="H1967">
        <v>0</v>
      </c>
      <c r="J1967">
        <v>1</v>
      </c>
      <c r="K1967">
        <f>YEAR(NetflixData[[#This Row],[date]])</f>
        <v>2024</v>
      </c>
      <c r="L1967" t="str">
        <f>TEXT(NetflixData[[#This Row],[date]],"mmm")</f>
        <v>Jan</v>
      </c>
      <c r="M1967" t="str">
        <f>TEXT(NetflixData[[#This Row],[date]],"mmm yyyy")</f>
        <v>Jan 2024</v>
      </c>
      <c r="N1967" t="str">
        <f t="shared" si="90"/>
        <v>Trading Day</v>
      </c>
      <c r="O1967" t="str">
        <f t="shared" si="91"/>
        <v>Positive</v>
      </c>
      <c r="P1967" t="str">
        <f t="shared" si="92"/>
        <v>Neutral</v>
      </c>
    </row>
    <row r="1968" spans="1:16" x14ac:dyDescent="0.3">
      <c r="A1968" s="1">
        <v>45321</v>
      </c>
      <c r="B1968">
        <v>56.28</v>
      </c>
      <c r="C1968">
        <v>61818000</v>
      </c>
      <c r="D1968">
        <v>-0.78800000000000003</v>
      </c>
      <c r="E1968">
        <v>80</v>
      </c>
      <c r="F1968">
        <v>2.1</v>
      </c>
      <c r="G1968">
        <v>6.3500000000000001E-2</v>
      </c>
      <c r="H1968">
        <v>0</v>
      </c>
      <c r="J1968">
        <v>1</v>
      </c>
      <c r="K1968">
        <f>YEAR(NetflixData[[#This Row],[date]])</f>
        <v>2024</v>
      </c>
      <c r="L1968" t="str">
        <f>TEXT(NetflixData[[#This Row],[date]],"mmm")</f>
        <v>Jan</v>
      </c>
      <c r="M1968" t="str">
        <f>TEXT(NetflixData[[#This Row],[date]],"mmm yyyy")</f>
        <v>Jan 2024</v>
      </c>
      <c r="N1968" t="str">
        <f t="shared" si="90"/>
        <v>Trading Day</v>
      </c>
      <c r="O1968" t="str">
        <f t="shared" si="91"/>
        <v>Negative</v>
      </c>
      <c r="P1968" t="str">
        <f t="shared" si="92"/>
        <v>Neutral</v>
      </c>
    </row>
    <row r="1969" spans="1:16" x14ac:dyDescent="0.3">
      <c r="A1969" s="1">
        <v>45322</v>
      </c>
      <c r="B1969">
        <v>56.41</v>
      </c>
      <c r="C1969">
        <v>48576000</v>
      </c>
      <c r="D1969">
        <v>0.224</v>
      </c>
      <c r="E1969">
        <v>147</v>
      </c>
      <c r="F1969">
        <v>1.59</v>
      </c>
      <c r="G1969">
        <v>-0.1095</v>
      </c>
      <c r="H1969">
        <v>0</v>
      </c>
      <c r="J1969">
        <v>1</v>
      </c>
      <c r="K1969">
        <f>YEAR(NetflixData[[#This Row],[date]])</f>
        <v>2024</v>
      </c>
      <c r="L1969" t="str">
        <f>TEXT(NetflixData[[#This Row],[date]],"mmm")</f>
        <v>Jan</v>
      </c>
      <c r="M1969" t="str">
        <f>TEXT(NetflixData[[#This Row],[date]],"mmm yyyy")</f>
        <v>Jan 2024</v>
      </c>
      <c r="N1969" t="str">
        <f t="shared" si="90"/>
        <v>Trading Day</v>
      </c>
      <c r="O1969" t="str">
        <f t="shared" si="91"/>
        <v>Positive</v>
      </c>
      <c r="P1969" t="str">
        <f t="shared" si="92"/>
        <v>Negative</v>
      </c>
    </row>
    <row r="1970" spans="1:16" x14ac:dyDescent="0.3">
      <c r="A1970" s="1">
        <v>45323</v>
      </c>
      <c r="B1970">
        <v>56.75</v>
      </c>
      <c r="C1970">
        <v>31740000</v>
      </c>
      <c r="D1970">
        <v>8.5999999999999993E-2</v>
      </c>
      <c r="E1970">
        <v>133</v>
      </c>
      <c r="F1970">
        <v>1.47</v>
      </c>
      <c r="G1970">
        <v>-5.8799999999999998E-2</v>
      </c>
      <c r="H1970">
        <v>0</v>
      </c>
      <c r="J1970">
        <v>1</v>
      </c>
      <c r="K1970">
        <f>YEAR(NetflixData[[#This Row],[date]])</f>
        <v>2024</v>
      </c>
      <c r="L1970" t="str">
        <f>TEXT(NetflixData[[#This Row],[date]],"mmm")</f>
        <v>Feb</v>
      </c>
      <c r="M1970" t="str">
        <f>TEXT(NetflixData[[#This Row],[date]],"mmm yyyy")</f>
        <v>Feb 2024</v>
      </c>
      <c r="N1970" t="str">
        <f t="shared" si="90"/>
        <v>Trading Day</v>
      </c>
      <c r="O1970" t="str">
        <f t="shared" si="91"/>
        <v>Positive</v>
      </c>
      <c r="P1970" t="str">
        <f t="shared" si="92"/>
        <v>Neutral</v>
      </c>
    </row>
    <row r="1971" spans="1:16" x14ac:dyDescent="0.3">
      <c r="A1971" s="1">
        <v>45324</v>
      </c>
      <c r="B1971">
        <v>56.46</v>
      </c>
      <c r="C1971">
        <v>40328000</v>
      </c>
      <c r="D1971">
        <v>2.1000000000000001E-2</v>
      </c>
      <c r="E1971">
        <v>146</v>
      </c>
      <c r="F1971">
        <v>1.8</v>
      </c>
      <c r="G1971">
        <v>-0.10199999999999999</v>
      </c>
      <c r="H1971">
        <v>0</v>
      </c>
      <c r="J1971">
        <v>1</v>
      </c>
      <c r="K1971">
        <f>YEAR(NetflixData[[#This Row],[date]])</f>
        <v>2024</v>
      </c>
      <c r="L1971" t="str">
        <f>TEXT(NetflixData[[#This Row],[date]],"mmm")</f>
        <v>Feb</v>
      </c>
      <c r="M1971" t="str">
        <f>TEXT(NetflixData[[#This Row],[date]],"mmm yyyy")</f>
        <v>Feb 2024</v>
      </c>
      <c r="N1971" t="str">
        <f t="shared" si="90"/>
        <v>Non-Trading Day</v>
      </c>
      <c r="O1971" t="str">
        <f t="shared" si="91"/>
        <v>Positive</v>
      </c>
      <c r="P1971" t="str">
        <f t="shared" si="92"/>
        <v>Negative</v>
      </c>
    </row>
    <row r="1972" spans="1:16" x14ac:dyDescent="0.3">
      <c r="A1972" s="1">
        <v>45325</v>
      </c>
      <c r="B1972">
        <v>56.46</v>
      </c>
      <c r="C1972">
        <v>0</v>
      </c>
      <c r="D1972">
        <v>0</v>
      </c>
      <c r="E1972">
        <v>134</v>
      </c>
      <c r="F1972">
        <v>1.8</v>
      </c>
      <c r="G1972">
        <v>1.46E-2</v>
      </c>
      <c r="H1972">
        <v>0</v>
      </c>
      <c r="J1972">
        <v>0</v>
      </c>
      <c r="K1972">
        <f>YEAR(NetflixData[[#This Row],[date]])</f>
        <v>2024</v>
      </c>
      <c r="L1972" t="str">
        <f>TEXT(NetflixData[[#This Row],[date]],"mmm")</f>
        <v>Feb</v>
      </c>
      <c r="M1972" t="str">
        <f>TEXT(NetflixData[[#This Row],[date]],"mmm yyyy")</f>
        <v>Feb 2024</v>
      </c>
      <c r="N1972" t="str">
        <f t="shared" si="90"/>
        <v>Non-Trading Day</v>
      </c>
      <c r="O1972" t="str">
        <f t="shared" si="91"/>
        <v>No Change</v>
      </c>
      <c r="P1972" t="str">
        <f t="shared" si="92"/>
        <v>Neutral</v>
      </c>
    </row>
    <row r="1973" spans="1:16" x14ac:dyDescent="0.3">
      <c r="A1973" s="1">
        <v>45326</v>
      </c>
      <c r="B1973">
        <v>56.46</v>
      </c>
      <c r="C1973">
        <v>0</v>
      </c>
      <c r="D1973">
        <v>0</v>
      </c>
      <c r="E1973">
        <v>125</v>
      </c>
      <c r="F1973">
        <v>1.89</v>
      </c>
      <c r="G1973">
        <v>-9.1000000000000004E-3</v>
      </c>
      <c r="H1973">
        <v>0</v>
      </c>
      <c r="J1973">
        <v>0</v>
      </c>
      <c r="K1973">
        <f>YEAR(NetflixData[[#This Row],[date]])</f>
        <v>2024</v>
      </c>
      <c r="L1973" t="str">
        <f>TEXT(NetflixData[[#This Row],[date]],"mmm")</f>
        <v>Feb</v>
      </c>
      <c r="M1973" t="str">
        <f>TEXT(NetflixData[[#This Row],[date]],"mmm yyyy")</f>
        <v>Feb 2024</v>
      </c>
      <c r="N1973" t="str">
        <f t="shared" si="90"/>
        <v>Trading Day</v>
      </c>
      <c r="O1973" t="str">
        <f t="shared" si="91"/>
        <v>No Change</v>
      </c>
      <c r="P1973" t="str">
        <f t="shared" si="92"/>
        <v>Neutral</v>
      </c>
    </row>
    <row r="1974" spans="1:16" x14ac:dyDescent="0.3">
      <c r="A1974" s="1">
        <v>45327</v>
      </c>
      <c r="B1974">
        <v>56.21</v>
      </c>
      <c r="C1974">
        <v>41431000</v>
      </c>
      <c r="D1974">
        <v>-7.2999999999999995E-2</v>
      </c>
      <c r="E1974">
        <v>100</v>
      </c>
      <c r="F1974">
        <v>1.85</v>
      </c>
      <c r="G1974">
        <v>1.21E-2</v>
      </c>
      <c r="H1974">
        <v>0</v>
      </c>
      <c r="J1974">
        <v>1</v>
      </c>
      <c r="K1974">
        <f>YEAR(NetflixData[[#This Row],[date]])</f>
        <v>2024</v>
      </c>
      <c r="L1974" t="str">
        <f>TEXT(NetflixData[[#This Row],[date]],"mmm")</f>
        <v>Feb</v>
      </c>
      <c r="M1974" t="str">
        <f>TEXT(NetflixData[[#This Row],[date]],"mmm yyyy")</f>
        <v>Feb 2024</v>
      </c>
      <c r="N1974" t="str">
        <f t="shared" si="90"/>
        <v>Trading Day</v>
      </c>
      <c r="O1974" t="str">
        <f t="shared" si="91"/>
        <v>Negative</v>
      </c>
      <c r="P1974" t="str">
        <f t="shared" si="92"/>
        <v>Neutral</v>
      </c>
    </row>
    <row r="1975" spans="1:16" x14ac:dyDescent="0.3">
      <c r="A1975" s="1">
        <v>45328</v>
      </c>
      <c r="B1975">
        <v>55.59</v>
      </c>
      <c r="C1975">
        <v>28403000</v>
      </c>
      <c r="D1975">
        <v>-1.4610000000000001</v>
      </c>
      <c r="E1975">
        <v>90</v>
      </c>
      <c r="F1975">
        <v>1.94</v>
      </c>
      <c r="G1975">
        <v>-6.4999999999999997E-3</v>
      </c>
      <c r="H1975">
        <v>0</v>
      </c>
      <c r="J1975">
        <v>1</v>
      </c>
      <c r="K1975">
        <f>YEAR(NetflixData[[#This Row],[date]])</f>
        <v>2024</v>
      </c>
      <c r="L1975" t="str">
        <f>TEXT(NetflixData[[#This Row],[date]],"mmm")</f>
        <v>Feb</v>
      </c>
      <c r="M1975" t="str">
        <f>TEXT(NetflixData[[#This Row],[date]],"mmm yyyy")</f>
        <v>Feb 2024</v>
      </c>
      <c r="N1975" t="str">
        <f t="shared" si="90"/>
        <v>Trading Day</v>
      </c>
      <c r="O1975" t="str">
        <f t="shared" si="91"/>
        <v>Negative</v>
      </c>
      <c r="P1975" t="str">
        <f t="shared" si="92"/>
        <v>Neutral</v>
      </c>
    </row>
    <row r="1976" spans="1:16" x14ac:dyDescent="0.3">
      <c r="A1976" s="1">
        <v>45329</v>
      </c>
      <c r="B1976">
        <v>55.93</v>
      </c>
      <c r="C1976">
        <v>43736000</v>
      </c>
      <c r="D1976">
        <v>0.20399999999999999</v>
      </c>
      <c r="E1976">
        <v>82</v>
      </c>
      <c r="F1976">
        <v>1.82</v>
      </c>
      <c r="G1976">
        <v>2.3699999999999999E-2</v>
      </c>
      <c r="H1976">
        <v>0</v>
      </c>
      <c r="J1976">
        <v>1</v>
      </c>
      <c r="K1976">
        <f>YEAR(NetflixData[[#This Row],[date]])</f>
        <v>2024</v>
      </c>
      <c r="L1976" t="str">
        <f>TEXT(NetflixData[[#This Row],[date]],"mmm")</f>
        <v>Feb</v>
      </c>
      <c r="M1976" t="str">
        <f>TEXT(NetflixData[[#This Row],[date]],"mmm yyyy")</f>
        <v>Feb 2024</v>
      </c>
      <c r="N1976" t="str">
        <f t="shared" si="90"/>
        <v>Trading Day</v>
      </c>
      <c r="O1976" t="str">
        <f t="shared" si="91"/>
        <v>Positive</v>
      </c>
      <c r="P1976" t="str">
        <f t="shared" si="92"/>
        <v>Neutral</v>
      </c>
    </row>
    <row r="1977" spans="1:16" x14ac:dyDescent="0.3">
      <c r="A1977" s="1">
        <v>45330</v>
      </c>
      <c r="B1977">
        <v>55.85</v>
      </c>
      <c r="C1977">
        <v>31755000</v>
      </c>
      <c r="D1977">
        <v>-0.36</v>
      </c>
      <c r="E1977">
        <v>80</v>
      </c>
      <c r="F1977">
        <v>1.8</v>
      </c>
      <c r="G1977">
        <v>-3.2199999999999999E-2</v>
      </c>
      <c r="H1977">
        <v>0</v>
      </c>
      <c r="J1977">
        <v>1</v>
      </c>
      <c r="K1977">
        <f>YEAR(NetflixData[[#This Row],[date]])</f>
        <v>2024</v>
      </c>
      <c r="L1977" t="str">
        <f>TEXT(NetflixData[[#This Row],[date]],"mmm")</f>
        <v>Feb</v>
      </c>
      <c r="M1977" t="str">
        <f>TEXT(NetflixData[[#This Row],[date]],"mmm yyyy")</f>
        <v>Feb 2024</v>
      </c>
      <c r="N1977" t="str">
        <f t="shared" si="90"/>
        <v>Trading Day</v>
      </c>
      <c r="O1977" t="str">
        <f t="shared" si="91"/>
        <v>Negative</v>
      </c>
      <c r="P1977" t="str">
        <f t="shared" si="92"/>
        <v>Neutral</v>
      </c>
    </row>
    <row r="1978" spans="1:16" x14ac:dyDescent="0.3">
      <c r="A1978" s="1">
        <v>45331</v>
      </c>
      <c r="B1978">
        <v>56.13</v>
      </c>
      <c r="C1978">
        <v>30557000</v>
      </c>
      <c r="D1978">
        <v>-0.65100000000000002</v>
      </c>
      <c r="E1978">
        <v>92</v>
      </c>
      <c r="F1978">
        <v>1.67</v>
      </c>
      <c r="G1978">
        <v>1.61E-2</v>
      </c>
      <c r="H1978">
        <v>0</v>
      </c>
      <c r="J1978">
        <v>1</v>
      </c>
      <c r="K1978">
        <f>YEAR(NetflixData[[#This Row],[date]])</f>
        <v>2024</v>
      </c>
      <c r="L1978" t="str">
        <f>TEXT(NetflixData[[#This Row],[date]],"mmm")</f>
        <v>Feb</v>
      </c>
      <c r="M1978" t="str">
        <f>TEXT(NetflixData[[#This Row],[date]],"mmm yyyy")</f>
        <v>Feb 2024</v>
      </c>
      <c r="N1978" t="str">
        <f t="shared" si="90"/>
        <v>Non-Trading Day</v>
      </c>
      <c r="O1978" t="str">
        <f t="shared" si="91"/>
        <v>Negative</v>
      </c>
      <c r="P1978" t="str">
        <f t="shared" si="92"/>
        <v>Neutral</v>
      </c>
    </row>
    <row r="1979" spans="1:16" x14ac:dyDescent="0.3">
      <c r="A1979" s="1">
        <v>45332</v>
      </c>
      <c r="B1979">
        <v>56.13</v>
      </c>
      <c r="C1979">
        <v>0</v>
      </c>
      <c r="D1979">
        <v>0</v>
      </c>
      <c r="E1979">
        <v>102</v>
      </c>
      <c r="F1979">
        <v>1.78</v>
      </c>
      <c r="G1979">
        <v>-8.8900000000000007E-2</v>
      </c>
      <c r="H1979">
        <v>0</v>
      </c>
      <c r="J1979">
        <v>0</v>
      </c>
      <c r="K1979">
        <f>YEAR(NetflixData[[#This Row],[date]])</f>
        <v>2024</v>
      </c>
      <c r="L1979" t="str">
        <f>TEXT(NetflixData[[#This Row],[date]],"mmm")</f>
        <v>Feb</v>
      </c>
      <c r="M1979" t="str">
        <f>TEXT(NetflixData[[#This Row],[date]],"mmm yyyy")</f>
        <v>Feb 2024</v>
      </c>
      <c r="N1979" t="str">
        <f t="shared" si="90"/>
        <v>Non-Trading Day</v>
      </c>
      <c r="O1979" t="str">
        <f t="shared" si="91"/>
        <v>No Change</v>
      </c>
      <c r="P1979" t="str">
        <f t="shared" si="92"/>
        <v>Neutral</v>
      </c>
    </row>
    <row r="1980" spans="1:16" x14ac:dyDescent="0.3">
      <c r="A1980" s="1">
        <v>45333</v>
      </c>
      <c r="B1980">
        <v>56.13</v>
      </c>
      <c r="C1980">
        <v>0</v>
      </c>
      <c r="D1980">
        <v>0</v>
      </c>
      <c r="E1980">
        <v>89</v>
      </c>
      <c r="F1980">
        <v>2.11</v>
      </c>
      <c r="G1980">
        <v>2.0899999999999998E-2</v>
      </c>
      <c r="H1980">
        <v>0</v>
      </c>
      <c r="J1980">
        <v>0</v>
      </c>
      <c r="K1980">
        <f>YEAR(NetflixData[[#This Row],[date]])</f>
        <v>2024</v>
      </c>
      <c r="L1980" t="str">
        <f>TEXT(NetflixData[[#This Row],[date]],"mmm")</f>
        <v>Feb</v>
      </c>
      <c r="M1980" t="str">
        <f>TEXT(NetflixData[[#This Row],[date]],"mmm yyyy")</f>
        <v>Feb 2024</v>
      </c>
      <c r="N1980" t="str">
        <f t="shared" si="90"/>
        <v>Trading Day</v>
      </c>
      <c r="O1980" t="str">
        <f t="shared" si="91"/>
        <v>No Change</v>
      </c>
      <c r="P1980" t="str">
        <f t="shared" si="92"/>
        <v>Neutral</v>
      </c>
    </row>
    <row r="1981" spans="1:16" x14ac:dyDescent="0.3">
      <c r="A1981" s="1">
        <v>45334</v>
      </c>
      <c r="B1981">
        <v>55.78</v>
      </c>
      <c r="C1981">
        <v>36085000</v>
      </c>
      <c r="D1981">
        <v>-0.44800000000000001</v>
      </c>
      <c r="E1981">
        <v>88</v>
      </c>
      <c r="F1981">
        <v>2.15</v>
      </c>
      <c r="G1981">
        <v>0.11269999999999999</v>
      </c>
      <c r="H1981">
        <v>0</v>
      </c>
      <c r="J1981">
        <v>1</v>
      </c>
      <c r="K1981">
        <f>YEAR(NetflixData[[#This Row],[date]])</f>
        <v>2024</v>
      </c>
      <c r="L1981" t="str">
        <f>TEXT(NetflixData[[#This Row],[date]],"mmm")</f>
        <v>Feb</v>
      </c>
      <c r="M1981" t="str">
        <f>TEXT(NetflixData[[#This Row],[date]],"mmm yyyy")</f>
        <v>Feb 2024</v>
      </c>
      <c r="N1981" t="str">
        <f t="shared" si="90"/>
        <v>Trading Day</v>
      </c>
      <c r="O1981" t="str">
        <f t="shared" si="91"/>
        <v>Negative</v>
      </c>
      <c r="P1981" t="str">
        <f t="shared" si="92"/>
        <v>Positive</v>
      </c>
    </row>
    <row r="1982" spans="1:16" x14ac:dyDescent="0.3">
      <c r="A1982" s="1">
        <v>45335</v>
      </c>
      <c r="B1982">
        <v>55.45</v>
      </c>
      <c r="C1982">
        <v>35115000</v>
      </c>
      <c r="D1982">
        <v>0.67500000000000004</v>
      </c>
      <c r="E1982">
        <v>90</v>
      </c>
      <c r="F1982">
        <v>1.94</v>
      </c>
      <c r="G1982">
        <v>8.0000000000000002E-3</v>
      </c>
      <c r="H1982">
        <v>0</v>
      </c>
      <c r="J1982">
        <v>1</v>
      </c>
      <c r="K1982">
        <f>YEAR(NetflixData[[#This Row],[date]])</f>
        <v>2024</v>
      </c>
      <c r="L1982" t="str">
        <f>TEXT(NetflixData[[#This Row],[date]],"mmm")</f>
        <v>Feb</v>
      </c>
      <c r="M1982" t="str">
        <f>TEXT(NetflixData[[#This Row],[date]],"mmm yyyy")</f>
        <v>Feb 2024</v>
      </c>
      <c r="N1982" t="str">
        <f t="shared" si="90"/>
        <v>Trading Day</v>
      </c>
      <c r="O1982" t="str">
        <f t="shared" si="91"/>
        <v>Positive</v>
      </c>
      <c r="P1982" t="str">
        <f t="shared" si="92"/>
        <v>Neutral</v>
      </c>
    </row>
    <row r="1983" spans="1:16" x14ac:dyDescent="0.3">
      <c r="A1983" s="1">
        <v>45336</v>
      </c>
      <c r="B1983">
        <v>57.93</v>
      </c>
      <c r="C1983">
        <v>56342000</v>
      </c>
      <c r="D1983">
        <v>2.1280000000000001</v>
      </c>
      <c r="E1983">
        <v>85</v>
      </c>
      <c r="F1983">
        <v>2.0099999999999998</v>
      </c>
      <c r="G1983">
        <v>3.9199999999999999E-2</v>
      </c>
      <c r="H1983">
        <v>0</v>
      </c>
      <c r="J1983">
        <v>1</v>
      </c>
      <c r="K1983">
        <f>YEAR(NetflixData[[#This Row],[date]])</f>
        <v>2024</v>
      </c>
      <c r="L1983" t="str">
        <f>TEXT(NetflixData[[#This Row],[date]],"mmm")</f>
        <v>Feb</v>
      </c>
      <c r="M1983" t="str">
        <f>TEXT(NetflixData[[#This Row],[date]],"mmm yyyy")</f>
        <v>Feb 2024</v>
      </c>
      <c r="N1983" t="str">
        <f t="shared" si="90"/>
        <v>Trading Day</v>
      </c>
      <c r="O1983" t="str">
        <f t="shared" si="91"/>
        <v>Positive</v>
      </c>
      <c r="P1983" t="str">
        <f t="shared" si="92"/>
        <v>Neutral</v>
      </c>
    </row>
    <row r="1984" spans="1:16" x14ac:dyDescent="0.3">
      <c r="A1984" s="1">
        <v>45337</v>
      </c>
      <c r="B1984">
        <v>59.35</v>
      </c>
      <c r="C1984">
        <v>52209000</v>
      </c>
      <c r="D1984">
        <v>1.9850000000000001</v>
      </c>
      <c r="E1984">
        <v>86</v>
      </c>
      <c r="F1984">
        <v>2.27</v>
      </c>
      <c r="G1984">
        <v>5.7299999999999997E-2</v>
      </c>
      <c r="H1984">
        <v>0</v>
      </c>
      <c r="J1984">
        <v>1</v>
      </c>
      <c r="K1984">
        <f>YEAR(NetflixData[[#This Row],[date]])</f>
        <v>2024</v>
      </c>
      <c r="L1984" t="str">
        <f>TEXT(NetflixData[[#This Row],[date]],"mmm")</f>
        <v>Feb</v>
      </c>
      <c r="M1984" t="str">
        <f>TEXT(NetflixData[[#This Row],[date]],"mmm yyyy")</f>
        <v>Feb 2024</v>
      </c>
      <c r="N1984" t="str">
        <f t="shared" si="90"/>
        <v>Trading Day</v>
      </c>
      <c r="O1984" t="str">
        <f t="shared" si="91"/>
        <v>Positive</v>
      </c>
      <c r="P1984" t="str">
        <f t="shared" si="92"/>
        <v>Neutral</v>
      </c>
    </row>
    <row r="1985" spans="1:16" x14ac:dyDescent="0.3">
      <c r="A1985" s="1">
        <v>45338</v>
      </c>
      <c r="B1985">
        <v>58.4</v>
      </c>
      <c r="C1985">
        <v>43257000</v>
      </c>
      <c r="D1985">
        <v>-2.1779999999999999</v>
      </c>
      <c r="E1985">
        <v>94</v>
      </c>
      <c r="F1985">
        <v>1.88</v>
      </c>
      <c r="G1985">
        <v>-8.6800000000000002E-2</v>
      </c>
      <c r="H1985">
        <v>0</v>
      </c>
      <c r="J1985">
        <v>1</v>
      </c>
      <c r="K1985">
        <f>YEAR(NetflixData[[#This Row],[date]])</f>
        <v>2024</v>
      </c>
      <c r="L1985" t="str">
        <f>TEXT(NetflixData[[#This Row],[date]],"mmm")</f>
        <v>Feb</v>
      </c>
      <c r="M1985" t="str">
        <f>TEXT(NetflixData[[#This Row],[date]],"mmm yyyy")</f>
        <v>Feb 2024</v>
      </c>
      <c r="N1985" t="str">
        <f t="shared" si="90"/>
        <v>Non-Trading Day</v>
      </c>
      <c r="O1985" t="str">
        <f t="shared" si="91"/>
        <v>Negative</v>
      </c>
      <c r="P1985" t="str">
        <f t="shared" si="92"/>
        <v>Neutral</v>
      </c>
    </row>
    <row r="1986" spans="1:16" x14ac:dyDescent="0.3">
      <c r="A1986" s="1">
        <v>45339</v>
      </c>
      <c r="B1986">
        <v>58.4</v>
      </c>
      <c r="C1986">
        <v>0</v>
      </c>
      <c r="D1986">
        <v>0</v>
      </c>
      <c r="E1986">
        <v>106</v>
      </c>
      <c r="F1986">
        <v>2.16</v>
      </c>
      <c r="G1986">
        <v>1.21E-2</v>
      </c>
      <c r="H1986">
        <v>0</v>
      </c>
      <c r="J1986">
        <v>0</v>
      </c>
      <c r="K1986">
        <f>YEAR(NetflixData[[#This Row],[date]])</f>
        <v>2024</v>
      </c>
      <c r="L1986" t="str">
        <f>TEXT(NetflixData[[#This Row],[date]],"mmm")</f>
        <v>Feb</v>
      </c>
      <c r="M1986" t="str">
        <f>TEXT(NetflixData[[#This Row],[date]],"mmm yyyy")</f>
        <v>Feb 2024</v>
      </c>
      <c r="N1986" t="str">
        <f t="shared" ref="N1986:N2049" si="93">IF(J1987=1,"Trading Day","Non-Trading Day")</f>
        <v>Non-Trading Day</v>
      </c>
      <c r="O1986" t="str">
        <f t="shared" ref="O1986:O2049" si="94">IF(D1986&gt;0,"Positive",IF(D1986&lt;0,"Negative","No Change"))</f>
        <v>No Change</v>
      </c>
      <c r="P1986" t="str">
        <f t="shared" ref="P1986:P2049" si="95">IF(G1986&gt;0.1,"Positive",IF(G1986&lt;-0.1,"Negative","Neutral"))</f>
        <v>Neutral</v>
      </c>
    </row>
    <row r="1987" spans="1:16" x14ac:dyDescent="0.3">
      <c r="A1987" s="1">
        <v>45340</v>
      </c>
      <c r="B1987">
        <v>58.4</v>
      </c>
      <c r="C1987">
        <v>0</v>
      </c>
      <c r="D1987">
        <v>0</v>
      </c>
      <c r="E1987">
        <v>141</v>
      </c>
      <c r="F1987">
        <v>2.04</v>
      </c>
      <c r="G1987">
        <v>5.8599999999999999E-2</v>
      </c>
      <c r="H1987">
        <v>0</v>
      </c>
      <c r="J1987">
        <v>0</v>
      </c>
      <c r="K1987">
        <f>YEAR(NetflixData[[#This Row],[date]])</f>
        <v>2024</v>
      </c>
      <c r="L1987" t="str">
        <f>TEXT(NetflixData[[#This Row],[date]],"mmm")</f>
        <v>Feb</v>
      </c>
      <c r="M1987" t="str">
        <f>TEXT(NetflixData[[#This Row],[date]],"mmm yyyy")</f>
        <v>Feb 2024</v>
      </c>
      <c r="N1987" t="str">
        <f t="shared" si="93"/>
        <v>Non-Trading Day</v>
      </c>
      <c r="O1987" t="str">
        <f t="shared" si="94"/>
        <v>No Change</v>
      </c>
      <c r="P1987" t="str">
        <f t="shared" si="95"/>
        <v>Neutral</v>
      </c>
    </row>
    <row r="1988" spans="1:16" x14ac:dyDescent="0.3">
      <c r="A1988" s="1">
        <v>45341</v>
      </c>
      <c r="B1988">
        <v>58.4</v>
      </c>
      <c r="C1988">
        <v>0</v>
      </c>
      <c r="D1988">
        <v>0</v>
      </c>
      <c r="E1988">
        <v>100</v>
      </c>
      <c r="F1988">
        <v>2.39</v>
      </c>
      <c r="G1988">
        <v>0.1137</v>
      </c>
      <c r="H1988">
        <v>0</v>
      </c>
      <c r="J1988">
        <v>0</v>
      </c>
      <c r="K1988">
        <f>YEAR(NetflixData[[#This Row],[date]])</f>
        <v>2024</v>
      </c>
      <c r="L1988" t="str">
        <f>TEXT(NetflixData[[#This Row],[date]],"mmm")</f>
        <v>Feb</v>
      </c>
      <c r="M1988" t="str">
        <f>TEXT(NetflixData[[#This Row],[date]],"mmm yyyy")</f>
        <v>Feb 2024</v>
      </c>
      <c r="N1988" t="str">
        <f t="shared" si="93"/>
        <v>Trading Day</v>
      </c>
      <c r="O1988" t="str">
        <f t="shared" si="94"/>
        <v>No Change</v>
      </c>
      <c r="P1988" t="str">
        <f t="shared" si="95"/>
        <v>Positive</v>
      </c>
    </row>
    <row r="1989" spans="1:16" x14ac:dyDescent="0.3">
      <c r="A1989" s="1">
        <v>45342</v>
      </c>
      <c r="B1989">
        <v>57.51</v>
      </c>
      <c r="C1989">
        <v>31242000</v>
      </c>
      <c r="D1989">
        <v>-0.87</v>
      </c>
      <c r="E1989">
        <v>107</v>
      </c>
      <c r="F1989">
        <v>2.2200000000000002</v>
      </c>
      <c r="G1989">
        <v>6.1899999999999997E-2</v>
      </c>
      <c r="H1989">
        <v>0</v>
      </c>
      <c r="J1989">
        <v>1</v>
      </c>
      <c r="K1989">
        <f>YEAR(NetflixData[[#This Row],[date]])</f>
        <v>2024</v>
      </c>
      <c r="L1989" t="str">
        <f>TEXT(NetflixData[[#This Row],[date]],"mmm")</f>
        <v>Feb</v>
      </c>
      <c r="M1989" t="str">
        <f>TEXT(NetflixData[[#This Row],[date]],"mmm yyyy")</f>
        <v>Feb 2024</v>
      </c>
      <c r="N1989" t="str">
        <f t="shared" si="93"/>
        <v>Trading Day</v>
      </c>
      <c r="O1989" t="str">
        <f t="shared" si="94"/>
        <v>Negative</v>
      </c>
      <c r="P1989" t="str">
        <f t="shared" si="95"/>
        <v>Neutral</v>
      </c>
    </row>
    <row r="1990" spans="1:16" x14ac:dyDescent="0.3">
      <c r="A1990" s="1">
        <v>45343</v>
      </c>
      <c r="B1990">
        <v>57.33</v>
      </c>
      <c r="C1990">
        <v>22706000</v>
      </c>
      <c r="D1990">
        <v>-2.8000000000000001E-2</v>
      </c>
      <c r="E1990">
        <v>81</v>
      </c>
      <c r="F1990">
        <v>2.25</v>
      </c>
      <c r="G1990">
        <v>3.2399999999999998E-2</v>
      </c>
      <c r="H1990">
        <v>0</v>
      </c>
      <c r="J1990">
        <v>1</v>
      </c>
      <c r="K1990">
        <f>YEAR(NetflixData[[#This Row],[date]])</f>
        <v>2024</v>
      </c>
      <c r="L1990" t="str">
        <f>TEXT(NetflixData[[#This Row],[date]],"mmm")</f>
        <v>Feb</v>
      </c>
      <c r="M1990" t="str">
        <f>TEXT(NetflixData[[#This Row],[date]],"mmm yyyy")</f>
        <v>Feb 2024</v>
      </c>
      <c r="N1990" t="str">
        <f t="shared" si="93"/>
        <v>Trading Day</v>
      </c>
      <c r="O1990" t="str">
        <f t="shared" si="94"/>
        <v>Negative</v>
      </c>
      <c r="P1990" t="str">
        <f t="shared" si="95"/>
        <v>Neutral</v>
      </c>
    </row>
    <row r="1991" spans="1:16" x14ac:dyDescent="0.3">
      <c r="A1991" s="1">
        <v>45344</v>
      </c>
      <c r="B1991">
        <v>58.85</v>
      </c>
      <c r="C1991">
        <v>35266000</v>
      </c>
      <c r="D1991">
        <v>0.98199999999999998</v>
      </c>
      <c r="E1991">
        <v>76</v>
      </c>
      <c r="F1991">
        <v>1.91</v>
      </c>
      <c r="G1991">
        <v>8.8700000000000001E-2</v>
      </c>
      <c r="H1991">
        <v>0</v>
      </c>
      <c r="J1991">
        <v>1</v>
      </c>
      <c r="K1991">
        <f>YEAR(NetflixData[[#This Row],[date]])</f>
        <v>2024</v>
      </c>
      <c r="L1991" t="str">
        <f>TEXT(NetflixData[[#This Row],[date]],"mmm")</f>
        <v>Feb</v>
      </c>
      <c r="M1991" t="str">
        <f>TEXT(NetflixData[[#This Row],[date]],"mmm yyyy")</f>
        <v>Feb 2024</v>
      </c>
      <c r="N1991" t="str">
        <f t="shared" si="93"/>
        <v>Trading Day</v>
      </c>
      <c r="O1991" t="str">
        <f t="shared" si="94"/>
        <v>Positive</v>
      </c>
      <c r="P1991" t="str">
        <f t="shared" si="95"/>
        <v>Neutral</v>
      </c>
    </row>
    <row r="1992" spans="1:16" x14ac:dyDescent="0.3">
      <c r="A1992" s="1">
        <v>45345</v>
      </c>
      <c r="B1992">
        <v>58.36</v>
      </c>
      <c r="C1992">
        <v>25689000</v>
      </c>
      <c r="D1992">
        <v>-0.48399999999999999</v>
      </c>
      <c r="E1992">
        <v>97</v>
      </c>
      <c r="F1992">
        <v>2.1800000000000002</v>
      </c>
      <c r="G1992">
        <v>0.1176</v>
      </c>
      <c r="H1992">
        <v>0</v>
      </c>
      <c r="J1992">
        <v>1</v>
      </c>
      <c r="K1992">
        <f>YEAR(NetflixData[[#This Row],[date]])</f>
        <v>2024</v>
      </c>
      <c r="L1992" t="str">
        <f>TEXT(NetflixData[[#This Row],[date]],"mmm")</f>
        <v>Feb</v>
      </c>
      <c r="M1992" t="str">
        <f>TEXT(NetflixData[[#This Row],[date]],"mmm yyyy")</f>
        <v>Feb 2024</v>
      </c>
      <c r="N1992" t="str">
        <f t="shared" si="93"/>
        <v>Non-Trading Day</v>
      </c>
      <c r="O1992" t="str">
        <f t="shared" si="94"/>
        <v>Negative</v>
      </c>
      <c r="P1992" t="str">
        <f t="shared" si="95"/>
        <v>Positive</v>
      </c>
    </row>
    <row r="1993" spans="1:16" x14ac:dyDescent="0.3">
      <c r="A1993" s="1">
        <v>45346</v>
      </c>
      <c r="B1993">
        <v>58.36</v>
      </c>
      <c r="C1993">
        <v>0</v>
      </c>
      <c r="D1993">
        <v>0</v>
      </c>
      <c r="E1993">
        <v>100</v>
      </c>
      <c r="F1993">
        <v>2.35</v>
      </c>
      <c r="G1993">
        <v>7.6200000000000004E-2</v>
      </c>
      <c r="H1993">
        <v>0</v>
      </c>
      <c r="J1993">
        <v>0</v>
      </c>
      <c r="K1993">
        <f>YEAR(NetflixData[[#This Row],[date]])</f>
        <v>2024</v>
      </c>
      <c r="L1993" t="str">
        <f>TEXT(NetflixData[[#This Row],[date]],"mmm")</f>
        <v>Feb</v>
      </c>
      <c r="M1993" t="str">
        <f>TEXT(NetflixData[[#This Row],[date]],"mmm yyyy")</f>
        <v>Feb 2024</v>
      </c>
      <c r="N1993" t="str">
        <f t="shared" si="93"/>
        <v>Non-Trading Day</v>
      </c>
      <c r="O1993" t="str">
        <f t="shared" si="94"/>
        <v>No Change</v>
      </c>
      <c r="P1993" t="str">
        <f t="shared" si="95"/>
        <v>Neutral</v>
      </c>
    </row>
    <row r="1994" spans="1:16" x14ac:dyDescent="0.3">
      <c r="A1994" s="1">
        <v>45347</v>
      </c>
      <c r="B1994">
        <v>58.36</v>
      </c>
      <c r="C1994">
        <v>0</v>
      </c>
      <c r="D1994">
        <v>0</v>
      </c>
      <c r="E1994">
        <v>99</v>
      </c>
      <c r="F1994">
        <v>2.02</v>
      </c>
      <c r="G1994">
        <v>-3.0300000000000001E-2</v>
      </c>
      <c r="H1994">
        <v>0</v>
      </c>
      <c r="J1994">
        <v>0</v>
      </c>
      <c r="K1994">
        <f>YEAR(NetflixData[[#This Row],[date]])</f>
        <v>2024</v>
      </c>
      <c r="L1994" t="str">
        <f>TEXT(NetflixData[[#This Row],[date]],"mmm")</f>
        <v>Feb</v>
      </c>
      <c r="M1994" t="str">
        <f>TEXT(NetflixData[[#This Row],[date]],"mmm yyyy")</f>
        <v>Feb 2024</v>
      </c>
      <c r="N1994" t="str">
        <f t="shared" si="93"/>
        <v>Trading Day</v>
      </c>
      <c r="O1994" t="str">
        <f t="shared" si="94"/>
        <v>No Change</v>
      </c>
      <c r="P1994" t="str">
        <f t="shared" si="95"/>
        <v>Neutral</v>
      </c>
    </row>
    <row r="1995" spans="1:16" x14ac:dyDescent="0.3">
      <c r="A1995" s="1">
        <v>45348</v>
      </c>
      <c r="B1995">
        <v>58.76</v>
      </c>
      <c r="C1995">
        <v>23937000</v>
      </c>
      <c r="D1995">
        <v>0.70099999999999996</v>
      </c>
      <c r="E1995">
        <v>112</v>
      </c>
      <c r="F1995">
        <v>2.02</v>
      </c>
      <c r="G1995">
        <v>1.83E-2</v>
      </c>
      <c r="H1995">
        <v>0</v>
      </c>
      <c r="J1995">
        <v>1</v>
      </c>
      <c r="K1995">
        <f>YEAR(NetflixData[[#This Row],[date]])</f>
        <v>2024</v>
      </c>
      <c r="L1995" t="str">
        <f>TEXT(NetflixData[[#This Row],[date]],"mmm")</f>
        <v>Feb</v>
      </c>
      <c r="M1995" t="str">
        <f>TEXT(NetflixData[[#This Row],[date]],"mmm yyyy")</f>
        <v>Feb 2024</v>
      </c>
      <c r="N1995" t="str">
        <f t="shared" si="93"/>
        <v>Trading Day</v>
      </c>
      <c r="O1995" t="str">
        <f t="shared" si="94"/>
        <v>Positive</v>
      </c>
      <c r="P1995" t="str">
        <f t="shared" si="95"/>
        <v>Neutral</v>
      </c>
    </row>
    <row r="1996" spans="1:16" x14ac:dyDescent="0.3">
      <c r="A1996" s="1">
        <v>45349</v>
      </c>
      <c r="B1996">
        <v>60.17</v>
      </c>
      <c r="C1996">
        <v>44894000</v>
      </c>
      <c r="D1996">
        <v>1.121</v>
      </c>
      <c r="E1996">
        <v>104</v>
      </c>
      <c r="F1996">
        <v>2</v>
      </c>
      <c r="G1996">
        <v>-2.8500000000000001E-2</v>
      </c>
      <c r="H1996">
        <v>0</v>
      </c>
      <c r="J1996">
        <v>1</v>
      </c>
      <c r="K1996">
        <f>YEAR(NetflixData[[#This Row],[date]])</f>
        <v>2024</v>
      </c>
      <c r="L1996" t="str">
        <f>TEXT(NetflixData[[#This Row],[date]],"mmm")</f>
        <v>Feb</v>
      </c>
      <c r="M1996" t="str">
        <f>TEXT(NetflixData[[#This Row],[date]],"mmm yyyy")</f>
        <v>Feb 2024</v>
      </c>
      <c r="N1996" t="str">
        <f t="shared" si="93"/>
        <v>Trading Day</v>
      </c>
      <c r="O1996" t="str">
        <f t="shared" si="94"/>
        <v>Positive</v>
      </c>
      <c r="P1996" t="str">
        <f t="shared" si="95"/>
        <v>Neutral</v>
      </c>
    </row>
    <row r="1997" spans="1:16" x14ac:dyDescent="0.3">
      <c r="A1997" s="1">
        <v>45350</v>
      </c>
      <c r="B1997">
        <v>59.65</v>
      </c>
      <c r="C1997">
        <v>26052000</v>
      </c>
      <c r="D1997">
        <v>0.11600000000000001</v>
      </c>
      <c r="E1997">
        <v>105</v>
      </c>
      <c r="F1997">
        <v>2.15</v>
      </c>
      <c r="G1997">
        <v>2.81E-2</v>
      </c>
      <c r="H1997">
        <v>0</v>
      </c>
      <c r="J1997">
        <v>1</v>
      </c>
      <c r="K1997">
        <f>YEAR(NetflixData[[#This Row],[date]])</f>
        <v>2024</v>
      </c>
      <c r="L1997" t="str">
        <f>TEXT(NetflixData[[#This Row],[date]],"mmm")</f>
        <v>Feb</v>
      </c>
      <c r="M1997" t="str">
        <f>TEXT(NetflixData[[#This Row],[date]],"mmm yyyy")</f>
        <v>Feb 2024</v>
      </c>
      <c r="N1997" t="str">
        <f t="shared" si="93"/>
        <v>Trading Day</v>
      </c>
      <c r="O1997" t="str">
        <f t="shared" si="94"/>
        <v>Positive</v>
      </c>
      <c r="P1997" t="str">
        <f t="shared" si="95"/>
        <v>Neutral</v>
      </c>
    </row>
    <row r="1998" spans="1:16" x14ac:dyDescent="0.3">
      <c r="A1998" s="1">
        <v>45351</v>
      </c>
      <c r="B1998">
        <v>60.29</v>
      </c>
      <c r="C1998">
        <v>35721000</v>
      </c>
      <c r="D1998">
        <v>-0.22</v>
      </c>
      <c r="E1998">
        <v>83</v>
      </c>
      <c r="F1998">
        <v>1.99</v>
      </c>
      <c r="G1998">
        <v>-1.67E-2</v>
      </c>
      <c r="H1998">
        <v>0</v>
      </c>
      <c r="J1998">
        <v>1</v>
      </c>
      <c r="K1998">
        <f>YEAR(NetflixData[[#This Row],[date]])</f>
        <v>2024</v>
      </c>
      <c r="L1998" t="str">
        <f>TEXT(NetflixData[[#This Row],[date]],"mmm")</f>
        <v>Feb</v>
      </c>
      <c r="M1998" t="str">
        <f>TEXT(NetflixData[[#This Row],[date]],"mmm yyyy")</f>
        <v>Feb 2024</v>
      </c>
      <c r="N1998" t="str">
        <f t="shared" si="93"/>
        <v>Trading Day</v>
      </c>
      <c r="O1998" t="str">
        <f t="shared" si="94"/>
        <v>Negative</v>
      </c>
      <c r="P1998" t="str">
        <f t="shared" si="95"/>
        <v>Neutral</v>
      </c>
    </row>
    <row r="1999" spans="1:16" x14ac:dyDescent="0.3">
      <c r="A1999" s="1">
        <v>45352</v>
      </c>
      <c r="B1999">
        <v>61.93</v>
      </c>
      <c r="C1999">
        <v>42703000</v>
      </c>
      <c r="D1999">
        <v>3.2559999999999998</v>
      </c>
      <c r="E1999">
        <v>101</v>
      </c>
      <c r="F1999">
        <v>2.2200000000000002</v>
      </c>
      <c r="G1999">
        <v>8.48E-2</v>
      </c>
      <c r="H1999">
        <v>0</v>
      </c>
      <c r="J1999">
        <v>1</v>
      </c>
      <c r="K1999">
        <f>YEAR(NetflixData[[#This Row],[date]])</f>
        <v>2024</v>
      </c>
      <c r="L1999" t="str">
        <f>TEXT(NetflixData[[#This Row],[date]],"mmm")</f>
        <v>Mar</v>
      </c>
      <c r="M1999" t="str">
        <f>TEXT(NetflixData[[#This Row],[date]],"mmm yyyy")</f>
        <v>Mar 2024</v>
      </c>
      <c r="N1999" t="str">
        <f t="shared" si="93"/>
        <v>Non-Trading Day</v>
      </c>
      <c r="O1999" t="str">
        <f t="shared" si="94"/>
        <v>Positive</v>
      </c>
      <c r="P1999" t="str">
        <f t="shared" si="95"/>
        <v>Neutral</v>
      </c>
    </row>
    <row r="2000" spans="1:16" x14ac:dyDescent="0.3">
      <c r="A2000" s="1">
        <v>45353</v>
      </c>
      <c r="B2000">
        <v>61.93</v>
      </c>
      <c r="C2000">
        <v>0</v>
      </c>
      <c r="D2000">
        <v>0</v>
      </c>
      <c r="E2000">
        <v>108</v>
      </c>
      <c r="F2000">
        <v>2.2200000000000002</v>
      </c>
      <c r="G2000">
        <v>1.18E-2</v>
      </c>
      <c r="H2000">
        <v>0</v>
      </c>
      <c r="J2000">
        <v>0</v>
      </c>
      <c r="K2000">
        <f>YEAR(NetflixData[[#This Row],[date]])</f>
        <v>2024</v>
      </c>
      <c r="L2000" t="str">
        <f>TEXT(NetflixData[[#This Row],[date]],"mmm")</f>
        <v>Mar</v>
      </c>
      <c r="M2000" t="str">
        <f>TEXT(NetflixData[[#This Row],[date]],"mmm yyyy")</f>
        <v>Mar 2024</v>
      </c>
      <c r="N2000" t="str">
        <f t="shared" si="93"/>
        <v>Non-Trading Day</v>
      </c>
      <c r="O2000" t="str">
        <f t="shared" si="94"/>
        <v>No Change</v>
      </c>
      <c r="P2000" t="str">
        <f t="shared" si="95"/>
        <v>Neutral</v>
      </c>
    </row>
    <row r="2001" spans="1:16" x14ac:dyDescent="0.3">
      <c r="A2001" s="1">
        <v>45354</v>
      </c>
      <c r="B2001">
        <v>61.93</v>
      </c>
      <c r="C2001">
        <v>0</v>
      </c>
      <c r="D2001">
        <v>0</v>
      </c>
      <c r="E2001">
        <v>120</v>
      </c>
      <c r="F2001">
        <v>2.23</v>
      </c>
      <c r="G2001">
        <v>0.1105</v>
      </c>
      <c r="H2001">
        <v>0</v>
      </c>
      <c r="J2001">
        <v>0</v>
      </c>
      <c r="K2001">
        <f>YEAR(NetflixData[[#This Row],[date]])</f>
        <v>2024</v>
      </c>
      <c r="L2001" t="str">
        <f>TEXT(NetflixData[[#This Row],[date]],"mmm")</f>
        <v>Mar</v>
      </c>
      <c r="M2001" t="str">
        <f>TEXT(NetflixData[[#This Row],[date]],"mmm yyyy")</f>
        <v>Mar 2024</v>
      </c>
      <c r="N2001" t="str">
        <f t="shared" si="93"/>
        <v>Trading Day</v>
      </c>
      <c r="O2001" t="str">
        <f t="shared" si="94"/>
        <v>No Change</v>
      </c>
      <c r="P2001" t="str">
        <f t="shared" si="95"/>
        <v>Positive</v>
      </c>
    </row>
    <row r="2002" spans="1:16" x14ac:dyDescent="0.3">
      <c r="A2002" s="1">
        <v>45355</v>
      </c>
      <c r="B2002">
        <v>61.58</v>
      </c>
      <c r="C2002">
        <v>30203000</v>
      </c>
      <c r="D2002">
        <v>-0.92200000000000004</v>
      </c>
      <c r="E2002">
        <v>107</v>
      </c>
      <c r="F2002">
        <v>2.15</v>
      </c>
      <c r="G2002">
        <v>3.2000000000000002E-3</v>
      </c>
      <c r="H2002">
        <v>0</v>
      </c>
      <c r="J2002">
        <v>1</v>
      </c>
      <c r="K2002">
        <f>YEAR(NetflixData[[#This Row],[date]])</f>
        <v>2024</v>
      </c>
      <c r="L2002" t="str">
        <f>TEXT(NetflixData[[#This Row],[date]],"mmm")</f>
        <v>Mar</v>
      </c>
      <c r="M2002" t="str">
        <f>TEXT(NetflixData[[#This Row],[date]],"mmm yyyy")</f>
        <v>Mar 2024</v>
      </c>
      <c r="N2002" t="str">
        <f t="shared" si="93"/>
        <v>Trading Day</v>
      </c>
      <c r="O2002" t="str">
        <f t="shared" si="94"/>
        <v>Negative</v>
      </c>
      <c r="P2002" t="str">
        <f t="shared" si="95"/>
        <v>Neutral</v>
      </c>
    </row>
    <row r="2003" spans="1:16" x14ac:dyDescent="0.3">
      <c r="A2003" s="1">
        <v>45356</v>
      </c>
      <c r="B2003">
        <v>59.85</v>
      </c>
      <c r="C2003">
        <v>38496000</v>
      </c>
      <c r="D2003">
        <v>-1.901</v>
      </c>
      <c r="E2003">
        <v>102</v>
      </c>
      <c r="F2003">
        <v>2.64</v>
      </c>
      <c r="G2003">
        <v>0.1215</v>
      </c>
      <c r="H2003">
        <v>0</v>
      </c>
      <c r="J2003">
        <v>1</v>
      </c>
      <c r="K2003">
        <f>YEAR(NetflixData[[#This Row],[date]])</f>
        <v>2024</v>
      </c>
      <c r="L2003" t="str">
        <f>TEXT(NetflixData[[#This Row],[date]],"mmm")</f>
        <v>Mar</v>
      </c>
      <c r="M2003" t="str">
        <f>TEXT(NetflixData[[#This Row],[date]],"mmm yyyy")</f>
        <v>Mar 2024</v>
      </c>
      <c r="N2003" t="str">
        <f t="shared" si="93"/>
        <v>Trading Day</v>
      </c>
      <c r="O2003" t="str">
        <f t="shared" si="94"/>
        <v>Negative</v>
      </c>
      <c r="P2003" t="str">
        <f t="shared" si="95"/>
        <v>Positive</v>
      </c>
    </row>
    <row r="2004" spans="1:16" x14ac:dyDescent="0.3">
      <c r="A2004" s="1">
        <v>45357</v>
      </c>
      <c r="B2004">
        <v>59.77</v>
      </c>
      <c r="C2004">
        <v>24696000</v>
      </c>
      <c r="D2004">
        <v>-0.879</v>
      </c>
      <c r="E2004">
        <v>86</v>
      </c>
      <c r="F2004">
        <v>2.21</v>
      </c>
      <c r="G2004">
        <v>-2.8199999999999999E-2</v>
      </c>
      <c r="H2004">
        <v>0</v>
      </c>
      <c r="J2004">
        <v>1</v>
      </c>
      <c r="K2004">
        <f>YEAR(NetflixData[[#This Row],[date]])</f>
        <v>2024</v>
      </c>
      <c r="L2004" t="str">
        <f>TEXT(NetflixData[[#This Row],[date]],"mmm")</f>
        <v>Mar</v>
      </c>
      <c r="M2004" t="str">
        <f>TEXT(NetflixData[[#This Row],[date]],"mmm yyyy")</f>
        <v>Mar 2024</v>
      </c>
      <c r="N2004" t="str">
        <f t="shared" si="93"/>
        <v>Trading Day</v>
      </c>
      <c r="O2004" t="str">
        <f t="shared" si="94"/>
        <v>Negative</v>
      </c>
      <c r="P2004" t="str">
        <f t="shared" si="95"/>
        <v>Neutral</v>
      </c>
    </row>
    <row r="2005" spans="1:16" x14ac:dyDescent="0.3">
      <c r="A2005" s="1">
        <v>45358</v>
      </c>
      <c r="B2005">
        <v>60.85</v>
      </c>
      <c r="C2005">
        <v>27428000</v>
      </c>
      <c r="D2005">
        <v>1.53</v>
      </c>
      <c r="E2005">
        <v>94</v>
      </c>
      <c r="F2005">
        <v>2.29</v>
      </c>
      <c r="G2005">
        <v>6.3799999999999996E-2</v>
      </c>
      <c r="H2005">
        <v>0</v>
      </c>
      <c r="J2005">
        <v>1</v>
      </c>
      <c r="K2005">
        <f>YEAR(NetflixData[[#This Row],[date]])</f>
        <v>2024</v>
      </c>
      <c r="L2005" t="str">
        <f>TEXT(NetflixData[[#This Row],[date]],"mmm")</f>
        <v>Mar</v>
      </c>
      <c r="M2005" t="str">
        <f>TEXT(NetflixData[[#This Row],[date]],"mmm yyyy")</f>
        <v>Mar 2024</v>
      </c>
      <c r="N2005" t="str">
        <f t="shared" si="93"/>
        <v>Trading Day</v>
      </c>
      <c r="O2005" t="str">
        <f t="shared" si="94"/>
        <v>Positive</v>
      </c>
      <c r="P2005" t="str">
        <f t="shared" si="95"/>
        <v>Neutral</v>
      </c>
    </row>
    <row r="2006" spans="1:16" x14ac:dyDescent="0.3">
      <c r="A2006" s="1">
        <v>45359</v>
      </c>
      <c r="B2006">
        <v>60.48</v>
      </c>
      <c r="C2006">
        <v>27772000</v>
      </c>
      <c r="D2006">
        <v>-0.56699999999999995</v>
      </c>
      <c r="E2006">
        <v>98</v>
      </c>
      <c r="F2006">
        <v>2.09</v>
      </c>
      <c r="G2006">
        <v>5.3999999999999999E-2</v>
      </c>
      <c r="H2006">
        <v>0</v>
      </c>
      <c r="J2006">
        <v>1</v>
      </c>
      <c r="K2006">
        <f>YEAR(NetflixData[[#This Row],[date]])</f>
        <v>2024</v>
      </c>
      <c r="L2006" t="str">
        <f>TEXT(NetflixData[[#This Row],[date]],"mmm")</f>
        <v>Mar</v>
      </c>
      <c r="M2006" t="str">
        <f>TEXT(NetflixData[[#This Row],[date]],"mmm yyyy")</f>
        <v>Mar 2024</v>
      </c>
      <c r="N2006" t="str">
        <f t="shared" si="93"/>
        <v>Non-Trading Day</v>
      </c>
      <c r="O2006" t="str">
        <f t="shared" si="94"/>
        <v>Negative</v>
      </c>
      <c r="P2006" t="str">
        <f t="shared" si="95"/>
        <v>Neutral</v>
      </c>
    </row>
    <row r="2007" spans="1:16" x14ac:dyDescent="0.3">
      <c r="A2007" s="1">
        <v>45360</v>
      </c>
      <c r="B2007">
        <v>60.48</v>
      </c>
      <c r="C2007">
        <v>0</v>
      </c>
      <c r="D2007">
        <v>0</v>
      </c>
      <c r="E2007">
        <v>92</v>
      </c>
      <c r="F2007">
        <v>2.2000000000000002</v>
      </c>
      <c r="G2007">
        <v>3.1300000000000001E-2</v>
      </c>
      <c r="H2007">
        <v>0</v>
      </c>
      <c r="J2007">
        <v>0</v>
      </c>
      <c r="K2007">
        <f>YEAR(NetflixData[[#This Row],[date]])</f>
        <v>2024</v>
      </c>
      <c r="L2007" t="str">
        <f>TEXT(NetflixData[[#This Row],[date]],"mmm")</f>
        <v>Mar</v>
      </c>
      <c r="M2007" t="str">
        <f>TEXT(NetflixData[[#This Row],[date]],"mmm yyyy")</f>
        <v>Mar 2024</v>
      </c>
      <c r="N2007" t="str">
        <f t="shared" si="93"/>
        <v>Non-Trading Day</v>
      </c>
      <c r="O2007" t="str">
        <f t="shared" si="94"/>
        <v>No Change</v>
      </c>
      <c r="P2007" t="str">
        <f t="shared" si="95"/>
        <v>Neutral</v>
      </c>
    </row>
    <row r="2008" spans="1:16" x14ac:dyDescent="0.3">
      <c r="A2008" s="1">
        <v>45361</v>
      </c>
      <c r="B2008">
        <v>60.48</v>
      </c>
      <c r="C2008">
        <v>0</v>
      </c>
      <c r="D2008">
        <v>0</v>
      </c>
      <c r="E2008">
        <v>114</v>
      </c>
      <c r="F2008">
        <v>2.12</v>
      </c>
      <c r="G2008">
        <v>6.0000000000000001E-3</v>
      </c>
      <c r="H2008">
        <v>0</v>
      </c>
      <c r="J2008">
        <v>0</v>
      </c>
      <c r="K2008">
        <f>YEAR(NetflixData[[#This Row],[date]])</f>
        <v>2024</v>
      </c>
      <c r="L2008" t="str">
        <f>TEXT(NetflixData[[#This Row],[date]],"mmm")</f>
        <v>Mar</v>
      </c>
      <c r="M2008" t="str">
        <f>TEXT(NetflixData[[#This Row],[date]],"mmm yyyy")</f>
        <v>Mar 2024</v>
      </c>
      <c r="N2008" t="str">
        <f t="shared" si="93"/>
        <v>Trading Day</v>
      </c>
      <c r="O2008" t="str">
        <f t="shared" si="94"/>
        <v>No Change</v>
      </c>
      <c r="P2008" t="str">
        <f t="shared" si="95"/>
        <v>Neutral</v>
      </c>
    </row>
    <row r="2009" spans="1:16" x14ac:dyDescent="0.3">
      <c r="A2009" s="1">
        <v>45362</v>
      </c>
      <c r="B2009">
        <v>60.09</v>
      </c>
      <c r="C2009">
        <v>25009000</v>
      </c>
      <c r="D2009">
        <v>-1.1759999999999999</v>
      </c>
      <c r="E2009">
        <v>79</v>
      </c>
      <c r="F2009">
        <v>2.14</v>
      </c>
      <c r="G2009">
        <v>-1.47E-2</v>
      </c>
      <c r="H2009">
        <v>0</v>
      </c>
      <c r="J2009">
        <v>1</v>
      </c>
      <c r="K2009">
        <f>YEAR(NetflixData[[#This Row],[date]])</f>
        <v>2024</v>
      </c>
      <c r="L2009" t="str">
        <f>TEXT(NetflixData[[#This Row],[date]],"mmm")</f>
        <v>Mar</v>
      </c>
      <c r="M2009" t="str">
        <f>TEXT(NetflixData[[#This Row],[date]],"mmm yyyy")</f>
        <v>Mar 2024</v>
      </c>
      <c r="N2009" t="str">
        <f t="shared" si="93"/>
        <v>Trading Day</v>
      </c>
      <c r="O2009" t="str">
        <f t="shared" si="94"/>
        <v>Negative</v>
      </c>
      <c r="P2009" t="str">
        <f t="shared" si="95"/>
        <v>Neutral</v>
      </c>
    </row>
    <row r="2010" spans="1:16" x14ac:dyDescent="0.3">
      <c r="A2010" s="1">
        <v>45363</v>
      </c>
      <c r="B2010">
        <v>61.11</v>
      </c>
      <c r="C2010">
        <v>28216000</v>
      </c>
      <c r="D2010">
        <v>1.8109999999999999</v>
      </c>
      <c r="E2010">
        <v>71</v>
      </c>
      <c r="F2010">
        <v>2.06</v>
      </c>
      <c r="G2010">
        <v>0.1023</v>
      </c>
      <c r="H2010">
        <v>0</v>
      </c>
      <c r="J2010">
        <v>1</v>
      </c>
      <c r="K2010">
        <f>YEAR(NetflixData[[#This Row],[date]])</f>
        <v>2024</v>
      </c>
      <c r="L2010" t="str">
        <f>TEXT(NetflixData[[#This Row],[date]],"mmm")</f>
        <v>Mar</v>
      </c>
      <c r="M2010" t="str">
        <f>TEXT(NetflixData[[#This Row],[date]],"mmm yyyy")</f>
        <v>Mar 2024</v>
      </c>
      <c r="N2010" t="str">
        <f t="shared" si="93"/>
        <v>Trading Day</v>
      </c>
      <c r="O2010" t="str">
        <f t="shared" si="94"/>
        <v>Positive</v>
      </c>
      <c r="P2010" t="str">
        <f t="shared" si="95"/>
        <v>Positive</v>
      </c>
    </row>
    <row r="2011" spans="1:16" x14ac:dyDescent="0.3">
      <c r="A2011" s="1">
        <v>45364</v>
      </c>
      <c r="B2011">
        <v>60.94</v>
      </c>
      <c r="C2011">
        <v>21921000</v>
      </c>
      <c r="D2011">
        <v>-0.63900000000000001</v>
      </c>
      <c r="E2011">
        <v>82</v>
      </c>
      <c r="F2011">
        <v>1.8</v>
      </c>
      <c r="G2011">
        <v>-7.4899999999999994E-2</v>
      </c>
      <c r="H2011">
        <v>0</v>
      </c>
      <c r="J2011">
        <v>1</v>
      </c>
      <c r="K2011">
        <f>YEAR(NetflixData[[#This Row],[date]])</f>
        <v>2024</v>
      </c>
      <c r="L2011" t="str">
        <f>TEXT(NetflixData[[#This Row],[date]],"mmm")</f>
        <v>Mar</v>
      </c>
      <c r="M2011" t="str">
        <f>TEXT(NetflixData[[#This Row],[date]],"mmm yyyy")</f>
        <v>Mar 2024</v>
      </c>
      <c r="N2011" t="str">
        <f t="shared" si="93"/>
        <v>Trading Day</v>
      </c>
      <c r="O2011" t="str">
        <f t="shared" si="94"/>
        <v>Negative</v>
      </c>
      <c r="P2011" t="str">
        <f t="shared" si="95"/>
        <v>Neutral</v>
      </c>
    </row>
    <row r="2012" spans="1:16" x14ac:dyDescent="0.3">
      <c r="A2012" s="1">
        <v>45365</v>
      </c>
      <c r="B2012">
        <v>61.3</v>
      </c>
      <c r="C2012">
        <v>31205000</v>
      </c>
      <c r="D2012">
        <v>-0.32400000000000001</v>
      </c>
      <c r="E2012">
        <v>82</v>
      </c>
      <c r="F2012">
        <v>2.37</v>
      </c>
      <c r="G2012">
        <v>9.4200000000000006E-2</v>
      </c>
      <c r="H2012">
        <v>0</v>
      </c>
      <c r="J2012">
        <v>1</v>
      </c>
      <c r="K2012">
        <f>YEAR(NetflixData[[#This Row],[date]])</f>
        <v>2024</v>
      </c>
      <c r="L2012" t="str">
        <f>TEXT(NetflixData[[#This Row],[date]],"mmm")</f>
        <v>Mar</v>
      </c>
      <c r="M2012" t="str">
        <f>TEXT(NetflixData[[#This Row],[date]],"mmm yyyy")</f>
        <v>Mar 2024</v>
      </c>
      <c r="N2012" t="str">
        <f t="shared" si="93"/>
        <v>Trading Day</v>
      </c>
      <c r="O2012" t="str">
        <f t="shared" si="94"/>
        <v>Negative</v>
      </c>
      <c r="P2012" t="str">
        <f t="shared" si="95"/>
        <v>Neutral</v>
      </c>
    </row>
    <row r="2013" spans="1:16" x14ac:dyDescent="0.3">
      <c r="A2013" s="1">
        <v>45366</v>
      </c>
      <c r="B2013">
        <v>60.59</v>
      </c>
      <c r="C2013">
        <v>66716000</v>
      </c>
      <c r="D2013">
        <v>-2.7360000000000002</v>
      </c>
      <c r="E2013">
        <v>154</v>
      </c>
      <c r="F2013">
        <v>1.97</v>
      </c>
      <c r="G2013">
        <v>6.6E-3</v>
      </c>
      <c r="H2013">
        <v>0</v>
      </c>
      <c r="J2013">
        <v>1</v>
      </c>
      <c r="K2013">
        <f>YEAR(NetflixData[[#This Row],[date]])</f>
        <v>2024</v>
      </c>
      <c r="L2013" t="str">
        <f>TEXT(NetflixData[[#This Row],[date]],"mmm")</f>
        <v>Mar</v>
      </c>
      <c r="M2013" t="str">
        <f>TEXT(NetflixData[[#This Row],[date]],"mmm yyyy")</f>
        <v>Mar 2024</v>
      </c>
      <c r="N2013" t="str">
        <f t="shared" si="93"/>
        <v>Non-Trading Day</v>
      </c>
      <c r="O2013" t="str">
        <f t="shared" si="94"/>
        <v>Negative</v>
      </c>
      <c r="P2013" t="str">
        <f t="shared" si="95"/>
        <v>Neutral</v>
      </c>
    </row>
    <row r="2014" spans="1:16" x14ac:dyDescent="0.3">
      <c r="A2014" s="1">
        <v>45367</v>
      </c>
      <c r="B2014">
        <v>60.59</v>
      </c>
      <c r="C2014">
        <v>0</v>
      </c>
      <c r="D2014">
        <v>0</v>
      </c>
      <c r="E2014">
        <v>181</v>
      </c>
      <c r="F2014">
        <v>1.46</v>
      </c>
      <c r="G2014">
        <v>-9.2499999999999999E-2</v>
      </c>
      <c r="H2014">
        <v>0</v>
      </c>
      <c r="J2014">
        <v>0</v>
      </c>
      <c r="K2014">
        <f>YEAR(NetflixData[[#This Row],[date]])</f>
        <v>2024</v>
      </c>
      <c r="L2014" t="str">
        <f>TEXT(NetflixData[[#This Row],[date]],"mmm")</f>
        <v>Mar</v>
      </c>
      <c r="M2014" t="str">
        <f>TEXT(NetflixData[[#This Row],[date]],"mmm yyyy")</f>
        <v>Mar 2024</v>
      </c>
      <c r="N2014" t="str">
        <f t="shared" si="93"/>
        <v>Non-Trading Day</v>
      </c>
      <c r="O2014" t="str">
        <f t="shared" si="94"/>
        <v>No Change</v>
      </c>
      <c r="P2014" t="str">
        <f t="shared" si="95"/>
        <v>Neutral</v>
      </c>
    </row>
    <row r="2015" spans="1:16" x14ac:dyDescent="0.3">
      <c r="A2015" s="1">
        <v>45368</v>
      </c>
      <c r="B2015">
        <v>60.59</v>
      </c>
      <c r="C2015">
        <v>0</v>
      </c>
      <c r="D2015">
        <v>0</v>
      </c>
      <c r="E2015">
        <v>175</v>
      </c>
      <c r="F2015">
        <v>1.66</v>
      </c>
      <c r="G2015">
        <v>-8.0199999999999994E-2</v>
      </c>
      <c r="H2015">
        <v>0</v>
      </c>
      <c r="J2015">
        <v>0</v>
      </c>
      <c r="K2015">
        <f>YEAR(NetflixData[[#This Row],[date]])</f>
        <v>2024</v>
      </c>
      <c r="L2015" t="str">
        <f>TEXT(NetflixData[[#This Row],[date]],"mmm")</f>
        <v>Mar</v>
      </c>
      <c r="M2015" t="str">
        <f>TEXT(NetflixData[[#This Row],[date]],"mmm yyyy")</f>
        <v>Mar 2024</v>
      </c>
      <c r="N2015" t="str">
        <f t="shared" si="93"/>
        <v>Trading Day</v>
      </c>
      <c r="O2015" t="str">
        <f t="shared" si="94"/>
        <v>No Change</v>
      </c>
      <c r="P2015" t="str">
        <f t="shared" si="95"/>
        <v>Neutral</v>
      </c>
    </row>
    <row r="2016" spans="1:16" x14ac:dyDescent="0.3">
      <c r="A2016" s="1">
        <v>45369</v>
      </c>
      <c r="B2016">
        <v>61.84</v>
      </c>
      <c r="C2016">
        <v>33442000</v>
      </c>
      <c r="D2016">
        <v>0.78700000000000003</v>
      </c>
      <c r="E2016">
        <v>134</v>
      </c>
      <c r="F2016">
        <v>1.92</v>
      </c>
      <c r="G2016">
        <v>-2.3599999999999999E-2</v>
      </c>
      <c r="H2016">
        <v>0</v>
      </c>
      <c r="J2016">
        <v>1</v>
      </c>
      <c r="K2016">
        <f>YEAR(NetflixData[[#This Row],[date]])</f>
        <v>2024</v>
      </c>
      <c r="L2016" t="str">
        <f>TEXT(NetflixData[[#This Row],[date]],"mmm")</f>
        <v>Mar</v>
      </c>
      <c r="M2016" t="str">
        <f>TEXT(NetflixData[[#This Row],[date]],"mmm yyyy")</f>
        <v>Mar 2024</v>
      </c>
      <c r="N2016" t="str">
        <f t="shared" si="93"/>
        <v>Trading Day</v>
      </c>
      <c r="O2016" t="str">
        <f t="shared" si="94"/>
        <v>Positive</v>
      </c>
      <c r="P2016" t="str">
        <f t="shared" si="95"/>
        <v>Neutral</v>
      </c>
    </row>
    <row r="2017" spans="1:16" x14ac:dyDescent="0.3">
      <c r="A2017" s="1">
        <v>45370</v>
      </c>
      <c r="B2017">
        <v>62.07</v>
      </c>
      <c r="C2017">
        <v>21426000</v>
      </c>
      <c r="D2017">
        <v>0.83199999999999996</v>
      </c>
      <c r="E2017">
        <v>92</v>
      </c>
      <c r="F2017">
        <v>2.21</v>
      </c>
      <c r="G2017">
        <v>5.3999999999999999E-2</v>
      </c>
      <c r="H2017">
        <v>0</v>
      </c>
      <c r="J2017">
        <v>1</v>
      </c>
      <c r="K2017">
        <f>YEAR(NetflixData[[#This Row],[date]])</f>
        <v>2024</v>
      </c>
      <c r="L2017" t="str">
        <f>TEXT(NetflixData[[#This Row],[date]],"mmm")</f>
        <v>Mar</v>
      </c>
      <c r="M2017" t="str">
        <f>TEXT(NetflixData[[#This Row],[date]],"mmm yyyy")</f>
        <v>Mar 2024</v>
      </c>
      <c r="N2017" t="str">
        <f t="shared" si="93"/>
        <v>Trading Day</v>
      </c>
      <c r="O2017" t="str">
        <f t="shared" si="94"/>
        <v>Positive</v>
      </c>
      <c r="P2017" t="str">
        <f t="shared" si="95"/>
        <v>Neutral</v>
      </c>
    </row>
    <row r="2018" spans="1:16" x14ac:dyDescent="0.3">
      <c r="A2018" s="1">
        <v>45371</v>
      </c>
      <c r="B2018">
        <v>62.77</v>
      </c>
      <c r="C2018">
        <v>26395000</v>
      </c>
      <c r="D2018">
        <v>1.248</v>
      </c>
      <c r="E2018">
        <v>73</v>
      </c>
      <c r="F2018">
        <v>1.77</v>
      </c>
      <c r="G2018">
        <v>-6.2700000000000006E-2</v>
      </c>
      <c r="H2018">
        <v>0</v>
      </c>
      <c r="J2018">
        <v>1</v>
      </c>
      <c r="K2018">
        <f>YEAR(NetflixData[[#This Row],[date]])</f>
        <v>2024</v>
      </c>
      <c r="L2018" t="str">
        <f>TEXT(NetflixData[[#This Row],[date]],"mmm")</f>
        <v>Mar</v>
      </c>
      <c r="M2018" t="str">
        <f>TEXT(NetflixData[[#This Row],[date]],"mmm yyyy")</f>
        <v>Mar 2024</v>
      </c>
      <c r="N2018" t="str">
        <f t="shared" si="93"/>
        <v>Trading Day</v>
      </c>
      <c r="O2018" t="str">
        <f t="shared" si="94"/>
        <v>Positive</v>
      </c>
      <c r="P2018" t="str">
        <f t="shared" si="95"/>
        <v>Neutral</v>
      </c>
    </row>
    <row r="2019" spans="1:16" x14ac:dyDescent="0.3">
      <c r="A2019" s="1">
        <v>45372</v>
      </c>
      <c r="B2019">
        <v>62.27</v>
      </c>
      <c r="C2019">
        <v>25077000</v>
      </c>
      <c r="D2019">
        <v>-1.2589999999999999</v>
      </c>
      <c r="E2019">
        <v>82</v>
      </c>
      <c r="F2019">
        <v>2.1</v>
      </c>
      <c r="G2019">
        <v>4.1399999999999999E-2</v>
      </c>
      <c r="H2019">
        <v>0</v>
      </c>
      <c r="J2019">
        <v>1</v>
      </c>
      <c r="K2019">
        <f>YEAR(NetflixData[[#This Row],[date]])</f>
        <v>2024</v>
      </c>
      <c r="L2019" t="str">
        <f>TEXT(NetflixData[[#This Row],[date]],"mmm")</f>
        <v>Mar</v>
      </c>
      <c r="M2019" t="str">
        <f>TEXT(NetflixData[[#This Row],[date]],"mmm yyyy")</f>
        <v>Mar 2024</v>
      </c>
      <c r="N2019" t="str">
        <f t="shared" si="93"/>
        <v>Trading Day</v>
      </c>
      <c r="O2019" t="str">
        <f t="shared" si="94"/>
        <v>Negative</v>
      </c>
      <c r="P2019" t="str">
        <f t="shared" si="95"/>
        <v>Neutral</v>
      </c>
    </row>
    <row r="2020" spans="1:16" x14ac:dyDescent="0.3">
      <c r="A2020" s="1">
        <v>45373</v>
      </c>
      <c r="B2020">
        <v>62.8</v>
      </c>
      <c r="C2020">
        <v>21357000</v>
      </c>
      <c r="D2020">
        <v>0.61699999999999999</v>
      </c>
      <c r="E2020">
        <v>82</v>
      </c>
      <c r="F2020">
        <v>1.87</v>
      </c>
      <c r="G2020">
        <v>-2.7400000000000001E-2</v>
      </c>
      <c r="H2020">
        <v>0</v>
      </c>
      <c r="J2020">
        <v>1</v>
      </c>
      <c r="K2020">
        <f>YEAR(NetflixData[[#This Row],[date]])</f>
        <v>2024</v>
      </c>
      <c r="L2020" t="str">
        <f>TEXT(NetflixData[[#This Row],[date]],"mmm")</f>
        <v>Mar</v>
      </c>
      <c r="M2020" t="str">
        <f>TEXT(NetflixData[[#This Row],[date]],"mmm yyyy")</f>
        <v>Mar 2024</v>
      </c>
      <c r="N2020" t="str">
        <f t="shared" si="93"/>
        <v>Non-Trading Day</v>
      </c>
      <c r="O2020" t="str">
        <f t="shared" si="94"/>
        <v>Positive</v>
      </c>
      <c r="P2020" t="str">
        <f t="shared" si="95"/>
        <v>Neutral</v>
      </c>
    </row>
    <row r="2021" spans="1:16" x14ac:dyDescent="0.3">
      <c r="A2021" s="1">
        <v>45374</v>
      </c>
      <c r="B2021">
        <v>62.8</v>
      </c>
      <c r="C2021">
        <v>0</v>
      </c>
      <c r="D2021">
        <v>0</v>
      </c>
      <c r="E2021">
        <v>116</v>
      </c>
      <c r="F2021">
        <v>2.08</v>
      </c>
      <c r="G2021">
        <v>5.8000000000000003E-2</v>
      </c>
      <c r="H2021">
        <v>0</v>
      </c>
      <c r="J2021">
        <v>0</v>
      </c>
      <c r="K2021">
        <f>YEAR(NetflixData[[#This Row],[date]])</f>
        <v>2024</v>
      </c>
      <c r="L2021" t="str">
        <f>TEXT(NetflixData[[#This Row],[date]],"mmm")</f>
        <v>Mar</v>
      </c>
      <c r="M2021" t="str">
        <f>TEXT(NetflixData[[#This Row],[date]],"mmm yyyy")</f>
        <v>Mar 2024</v>
      </c>
      <c r="N2021" t="str">
        <f t="shared" si="93"/>
        <v>Non-Trading Day</v>
      </c>
      <c r="O2021" t="str">
        <f t="shared" si="94"/>
        <v>No Change</v>
      </c>
      <c r="P2021" t="str">
        <f t="shared" si="95"/>
        <v>Neutral</v>
      </c>
    </row>
    <row r="2022" spans="1:16" x14ac:dyDescent="0.3">
      <c r="A2022" s="1">
        <v>45375</v>
      </c>
      <c r="B2022">
        <v>62.8</v>
      </c>
      <c r="C2022">
        <v>0</v>
      </c>
      <c r="D2022">
        <v>0</v>
      </c>
      <c r="E2022">
        <v>121</v>
      </c>
      <c r="F2022">
        <v>2.15</v>
      </c>
      <c r="G2022">
        <v>-5.7000000000000002E-3</v>
      </c>
      <c r="H2022">
        <v>0</v>
      </c>
      <c r="J2022">
        <v>0</v>
      </c>
      <c r="K2022">
        <f>YEAR(NetflixData[[#This Row],[date]])</f>
        <v>2024</v>
      </c>
      <c r="L2022" t="str">
        <f>TEXT(NetflixData[[#This Row],[date]],"mmm")</f>
        <v>Mar</v>
      </c>
      <c r="M2022" t="str">
        <f>TEXT(NetflixData[[#This Row],[date]],"mmm yyyy")</f>
        <v>Mar 2024</v>
      </c>
      <c r="N2022" t="str">
        <f t="shared" si="93"/>
        <v>Trading Day</v>
      </c>
      <c r="O2022" t="str">
        <f t="shared" si="94"/>
        <v>No Change</v>
      </c>
      <c r="P2022" t="str">
        <f t="shared" si="95"/>
        <v>Neutral</v>
      </c>
    </row>
    <row r="2023" spans="1:16" x14ac:dyDescent="0.3">
      <c r="A2023" s="1">
        <v>45376</v>
      </c>
      <c r="B2023">
        <v>62.75</v>
      </c>
      <c r="C2023">
        <v>18033000</v>
      </c>
      <c r="D2023">
        <v>-7.0000000000000007E-2</v>
      </c>
      <c r="E2023">
        <v>91</v>
      </c>
      <c r="F2023">
        <v>2.27</v>
      </c>
      <c r="G2023">
        <v>0.1095</v>
      </c>
      <c r="H2023">
        <v>0</v>
      </c>
      <c r="J2023">
        <v>1</v>
      </c>
      <c r="K2023">
        <f>YEAR(NetflixData[[#This Row],[date]])</f>
        <v>2024</v>
      </c>
      <c r="L2023" t="str">
        <f>TEXT(NetflixData[[#This Row],[date]],"mmm")</f>
        <v>Mar</v>
      </c>
      <c r="M2023" t="str">
        <f>TEXT(NetflixData[[#This Row],[date]],"mmm yyyy")</f>
        <v>Mar 2024</v>
      </c>
      <c r="N2023" t="str">
        <f t="shared" si="93"/>
        <v>Trading Day</v>
      </c>
      <c r="O2023" t="str">
        <f t="shared" si="94"/>
        <v>Negative</v>
      </c>
      <c r="P2023" t="str">
        <f t="shared" si="95"/>
        <v>Positive</v>
      </c>
    </row>
    <row r="2024" spans="1:16" x14ac:dyDescent="0.3">
      <c r="A2024" s="1">
        <v>45377</v>
      </c>
      <c r="B2024">
        <v>62.92</v>
      </c>
      <c r="C2024">
        <v>28045000</v>
      </c>
      <c r="D2024">
        <v>0.64600000000000002</v>
      </c>
      <c r="E2024">
        <v>104</v>
      </c>
      <c r="F2024">
        <v>2.1</v>
      </c>
      <c r="G2024">
        <v>-2.3599999999999999E-2</v>
      </c>
      <c r="H2024">
        <v>0</v>
      </c>
      <c r="J2024">
        <v>1</v>
      </c>
      <c r="K2024">
        <f>YEAR(NetflixData[[#This Row],[date]])</f>
        <v>2024</v>
      </c>
      <c r="L2024" t="str">
        <f>TEXT(NetflixData[[#This Row],[date]],"mmm")</f>
        <v>Mar</v>
      </c>
      <c r="M2024" t="str">
        <f>TEXT(NetflixData[[#This Row],[date]],"mmm yyyy")</f>
        <v>Mar 2024</v>
      </c>
      <c r="N2024" t="str">
        <f t="shared" si="93"/>
        <v>Trading Day</v>
      </c>
      <c r="O2024" t="str">
        <f t="shared" si="94"/>
        <v>Positive</v>
      </c>
      <c r="P2024" t="str">
        <f t="shared" si="95"/>
        <v>Neutral</v>
      </c>
    </row>
    <row r="2025" spans="1:16" x14ac:dyDescent="0.3">
      <c r="A2025" s="1">
        <v>45378</v>
      </c>
      <c r="B2025">
        <v>61.35</v>
      </c>
      <c r="C2025">
        <v>26283000</v>
      </c>
      <c r="D2025">
        <v>-2.4609999999999999</v>
      </c>
      <c r="E2025">
        <v>115</v>
      </c>
      <c r="F2025">
        <v>2.06</v>
      </c>
      <c r="G2025">
        <v>-6.7799999999999999E-2</v>
      </c>
      <c r="H2025">
        <v>0</v>
      </c>
      <c r="J2025">
        <v>1</v>
      </c>
      <c r="K2025">
        <f>YEAR(NetflixData[[#This Row],[date]])</f>
        <v>2024</v>
      </c>
      <c r="L2025" t="str">
        <f>TEXT(NetflixData[[#This Row],[date]],"mmm")</f>
        <v>Mar</v>
      </c>
      <c r="M2025" t="str">
        <f>TEXT(NetflixData[[#This Row],[date]],"mmm yyyy")</f>
        <v>Mar 2024</v>
      </c>
      <c r="N2025" t="str">
        <f t="shared" si="93"/>
        <v>Trading Day</v>
      </c>
      <c r="O2025" t="str">
        <f t="shared" si="94"/>
        <v>Negative</v>
      </c>
      <c r="P2025" t="str">
        <f t="shared" si="95"/>
        <v>Neutral</v>
      </c>
    </row>
    <row r="2026" spans="1:16" x14ac:dyDescent="0.3">
      <c r="A2026" s="1">
        <v>45379</v>
      </c>
      <c r="B2026">
        <v>60.73</v>
      </c>
      <c r="C2026">
        <v>37088000</v>
      </c>
      <c r="D2026">
        <v>-1.246</v>
      </c>
      <c r="E2026">
        <v>86</v>
      </c>
      <c r="F2026">
        <v>1.93</v>
      </c>
      <c r="G2026">
        <v>-5.0000000000000001E-3</v>
      </c>
      <c r="H2026">
        <v>0</v>
      </c>
      <c r="J2026">
        <v>1</v>
      </c>
      <c r="K2026">
        <f>YEAR(NetflixData[[#This Row],[date]])</f>
        <v>2024</v>
      </c>
      <c r="L2026" t="str">
        <f>TEXT(NetflixData[[#This Row],[date]],"mmm")</f>
        <v>Mar</v>
      </c>
      <c r="M2026" t="str">
        <f>TEXT(NetflixData[[#This Row],[date]],"mmm yyyy")</f>
        <v>Mar 2024</v>
      </c>
      <c r="N2026" t="str">
        <f t="shared" si="93"/>
        <v>Non-Trading Day</v>
      </c>
      <c r="O2026" t="str">
        <f t="shared" si="94"/>
        <v>Negative</v>
      </c>
      <c r="P2026" t="str">
        <f t="shared" si="95"/>
        <v>Neutral</v>
      </c>
    </row>
    <row r="2027" spans="1:16" x14ac:dyDescent="0.3">
      <c r="A2027" s="1">
        <v>45380</v>
      </c>
      <c r="B2027">
        <v>60.73</v>
      </c>
      <c r="C2027">
        <v>0</v>
      </c>
      <c r="D2027">
        <v>0</v>
      </c>
      <c r="E2027">
        <v>98</v>
      </c>
      <c r="F2027">
        <v>2.15</v>
      </c>
      <c r="G2027">
        <v>9.5399999999999999E-2</v>
      </c>
      <c r="H2027">
        <v>0</v>
      </c>
      <c r="J2027">
        <v>0</v>
      </c>
      <c r="K2027">
        <f>YEAR(NetflixData[[#This Row],[date]])</f>
        <v>2024</v>
      </c>
      <c r="L2027" t="str">
        <f>TEXT(NetflixData[[#This Row],[date]],"mmm")</f>
        <v>Mar</v>
      </c>
      <c r="M2027" t="str">
        <f>TEXT(NetflixData[[#This Row],[date]],"mmm yyyy")</f>
        <v>Mar 2024</v>
      </c>
      <c r="N2027" t="str">
        <f t="shared" si="93"/>
        <v>Non-Trading Day</v>
      </c>
      <c r="O2027" t="str">
        <f t="shared" si="94"/>
        <v>No Change</v>
      </c>
      <c r="P2027" t="str">
        <f t="shared" si="95"/>
        <v>Neutral</v>
      </c>
    </row>
    <row r="2028" spans="1:16" x14ac:dyDescent="0.3">
      <c r="A2028" s="1">
        <v>45381</v>
      </c>
      <c r="B2028">
        <v>60.73</v>
      </c>
      <c r="C2028">
        <v>0</v>
      </c>
      <c r="D2028">
        <v>0</v>
      </c>
      <c r="E2028">
        <v>97</v>
      </c>
      <c r="F2028">
        <v>1.95</v>
      </c>
      <c r="G2028">
        <v>-2.3900000000000001E-2</v>
      </c>
      <c r="H2028">
        <v>0</v>
      </c>
      <c r="J2028">
        <v>0</v>
      </c>
      <c r="K2028">
        <f>YEAR(NetflixData[[#This Row],[date]])</f>
        <v>2024</v>
      </c>
      <c r="L2028" t="str">
        <f>TEXT(NetflixData[[#This Row],[date]],"mmm")</f>
        <v>Mar</v>
      </c>
      <c r="M2028" t="str">
        <f>TEXT(NetflixData[[#This Row],[date]],"mmm yyyy")</f>
        <v>Mar 2024</v>
      </c>
      <c r="N2028" t="str">
        <f t="shared" si="93"/>
        <v>Non-Trading Day</v>
      </c>
      <c r="O2028" t="str">
        <f t="shared" si="94"/>
        <v>No Change</v>
      </c>
      <c r="P2028" t="str">
        <f t="shared" si="95"/>
        <v>Neutral</v>
      </c>
    </row>
    <row r="2029" spans="1:16" x14ac:dyDescent="0.3">
      <c r="A2029" s="1">
        <v>45382</v>
      </c>
      <c r="B2029">
        <v>60.73</v>
      </c>
      <c r="C2029">
        <v>0</v>
      </c>
      <c r="D2029">
        <v>0</v>
      </c>
      <c r="E2029">
        <v>94</v>
      </c>
      <c r="F2029">
        <v>2.0499999999999998</v>
      </c>
      <c r="G2029">
        <v>5.4600000000000003E-2</v>
      </c>
      <c r="H2029">
        <v>0</v>
      </c>
      <c r="J2029">
        <v>0</v>
      </c>
      <c r="K2029">
        <f>YEAR(NetflixData[[#This Row],[date]])</f>
        <v>2024</v>
      </c>
      <c r="L2029" t="str">
        <f>TEXT(NetflixData[[#This Row],[date]],"mmm")</f>
        <v>Mar</v>
      </c>
      <c r="M2029" t="str">
        <f>TEXT(NetflixData[[#This Row],[date]],"mmm yyyy")</f>
        <v>Mar 2024</v>
      </c>
      <c r="N2029" t="str">
        <f t="shared" si="93"/>
        <v>Trading Day</v>
      </c>
      <c r="O2029" t="str">
        <f t="shared" si="94"/>
        <v>No Change</v>
      </c>
      <c r="P2029" t="str">
        <f t="shared" si="95"/>
        <v>Neutral</v>
      </c>
    </row>
    <row r="2030" spans="1:16" x14ac:dyDescent="0.3">
      <c r="A2030" s="1">
        <v>45383</v>
      </c>
      <c r="B2030">
        <v>61.43</v>
      </c>
      <c r="C2030">
        <v>21159000</v>
      </c>
      <c r="D2030">
        <v>1.038</v>
      </c>
      <c r="E2030">
        <v>77</v>
      </c>
      <c r="F2030">
        <v>2.25</v>
      </c>
      <c r="G2030">
        <v>3.0000000000000001E-3</v>
      </c>
      <c r="H2030">
        <v>0</v>
      </c>
      <c r="J2030">
        <v>1</v>
      </c>
      <c r="K2030">
        <f>YEAR(NetflixData[[#This Row],[date]])</f>
        <v>2024</v>
      </c>
      <c r="L2030" t="str">
        <f>TEXT(NetflixData[[#This Row],[date]],"mmm")</f>
        <v>Apr</v>
      </c>
      <c r="M2030" t="str">
        <f>TEXT(NetflixData[[#This Row],[date]],"mmm yyyy")</f>
        <v>Apr 2024</v>
      </c>
      <c r="N2030" t="str">
        <f t="shared" si="93"/>
        <v>Trading Day</v>
      </c>
      <c r="O2030" t="str">
        <f t="shared" si="94"/>
        <v>Positive</v>
      </c>
      <c r="P2030" t="str">
        <f t="shared" si="95"/>
        <v>Neutral</v>
      </c>
    </row>
    <row r="2031" spans="1:16" x14ac:dyDescent="0.3">
      <c r="A2031" s="1">
        <v>45384</v>
      </c>
      <c r="B2031">
        <v>61.42</v>
      </c>
      <c r="C2031">
        <v>20292000</v>
      </c>
      <c r="D2031">
        <v>0.52500000000000002</v>
      </c>
      <c r="E2031">
        <v>112</v>
      </c>
      <c r="F2031">
        <v>1.82</v>
      </c>
      <c r="G2031">
        <v>3.15E-2</v>
      </c>
      <c r="H2031">
        <v>0</v>
      </c>
      <c r="J2031">
        <v>1</v>
      </c>
      <c r="K2031">
        <f>YEAR(NetflixData[[#This Row],[date]])</f>
        <v>2024</v>
      </c>
      <c r="L2031" t="str">
        <f>TEXT(NetflixData[[#This Row],[date]],"mmm")</f>
        <v>Apr</v>
      </c>
      <c r="M2031" t="str">
        <f>TEXT(NetflixData[[#This Row],[date]],"mmm yyyy")</f>
        <v>Apr 2024</v>
      </c>
      <c r="N2031" t="str">
        <f t="shared" si="93"/>
        <v>Trading Day</v>
      </c>
      <c r="O2031" t="str">
        <f t="shared" si="94"/>
        <v>Positive</v>
      </c>
      <c r="P2031" t="str">
        <f t="shared" si="95"/>
        <v>Neutral</v>
      </c>
    </row>
    <row r="2032" spans="1:16" x14ac:dyDescent="0.3">
      <c r="A2032" s="1">
        <v>45385</v>
      </c>
      <c r="B2032">
        <v>63.01</v>
      </c>
      <c r="C2032">
        <v>29312000</v>
      </c>
      <c r="D2032">
        <v>2.8279999999999998</v>
      </c>
      <c r="E2032">
        <v>68</v>
      </c>
      <c r="F2032">
        <v>2.25</v>
      </c>
      <c r="G2032">
        <v>4.9299999999999997E-2</v>
      </c>
      <c r="H2032">
        <v>0</v>
      </c>
      <c r="J2032">
        <v>1</v>
      </c>
      <c r="K2032">
        <f>YEAR(NetflixData[[#This Row],[date]])</f>
        <v>2024</v>
      </c>
      <c r="L2032" t="str">
        <f>TEXT(NetflixData[[#This Row],[date]],"mmm")</f>
        <v>Apr</v>
      </c>
      <c r="M2032" t="str">
        <f>TEXT(NetflixData[[#This Row],[date]],"mmm yyyy")</f>
        <v>Apr 2024</v>
      </c>
      <c r="N2032" t="str">
        <f t="shared" si="93"/>
        <v>Trading Day</v>
      </c>
      <c r="O2032" t="str">
        <f t="shared" si="94"/>
        <v>Positive</v>
      </c>
      <c r="P2032" t="str">
        <f t="shared" si="95"/>
        <v>Neutral</v>
      </c>
    </row>
    <row r="2033" spans="1:16" x14ac:dyDescent="0.3">
      <c r="A2033" s="1">
        <v>45386</v>
      </c>
      <c r="B2033">
        <v>61.71</v>
      </c>
      <c r="C2033">
        <v>30643000</v>
      </c>
      <c r="D2033">
        <v>-2.5379999999999998</v>
      </c>
      <c r="E2033">
        <v>68</v>
      </c>
      <c r="F2033">
        <v>2.25</v>
      </c>
      <c r="G2033">
        <v>-7.4200000000000002E-2</v>
      </c>
      <c r="H2033">
        <v>0</v>
      </c>
      <c r="J2033">
        <v>1</v>
      </c>
      <c r="K2033">
        <f>YEAR(NetflixData[[#This Row],[date]])</f>
        <v>2024</v>
      </c>
      <c r="L2033" t="str">
        <f>TEXT(NetflixData[[#This Row],[date]],"mmm")</f>
        <v>Apr</v>
      </c>
      <c r="M2033" t="str">
        <f>TEXT(NetflixData[[#This Row],[date]],"mmm yyyy")</f>
        <v>Apr 2024</v>
      </c>
      <c r="N2033" t="str">
        <f t="shared" si="93"/>
        <v>Trading Day</v>
      </c>
      <c r="O2033" t="str">
        <f t="shared" si="94"/>
        <v>Negative</v>
      </c>
      <c r="P2033" t="str">
        <f t="shared" si="95"/>
        <v>Neutral</v>
      </c>
    </row>
    <row r="2034" spans="1:16" x14ac:dyDescent="0.3">
      <c r="A2034" s="1">
        <v>45387</v>
      </c>
      <c r="B2034">
        <v>63.62</v>
      </c>
      <c r="C2034">
        <v>33788000</v>
      </c>
      <c r="D2034">
        <v>1.802</v>
      </c>
      <c r="E2034">
        <v>79</v>
      </c>
      <c r="F2034">
        <v>2.2799999999999998</v>
      </c>
      <c r="G2034">
        <v>0.14369999999999999</v>
      </c>
      <c r="H2034">
        <v>0</v>
      </c>
      <c r="J2034">
        <v>1</v>
      </c>
      <c r="K2034">
        <f>YEAR(NetflixData[[#This Row],[date]])</f>
        <v>2024</v>
      </c>
      <c r="L2034" t="str">
        <f>TEXT(NetflixData[[#This Row],[date]],"mmm")</f>
        <v>Apr</v>
      </c>
      <c r="M2034" t="str">
        <f>TEXT(NetflixData[[#This Row],[date]],"mmm yyyy")</f>
        <v>Apr 2024</v>
      </c>
      <c r="N2034" t="str">
        <f t="shared" si="93"/>
        <v>Non-Trading Day</v>
      </c>
      <c r="O2034" t="str">
        <f t="shared" si="94"/>
        <v>Positive</v>
      </c>
      <c r="P2034" t="str">
        <f t="shared" si="95"/>
        <v>Positive</v>
      </c>
    </row>
    <row r="2035" spans="1:16" x14ac:dyDescent="0.3">
      <c r="A2035" s="1">
        <v>45388</v>
      </c>
      <c r="B2035">
        <v>63.62</v>
      </c>
      <c r="C2035">
        <v>0</v>
      </c>
      <c r="D2035">
        <v>0</v>
      </c>
      <c r="E2035">
        <v>81</v>
      </c>
      <c r="F2035">
        <v>2.4</v>
      </c>
      <c r="G2035">
        <v>0.13170000000000001</v>
      </c>
      <c r="H2035">
        <v>0</v>
      </c>
      <c r="J2035">
        <v>0</v>
      </c>
      <c r="K2035">
        <f>YEAR(NetflixData[[#This Row],[date]])</f>
        <v>2024</v>
      </c>
      <c r="L2035" t="str">
        <f>TEXT(NetflixData[[#This Row],[date]],"mmm")</f>
        <v>Apr</v>
      </c>
      <c r="M2035" t="str">
        <f>TEXT(NetflixData[[#This Row],[date]],"mmm yyyy")</f>
        <v>Apr 2024</v>
      </c>
      <c r="N2035" t="str">
        <f t="shared" si="93"/>
        <v>Non-Trading Day</v>
      </c>
      <c r="O2035" t="str">
        <f t="shared" si="94"/>
        <v>No Change</v>
      </c>
      <c r="P2035" t="str">
        <f t="shared" si="95"/>
        <v>Positive</v>
      </c>
    </row>
    <row r="2036" spans="1:16" x14ac:dyDescent="0.3">
      <c r="A2036" s="1">
        <v>45389</v>
      </c>
      <c r="B2036">
        <v>63.62</v>
      </c>
      <c r="C2036">
        <v>0</v>
      </c>
      <c r="D2036">
        <v>0</v>
      </c>
      <c r="E2036">
        <v>96</v>
      </c>
      <c r="F2036">
        <v>2.17</v>
      </c>
      <c r="G2036">
        <v>4.0899999999999999E-2</v>
      </c>
      <c r="H2036">
        <v>0</v>
      </c>
      <c r="J2036">
        <v>0</v>
      </c>
      <c r="K2036">
        <f>YEAR(NetflixData[[#This Row],[date]])</f>
        <v>2024</v>
      </c>
      <c r="L2036" t="str">
        <f>TEXT(NetflixData[[#This Row],[date]],"mmm")</f>
        <v>Apr</v>
      </c>
      <c r="M2036" t="str">
        <f>TEXT(NetflixData[[#This Row],[date]],"mmm yyyy")</f>
        <v>Apr 2024</v>
      </c>
      <c r="N2036" t="str">
        <f t="shared" si="93"/>
        <v>Trading Day</v>
      </c>
      <c r="O2036" t="str">
        <f t="shared" si="94"/>
        <v>No Change</v>
      </c>
      <c r="P2036" t="str">
        <f t="shared" si="95"/>
        <v>Neutral</v>
      </c>
    </row>
    <row r="2037" spans="1:16" x14ac:dyDescent="0.3">
      <c r="A2037" s="1">
        <v>45390</v>
      </c>
      <c r="B2037">
        <v>62.84</v>
      </c>
      <c r="C2037">
        <v>21457000</v>
      </c>
      <c r="D2037">
        <v>-1.254</v>
      </c>
      <c r="E2037">
        <v>70</v>
      </c>
      <c r="F2037">
        <v>2.19</v>
      </c>
      <c r="G2037">
        <v>5.3100000000000001E-2</v>
      </c>
      <c r="H2037">
        <v>0</v>
      </c>
      <c r="J2037">
        <v>1</v>
      </c>
      <c r="K2037">
        <f>YEAR(NetflixData[[#This Row],[date]])</f>
        <v>2024</v>
      </c>
      <c r="L2037" t="str">
        <f>TEXT(NetflixData[[#This Row],[date]],"mmm")</f>
        <v>Apr</v>
      </c>
      <c r="M2037" t="str">
        <f>TEXT(NetflixData[[#This Row],[date]],"mmm yyyy")</f>
        <v>Apr 2024</v>
      </c>
      <c r="N2037" t="str">
        <f t="shared" si="93"/>
        <v>Trading Day</v>
      </c>
      <c r="O2037" t="str">
        <f t="shared" si="94"/>
        <v>Negative</v>
      </c>
      <c r="P2037" t="str">
        <f t="shared" si="95"/>
        <v>Neutral</v>
      </c>
    </row>
    <row r="2038" spans="1:16" x14ac:dyDescent="0.3">
      <c r="A2038" s="1">
        <v>45391</v>
      </c>
      <c r="B2038">
        <v>61.82</v>
      </c>
      <c r="C2038">
        <v>21436000</v>
      </c>
      <c r="D2038">
        <v>-2.1819999999999999</v>
      </c>
      <c r="E2038">
        <v>94</v>
      </c>
      <c r="F2038">
        <v>2.19</v>
      </c>
      <c r="G2038">
        <v>6.2600000000000003E-2</v>
      </c>
      <c r="H2038">
        <v>0</v>
      </c>
      <c r="J2038">
        <v>1</v>
      </c>
      <c r="K2038">
        <f>YEAR(NetflixData[[#This Row],[date]])</f>
        <v>2024</v>
      </c>
      <c r="L2038" t="str">
        <f>TEXT(NetflixData[[#This Row],[date]],"mmm")</f>
        <v>Apr</v>
      </c>
      <c r="M2038" t="str">
        <f>TEXT(NetflixData[[#This Row],[date]],"mmm yyyy")</f>
        <v>Apr 2024</v>
      </c>
      <c r="N2038" t="str">
        <f t="shared" si="93"/>
        <v>Trading Day</v>
      </c>
      <c r="O2038" t="str">
        <f t="shared" si="94"/>
        <v>Negative</v>
      </c>
      <c r="P2038" t="str">
        <f t="shared" si="95"/>
        <v>Neutral</v>
      </c>
    </row>
    <row r="2039" spans="1:16" x14ac:dyDescent="0.3">
      <c r="A2039" s="1">
        <v>45392</v>
      </c>
      <c r="B2039">
        <v>61.86</v>
      </c>
      <c r="C2039">
        <v>28062000</v>
      </c>
      <c r="D2039">
        <v>1.246</v>
      </c>
      <c r="E2039">
        <v>95</v>
      </c>
      <c r="F2039">
        <v>2.38</v>
      </c>
      <c r="G2039">
        <v>7.8799999999999995E-2</v>
      </c>
      <c r="H2039">
        <v>0</v>
      </c>
      <c r="J2039">
        <v>1</v>
      </c>
      <c r="K2039">
        <f>YEAR(NetflixData[[#This Row],[date]])</f>
        <v>2024</v>
      </c>
      <c r="L2039" t="str">
        <f>TEXT(NetflixData[[#This Row],[date]],"mmm")</f>
        <v>Apr</v>
      </c>
      <c r="M2039" t="str">
        <f>TEXT(NetflixData[[#This Row],[date]],"mmm yyyy")</f>
        <v>Apr 2024</v>
      </c>
      <c r="N2039" t="str">
        <f t="shared" si="93"/>
        <v>Trading Day</v>
      </c>
      <c r="O2039" t="str">
        <f t="shared" si="94"/>
        <v>Positive</v>
      </c>
      <c r="P2039" t="str">
        <f t="shared" si="95"/>
        <v>Neutral</v>
      </c>
    </row>
    <row r="2040" spans="1:16" x14ac:dyDescent="0.3">
      <c r="A2040" s="1">
        <v>45393</v>
      </c>
      <c r="B2040">
        <v>62.88</v>
      </c>
      <c r="C2040">
        <v>26627000</v>
      </c>
      <c r="D2040">
        <v>0.69799999999999995</v>
      </c>
      <c r="E2040">
        <v>93</v>
      </c>
      <c r="F2040">
        <v>2.38</v>
      </c>
      <c r="G2040">
        <v>0.1258</v>
      </c>
      <c r="H2040">
        <v>0</v>
      </c>
      <c r="J2040">
        <v>1</v>
      </c>
      <c r="K2040">
        <f>YEAR(NetflixData[[#This Row],[date]])</f>
        <v>2024</v>
      </c>
      <c r="L2040" t="str">
        <f>TEXT(NetflixData[[#This Row],[date]],"mmm")</f>
        <v>Apr</v>
      </c>
      <c r="M2040" t="str">
        <f>TEXT(NetflixData[[#This Row],[date]],"mmm yyyy")</f>
        <v>Apr 2024</v>
      </c>
      <c r="N2040" t="str">
        <f t="shared" si="93"/>
        <v>Trading Day</v>
      </c>
      <c r="O2040" t="str">
        <f t="shared" si="94"/>
        <v>Positive</v>
      </c>
      <c r="P2040" t="str">
        <f t="shared" si="95"/>
        <v>Positive</v>
      </c>
    </row>
    <row r="2041" spans="1:16" x14ac:dyDescent="0.3">
      <c r="A2041" s="1">
        <v>45394</v>
      </c>
      <c r="B2041">
        <v>62.28</v>
      </c>
      <c r="C2041">
        <v>29593000</v>
      </c>
      <c r="D2041">
        <v>-0.86</v>
      </c>
      <c r="E2041">
        <v>93</v>
      </c>
      <c r="F2041">
        <v>2.84</v>
      </c>
      <c r="G2041">
        <v>0.17130000000000001</v>
      </c>
      <c r="H2041">
        <v>0</v>
      </c>
      <c r="J2041">
        <v>1</v>
      </c>
      <c r="K2041">
        <f>YEAR(NetflixData[[#This Row],[date]])</f>
        <v>2024</v>
      </c>
      <c r="L2041" t="str">
        <f>TEXT(NetflixData[[#This Row],[date]],"mmm")</f>
        <v>Apr</v>
      </c>
      <c r="M2041" t="str">
        <f>TEXT(NetflixData[[#This Row],[date]],"mmm yyyy")</f>
        <v>Apr 2024</v>
      </c>
      <c r="N2041" t="str">
        <f t="shared" si="93"/>
        <v>Non-Trading Day</v>
      </c>
      <c r="O2041" t="str">
        <f t="shared" si="94"/>
        <v>Negative</v>
      </c>
      <c r="P2041" t="str">
        <f t="shared" si="95"/>
        <v>Positive</v>
      </c>
    </row>
    <row r="2042" spans="1:16" x14ac:dyDescent="0.3">
      <c r="A2042" s="1">
        <v>45395</v>
      </c>
      <c r="B2042">
        <v>62.28</v>
      </c>
      <c r="C2042">
        <v>0</v>
      </c>
      <c r="D2042">
        <v>0</v>
      </c>
      <c r="E2042">
        <v>98</v>
      </c>
      <c r="F2042">
        <v>2.72</v>
      </c>
      <c r="G2042">
        <v>0.2024</v>
      </c>
      <c r="H2042">
        <v>0</v>
      </c>
      <c r="J2042">
        <v>0</v>
      </c>
      <c r="K2042">
        <f>YEAR(NetflixData[[#This Row],[date]])</f>
        <v>2024</v>
      </c>
      <c r="L2042" t="str">
        <f>TEXT(NetflixData[[#This Row],[date]],"mmm")</f>
        <v>Apr</v>
      </c>
      <c r="M2042" t="str">
        <f>TEXT(NetflixData[[#This Row],[date]],"mmm yyyy")</f>
        <v>Apr 2024</v>
      </c>
      <c r="N2042" t="str">
        <f t="shared" si="93"/>
        <v>Non-Trading Day</v>
      </c>
      <c r="O2042" t="str">
        <f t="shared" si="94"/>
        <v>No Change</v>
      </c>
      <c r="P2042" t="str">
        <f t="shared" si="95"/>
        <v>Positive</v>
      </c>
    </row>
    <row r="2043" spans="1:16" x14ac:dyDescent="0.3">
      <c r="A2043" s="1">
        <v>45396</v>
      </c>
      <c r="B2043">
        <v>62.28</v>
      </c>
      <c r="C2043">
        <v>0</v>
      </c>
      <c r="D2043">
        <v>0</v>
      </c>
      <c r="E2043">
        <v>105</v>
      </c>
      <c r="F2043">
        <v>2.44</v>
      </c>
      <c r="G2043">
        <v>0.1186</v>
      </c>
      <c r="H2043">
        <v>0</v>
      </c>
      <c r="J2043">
        <v>0</v>
      </c>
      <c r="K2043">
        <f>YEAR(NetflixData[[#This Row],[date]])</f>
        <v>2024</v>
      </c>
      <c r="L2043" t="str">
        <f>TEXT(NetflixData[[#This Row],[date]],"mmm")</f>
        <v>Apr</v>
      </c>
      <c r="M2043" t="str">
        <f>TEXT(NetflixData[[#This Row],[date]],"mmm yyyy")</f>
        <v>Apr 2024</v>
      </c>
      <c r="N2043" t="str">
        <f t="shared" si="93"/>
        <v>Trading Day</v>
      </c>
      <c r="O2043" t="str">
        <f t="shared" si="94"/>
        <v>No Change</v>
      </c>
      <c r="P2043" t="str">
        <f t="shared" si="95"/>
        <v>Positive</v>
      </c>
    </row>
    <row r="2044" spans="1:16" x14ac:dyDescent="0.3">
      <c r="A2044" s="1">
        <v>45397</v>
      </c>
      <c r="B2044">
        <v>60.72</v>
      </c>
      <c r="C2044">
        <v>30854000</v>
      </c>
      <c r="D2044">
        <v>-3.653</v>
      </c>
      <c r="E2044">
        <v>71</v>
      </c>
      <c r="F2044">
        <v>2.5099999999999998</v>
      </c>
      <c r="G2044">
        <v>6.2E-2</v>
      </c>
      <c r="H2044">
        <v>0</v>
      </c>
      <c r="J2044">
        <v>1</v>
      </c>
      <c r="K2044">
        <f>YEAR(NetflixData[[#This Row],[date]])</f>
        <v>2024</v>
      </c>
      <c r="L2044" t="str">
        <f>TEXT(NetflixData[[#This Row],[date]],"mmm")</f>
        <v>Apr</v>
      </c>
      <c r="M2044" t="str">
        <f>TEXT(NetflixData[[#This Row],[date]],"mmm yyyy")</f>
        <v>Apr 2024</v>
      </c>
      <c r="N2044" t="str">
        <f t="shared" si="93"/>
        <v>Trading Day</v>
      </c>
      <c r="O2044" t="str">
        <f t="shared" si="94"/>
        <v>Negative</v>
      </c>
      <c r="P2044" t="str">
        <f t="shared" si="95"/>
        <v>Neutral</v>
      </c>
    </row>
    <row r="2045" spans="1:16" x14ac:dyDescent="0.3">
      <c r="A2045" s="1">
        <v>45398</v>
      </c>
      <c r="B2045">
        <v>61.75</v>
      </c>
      <c r="C2045">
        <v>35191000</v>
      </c>
      <c r="D2045">
        <v>1.649</v>
      </c>
      <c r="E2045">
        <v>83</v>
      </c>
      <c r="F2045">
        <v>2.61</v>
      </c>
      <c r="G2045">
        <v>0.1242</v>
      </c>
      <c r="H2045">
        <v>0</v>
      </c>
      <c r="J2045">
        <v>1</v>
      </c>
      <c r="K2045">
        <f>YEAR(NetflixData[[#This Row],[date]])</f>
        <v>2024</v>
      </c>
      <c r="L2045" t="str">
        <f>TEXT(NetflixData[[#This Row],[date]],"mmm")</f>
        <v>Apr</v>
      </c>
      <c r="M2045" t="str">
        <f>TEXT(NetflixData[[#This Row],[date]],"mmm yyyy")</f>
        <v>Apr 2024</v>
      </c>
      <c r="N2045" t="str">
        <f t="shared" si="93"/>
        <v>Trading Day</v>
      </c>
      <c r="O2045" t="str">
        <f t="shared" si="94"/>
        <v>Positive</v>
      </c>
      <c r="P2045" t="str">
        <f t="shared" si="95"/>
        <v>Positive</v>
      </c>
    </row>
    <row r="2046" spans="1:16" x14ac:dyDescent="0.3">
      <c r="A2046" s="1">
        <v>45399</v>
      </c>
      <c r="B2046">
        <v>61.37</v>
      </c>
      <c r="C2046">
        <v>33122000</v>
      </c>
      <c r="D2046">
        <v>-1.1719999999999999</v>
      </c>
      <c r="E2046">
        <v>82</v>
      </c>
      <c r="F2046">
        <v>2.35</v>
      </c>
      <c r="G2046">
        <v>3.6499999999999998E-2</v>
      </c>
      <c r="H2046">
        <v>0</v>
      </c>
      <c r="J2046">
        <v>1</v>
      </c>
      <c r="K2046">
        <f>YEAR(NetflixData[[#This Row],[date]])</f>
        <v>2024</v>
      </c>
      <c r="L2046" t="str">
        <f>TEXT(NetflixData[[#This Row],[date]],"mmm")</f>
        <v>Apr</v>
      </c>
      <c r="M2046" t="str">
        <f>TEXT(NetflixData[[#This Row],[date]],"mmm yyyy")</f>
        <v>Apr 2024</v>
      </c>
      <c r="N2046" t="str">
        <f t="shared" si="93"/>
        <v>Trading Day</v>
      </c>
      <c r="O2046" t="str">
        <f t="shared" si="94"/>
        <v>Negative</v>
      </c>
      <c r="P2046" t="str">
        <f t="shared" si="95"/>
        <v>Neutral</v>
      </c>
    </row>
    <row r="2047" spans="1:16" x14ac:dyDescent="0.3">
      <c r="A2047" s="1">
        <v>45400</v>
      </c>
      <c r="B2047">
        <v>61.06</v>
      </c>
      <c r="C2047">
        <v>84684000</v>
      </c>
      <c r="D2047">
        <v>-0.252</v>
      </c>
      <c r="E2047">
        <v>78</v>
      </c>
      <c r="F2047">
        <v>2.64</v>
      </c>
      <c r="G2047">
        <v>0.18579999999999999</v>
      </c>
      <c r="H2047">
        <v>0</v>
      </c>
      <c r="J2047">
        <v>1</v>
      </c>
      <c r="K2047">
        <f>YEAR(NetflixData[[#This Row],[date]])</f>
        <v>2024</v>
      </c>
      <c r="L2047" t="str">
        <f>TEXT(NetflixData[[#This Row],[date]],"mmm")</f>
        <v>Apr</v>
      </c>
      <c r="M2047" t="str">
        <f>TEXT(NetflixData[[#This Row],[date]],"mmm yyyy")</f>
        <v>Apr 2024</v>
      </c>
      <c r="N2047" t="str">
        <f t="shared" si="93"/>
        <v>Trading Day</v>
      </c>
      <c r="O2047" t="str">
        <f t="shared" si="94"/>
        <v>Negative</v>
      </c>
      <c r="P2047" t="str">
        <f t="shared" si="95"/>
        <v>Positive</v>
      </c>
    </row>
    <row r="2048" spans="1:16" x14ac:dyDescent="0.3">
      <c r="A2048" s="1">
        <v>45401</v>
      </c>
      <c r="B2048">
        <v>55.5</v>
      </c>
      <c r="C2048">
        <v>164497000</v>
      </c>
      <c r="D2048">
        <v>-2.2610000000000001</v>
      </c>
      <c r="E2048">
        <v>78</v>
      </c>
      <c r="F2048">
        <v>2.35</v>
      </c>
      <c r="G2048">
        <v>7.0300000000000001E-2</v>
      </c>
      <c r="H2048">
        <v>0</v>
      </c>
      <c r="J2048">
        <v>1</v>
      </c>
      <c r="K2048">
        <f>YEAR(NetflixData[[#This Row],[date]])</f>
        <v>2024</v>
      </c>
      <c r="L2048" t="str">
        <f>TEXT(NetflixData[[#This Row],[date]],"mmm")</f>
        <v>Apr</v>
      </c>
      <c r="M2048" t="str">
        <f>TEXT(NetflixData[[#This Row],[date]],"mmm yyyy")</f>
        <v>Apr 2024</v>
      </c>
      <c r="N2048" t="str">
        <f t="shared" si="93"/>
        <v>Non-Trading Day</v>
      </c>
      <c r="O2048" t="str">
        <f t="shared" si="94"/>
        <v>Negative</v>
      </c>
      <c r="P2048" t="str">
        <f t="shared" si="95"/>
        <v>Neutral</v>
      </c>
    </row>
    <row r="2049" spans="1:16" x14ac:dyDescent="0.3">
      <c r="A2049" s="1">
        <v>45402</v>
      </c>
      <c r="B2049">
        <v>55.5</v>
      </c>
      <c r="C2049">
        <v>0</v>
      </c>
      <c r="D2049">
        <v>0</v>
      </c>
      <c r="E2049">
        <v>99</v>
      </c>
      <c r="F2049">
        <v>2.7</v>
      </c>
      <c r="G2049">
        <v>0.115</v>
      </c>
      <c r="H2049">
        <v>0</v>
      </c>
      <c r="J2049">
        <v>0</v>
      </c>
      <c r="K2049">
        <f>YEAR(NetflixData[[#This Row],[date]])</f>
        <v>2024</v>
      </c>
      <c r="L2049" t="str">
        <f>TEXT(NetflixData[[#This Row],[date]],"mmm")</f>
        <v>Apr</v>
      </c>
      <c r="M2049" t="str">
        <f>TEXT(NetflixData[[#This Row],[date]],"mmm yyyy")</f>
        <v>Apr 2024</v>
      </c>
      <c r="N2049" t="str">
        <f t="shared" si="93"/>
        <v>Non-Trading Day</v>
      </c>
      <c r="O2049" t="str">
        <f t="shared" si="94"/>
        <v>No Change</v>
      </c>
      <c r="P2049" t="str">
        <f t="shared" si="95"/>
        <v>Positive</v>
      </c>
    </row>
    <row r="2050" spans="1:16" x14ac:dyDescent="0.3">
      <c r="A2050" s="1">
        <v>45403</v>
      </c>
      <c r="B2050">
        <v>55.5</v>
      </c>
      <c r="C2050">
        <v>0</v>
      </c>
      <c r="D2050">
        <v>0</v>
      </c>
      <c r="E2050">
        <v>84</v>
      </c>
      <c r="F2050">
        <v>2.2999999999999998</v>
      </c>
      <c r="G2050">
        <v>8.8499999999999995E-2</v>
      </c>
      <c r="H2050">
        <v>0</v>
      </c>
      <c r="J2050">
        <v>0</v>
      </c>
      <c r="K2050">
        <f>YEAR(NetflixData[[#This Row],[date]])</f>
        <v>2024</v>
      </c>
      <c r="L2050" t="str">
        <f>TEXT(NetflixData[[#This Row],[date]],"mmm")</f>
        <v>Apr</v>
      </c>
      <c r="M2050" t="str">
        <f>TEXT(NetflixData[[#This Row],[date]],"mmm yyyy")</f>
        <v>Apr 2024</v>
      </c>
      <c r="N2050" t="str">
        <f t="shared" ref="N2050:N2113" si="96">IF(J2051=1,"Trading Day","Non-Trading Day")</f>
        <v>Trading Day</v>
      </c>
      <c r="O2050" t="str">
        <f t="shared" ref="O2050:O2113" si="97">IF(D2050&gt;0,"Positive",IF(D2050&lt;0,"Negative","No Change"))</f>
        <v>No Change</v>
      </c>
      <c r="P2050" t="str">
        <f t="shared" ref="P2050:P2113" si="98">IF(G2050&gt;0.1,"Positive",IF(G2050&lt;-0.1,"Negative","Neutral"))</f>
        <v>Neutral</v>
      </c>
    </row>
    <row r="2051" spans="1:16" x14ac:dyDescent="0.3">
      <c r="A2051" s="1">
        <v>45404</v>
      </c>
      <c r="B2051">
        <v>55.46</v>
      </c>
      <c r="C2051">
        <v>85977000</v>
      </c>
      <c r="D2051">
        <v>0.71499999999999997</v>
      </c>
      <c r="E2051">
        <v>86</v>
      </c>
      <c r="F2051">
        <v>2.48</v>
      </c>
      <c r="G2051">
        <v>7.4499999999999997E-2</v>
      </c>
      <c r="H2051">
        <v>0</v>
      </c>
      <c r="J2051">
        <v>1</v>
      </c>
      <c r="K2051">
        <f>YEAR(NetflixData[[#This Row],[date]])</f>
        <v>2024</v>
      </c>
      <c r="L2051" t="str">
        <f>TEXT(NetflixData[[#This Row],[date]],"mmm")</f>
        <v>Apr</v>
      </c>
      <c r="M2051" t="str">
        <f>TEXT(NetflixData[[#This Row],[date]],"mmm yyyy")</f>
        <v>Apr 2024</v>
      </c>
      <c r="N2051" t="str">
        <f t="shared" si="96"/>
        <v>Trading Day</v>
      </c>
      <c r="O2051" t="str">
        <f t="shared" si="97"/>
        <v>Positive</v>
      </c>
      <c r="P2051" t="str">
        <f t="shared" si="98"/>
        <v>Neutral</v>
      </c>
    </row>
    <row r="2052" spans="1:16" x14ac:dyDescent="0.3">
      <c r="A2052" s="1">
        <v>45405</v>
      </c>
      <c r="B2052">
        <v>57.78</v>
      </c>
      <c r="C2052">
        <v>49755000</v>
      </c>
      <c r="D2052">
        <v>3.82</v>
      </c>
      <c r="E2052">
        <v>74</v>
      </c>
      <c r="F2052">
        <v>2.14</v>
      </c>
      <c r="G2052">
        <v>4.7E-2</v>
      </c>
      <c r="H2052">
        <v>0</v>
      </c>
      <c r="J2052">
        <v>1</v>
      </c>
      <c r="K2052">
        <f>YEAR(NetflixData[[#This Row],[date]])</f>
        <v>2024</v>
      </c>
      <c r="L2052" t="str">
        <f>TEXT(NetflixData[[#This Row],[date]],"mmm")</f>
        <v>Apr</v>
      </c>
      <c r="M2052" t="str">
        <f>TEXT(NetflixData[[#This Row],[date]],"mmm yyyy")</f>
        <v>Apr 2024</v>
      </c>
      <c r="N2052" t="str">
        <f t="shared" si="96"/>
        <v>Trading Day</v>
      </c>
      <c r="O2052" t="str">
        <f t="shared" si="97"/>
        <v>Positive</v>
      </c>
      <c r="P2052" t="str">
        <f t="shared" si="98"/>
        <v>Neutral</v>
      </c>
    </row>
    <row r="2053" spans="1:16" x14ac:dyDescent="0.3">
      <c r="A2053" s="1">
        <v>45406</v>
      </c>
      <c r="B2053">
        <v>55.51</v>
      </c>
      <c r="C2053">
        <v>53553000</v>
      </c>
      <c r="D2053">
        <v>-3.3410000000000002</v>
      </c>
      <c r="E2053">
        <v>115</v>
      </c>
      <c r="F2053">
        <v>2.0299999999999998</v>
      </c>
      <c r="G2053">
        <v>0.05</v>
      </c>
      <c r="H2053">
        <v>0</v>
      </c>
      <c r="J2053">
        <v>1</v>
      </c>
      <c r="K2053">
        <f>YEAR(NetflixData[[#This Row],[date]])</f>
        <v>2024</v>
      </c>
      <c r="L2053" t="str">
        <f>TEXT(NetflixData[[#This Row],[date]],"mmm")</f>
        <v>Apr</v>
      </c>
      <c r="M2053" t="str">
        <f>TEXT(NetflixData[[#This Row],[date]],"mmm yyyy")</f>
        <v>Apr 2024</v>
      </c>
      <c r="N2053" t="str">
        <f t="shared" si="96"/>
        <v>Trading Day</v>
      </c>
      <c r="O2053" t="str">
        <f t="shared" si="97"/>
        <v>Negative</v>
      </c>
      <c r="P2053" t="str">
        <f t="shared" si="98"/>
        <v>Neutral</v>
      </c>
    </row>
    <row r="2054" spans="1:16" x14ac:dyDescent="0.3">
      <c r="A2054" s="1">
        <v>45407</v>
      </c>
      <c r="B2054">
        <v>56.48</v>
      </c>
      <c r="C2054">
        <v>38071000</v>
      </c>
      <c r="D2054">
        <v>2.7919999999999998</v>
      </c>
      <c r="E2054">
        <v>117</v>
      </c>
      <c r="F2054">
        <v>1.98</v>
      </c>
      <c r="G2054">
        <v>-2.92E-2</v>
      </c>
      <c r="H2054">
        <v>0</v>
      </c>
      <c r="J2054">
        <v>1</v>
      </c>
      <c r="K2054">
        <f>YEAR(NetflixData[[#This Row],[date]])</f>
        <v>2024</v>
      </c>
      <c r="L2054" t="str">
        <f>TEXT(NetflixData[[#This Row],[date]],"mmm")</f>
        <v>Apr</v>
      </c>
      <c r="M2054" t="str">
        <f>TEXT(NetflixData[[#This Row],[date]],"mmm yyyy")</f>
        <v>Apr 2024</v>
      </c>
      <c r="N2054" t="str">
        <f t="shared" si="96"/>
        <v>Trading Day</v>
      </c>
      <c r="O2054" t="str">
        <f t="shared" si="97"/>
        <v>Positive</v>
      </c>
      <c r="P2054" t="str">
        <f t="shared" si="98"/>
        <v>Neutral</v>
      </c>
    </row>
    <row r="2055" spans="1:16" x14ac:dyDescent="0.3">
      <c r="A2055" s="1">
        <v>45408</v>
      </c>
      <c r="B2055">
        <v>56.12</v>
      </c>
      <c r="C2055">
        <v>43326000</v>
      </c>
      <c r="D2055">
        <v>0.54100000000000004</v>
      </c>
      <c r="E2055">
        <v>121</v>
      </c>
      <c r="F2055">
        <v>2.16</v>
      </c>
      <c r="G2055">
        <v>7.4700000000000003E-2</v>
      </c>
      <c r="H2055">
        <v>0</v>
      </c>
      <c r="J2055">
        <v>1</v>
      </c>
      <c r="K2055">
        <f>YEAR(NetflixData[[#This Row],[date]])</f>
        <v>2024</v>
      </c>
      <c r="L2055" t="str">
        <f>TEXT(NetflixData[[#This Row],[date]],"mmm")</f>
        <v>Apr</v>
      </c>
      <c r="M2055" t="str">
        <f>TEXT(NetflixData[[#This Row],[date]],"mmm yyyy")</f>
        <v>Apr 2024</v>
      </c>
      <c r="N2055" t="str">
        <f t="shared" si="96"/>
        <v>Non-Trading Day</v>
      </c>
      <c r="O2055" t="str">
        <f t="shared" si="97"/>
        <v>Positive</v>
      </c>
      <c r="P2055" t="str">
        <f t="shared" si="98"/>
        <v>Neutral</v>
      </c>
    </row>
    <row r="2056" spans="1:16" x14ac:dyDescent="0.3">
      <c r="A2056" s="1">
        <v>45409</v>
      </c>
      <c r="B2056">
        <v>56.12</v>
      </c>
      <c r="C2056">
        <v>0</v>
      </c>
      <c r="D2056">
        <v>0</v>
      </c>
      <c r="E2056">
        <v>125</v>
      </c>
      <c r="F2056">
        <v>2.1800000000000002</v>
      </c>
      <c r="G2056">
        <v>8.5599999999999996E-2</v>
      </c>
      <c r="H2056">
        <v>0</v>
      </c>
      <c r="J2056">
        <v>0</v>
      </c>
      <c r="K2056">
        <f>YEAR(NetflixData[[#This Row],[date]])</f>
        <v>2024</v>
      </c>
      <c r="L2056" t="str">
        <f>TEXT(NetflixData[[#This Row],[date]],"mmm")</f>
        <v>Apr</v>
      </c>
      <c r="M2056" t="str">
        <f>TEXT(NetflixData[[#This Row],[date]],"mmm yyyy")</f>
        <v>Apr 2024</v>
      </c>
      <c r="N2056" t="str">
        <f t="shared" si="96"/>
        <v>Non-Trading Day</v>
      </c>
      <c r="O2056" t="str">
        <f t="shared" si="97"/>
        <v>No Change</v>
      </c>
      <c r="P2056" t="str">
        <f t="shared" si="98"/>
        <v>Neutral</v>
      </c>
    </row>
    <row r="2057" spans="1:16" x14ac:dyDescent="0.3">
      <c r="A2057" s="1">
        <v>45410</v>
      </c>
      <c r="B2057">
        <v>56.12</v>
      </c>
      <c r="C2057">
        <v>0</v>
      </c>
      <c r="D2057">
        <v>0</v>
      </c>
      <c r="E2057">
        <v>117</v>
      </c>
      <c r="F2057">
        <v>2.29</v>
      </c>
      <c r="G2057">
        <v>1.1999999999999999E-3</v>
      </c>
      <c r="H2057">
        <v>0</v>
      </c>
      <c r="J2057">
        <v>0</v>
      </c>
      <c r="K2057">
        <f>YEAR(NetflixData[[#This Row],[date]])</f>
        <v>2024</v>
      </c>
      <c r="L2057" t="str">
        <f>TEXT(NetflixData[[#This Row],[date]],"mmm")</f>
        <v>Apr</v>
      </c>
      <c r="M2057" t="str">
        <f>TEXT(NetflixData[[#This Row],[date]],"mmm yyyy")</f>
        <v>Apr 2024</v>
      </c>
      <c r="N2057" t="str">
        <f t="shared" si="96"/>
        <v>Trading Day</v>
      </c>
      <c r="O2057" t="str">
        <f t="shared" si="97"/>
        <v>No Change</v>
      </c>
      <c r="P2057" t="str">
        <f t="shared" si="98"/>
        <v>Neutral</v>
      </c>
    </row>
    <row r="2058" spans="1:16" x14ac:dyDescent="0.3">
      <c r="A2058" s="1">
        <v>45411</v>
      </c>
      <c r="B2058">
        <v>55.95</v>
      </c>
      <c r="C2058">
        <v>25089000</v>
      </c>
      <c r="D2058">
        <v>5.5E-2</v>
      </c>
      <c r="E2058">
        <v>103</v>
      </c>
      <c r="F2058">
        <v>2.4</v>
      </c>
      <c r="G2058">
        <v>5.8400000000000001E-2</v>
      </c>
      <c r="H2058">
        <v>0</v>
      </c>
      <c r="J2058">
        <v>1</v>
      </c>
      <c r="K2058">
        <f>YEAR(NetflixData[[#This Row],[date]])</f>
        <v>2024</v>
      </c>
      <c r="L2058" t="str">
        <f>TEXT(NetflixData[[#This Row],[date]],"mmm")</f>
        <v>Apr</v>
      </c>
      <c r="M2058" t="str">
        <f>TEXT(NetflixData[[#This Row],[date]],"mmm yyyy")</f>
        <v>Apr 2024</v>
      </c>
      <c r="N2058" t="str">
        <f t="shared" si="96"/>
        <v>Trading Day</v>
      </c>
      <c r="O2058" t="str">
        <f t="shared" si="97"/>
        <v>Positive</v>
      </c>
      <c r="P2058" t="str">
        <f t="shared" si="98"/>
        <v>Neutral</v>
      </c>
    </row>
    <row r="2059" spans="1:16" x14ac:dyDescent="0.3">
      <c r="A2059" s="1">
        <v>45412</v>
      </c>
      <c r="B2059">
        <v>55.06</v>
      </c>
      <c r="C2059">
        <v>33615000</v>
      </c>
      <c r="D2059">
        <v>-1.671</v>
      </c>
      <c r="E2059">
        <v>83</v>
      </c>
      <c r="F2059">
        <v>2.02</v>
      </c>
      <c r="G2059">
        <v>-4.4900000000000002E-2</v>
      </c>
      <c r="H2059">
        <v>0</v>
      </c>
      <c r="J2059">
        <v>1</v>
      </c>
      <c r="K2059">
        <f>YEAR(NetflixData[[#This Row],[date]])</f>
        <v>2024</v>
      </c>
      <c r="L2059" t="str">
        <f>TEXT(NetflixData[[#This Row],[date]],"mmm")</f>
        <v>Apr</v>
      </c>
      <c r="M2059" t="str">
        <f>TEXT(NetflixData[[#This Row],[date]],"mmm yyyy")</f>
        <v>Apr 2024</v>
      </c>
      <c r="N2059" t="str">
        <f t="shared" si="96"/>
        <v>Trading Day</v>
      </c>
      <c r="O2059" t="str">
        <f t="shared" si="97"/>
        <v>Negative</v>
      </c>
      <c r="P2059" t="str">
        <f t="shared" si="98"/>
        <v>Neutral</v>
      </c>
    </row>
    <row r="2060" spans="1:16" x14ac:dyDescent="0.3">
      <c r="A2060" s="1">
        <v>45413</v>
      </c>
      <c r="B2060">
        <v>55.17</v>
      </c>
      <c r="C2060">
        <v>34732000</v>
      </c>
      <c r="D2060">
        <v>0.70599999999999996</v>
      </c>
      <c r="E2060">
        <v>105</v>
      </c>
      <c r="F2060">
        <v>2.27</v>
      </c>
      <c r="G2060">
        <v>-7.6E-3</v>
      </c>
      <c r="H2060">
        <v>0</v>
      </c>
      <c r="J2060">
        <v>1</v>
      </c>
      <c r="K2060">
        <f>YEAR(NetflixData[[#This Row],[date]])</f>
        <v>2024</v>
      </c>
      <c r="L2060" t="str">
        <f>TEXT(NetflixData[[#This Row],[date]],"mmm")</f>
        <v>May</v>
      </c>
      <c r="M2060" t="str">
        <f>TEXT(NetflixData[[#This Row],[date]],"mmm yyyy")</f>
        <v>May 2024</v>
      </c>
      <c r="N2060" t="str">
        <f t="shared" si="96"/>
        <v>Trading Day</v>
      </c>
      <c r="O2060" t="str">
        <f t="shared" si="97"/>
        <v>Positive</v>
      </c>
      <c r="P2060" t="str">
        <f t="shared" si="98"/>
        <v>Neutral</v>
      </c>
    </row>
    <row r="2061" spans="1:16" x14ac:dyDescent="0.3">
      <c r="A2061" s="1">
        <v>45414</v>
      </c>
      <c r="B2061">
        <v>56.51</v>
      </c>
      <c r="C2061">
        <v>30682000</v>
      </c>
      <c r="D2061">
        <v>1.6419999999999999</v>
      </c>
      <c r="E2061">
        <v>83</v>
      </c>
      <c r="F2061">
        <v>2.6</v>
      </c>
      <c r="G2061">
        <v>0.1174</v>
      </c>
      <c r="H2061">
        <v>0</v>
      </c>
      <c r="J2061">
        <v>1</v>
      </c>
      <c r="K2061">
        <f>YEAR(NetflixData[[#This Row],[date]])</f>
        <v>2024</v>
      </c>
      <c r="L2061" t="str">
        <f>TEXT(NetflixData[[#This Row],[date]],"mmm")</f>
        <v>May</v>
      </c>
      <c r="M2061" t="str">
        <f>TEXT(NetflixData[[#This Row],[date]],"mmm yyyy")</f>
        <v>May 2024</v>
      </c>
      <c r="N2061" t="str">
        <f t="shared" si="96"/>
        <v>Trading Day</v>
      </c>
      <c r="O2061" t="str">
        <f t="shared" si="97"/>
        <v>Positive</v>
      </c>
      <c r="P2061" t="str">
        <f t="shared" si="98"/>
        <v>Positive</v>
      </c>
    </row>
    <row r="2062" spans="1:16" x14ac:dyDescent="0.3">
      <c r="A2062" s="1">
        <v>45415</v>
      </c>
      <c r="B2062">
        <v>57.93</v>
      </c>
      <c r="C2062">
        <v>33075000</v>
      </c>
      <c r="D2062">
        <v>2.3570000000000002</v>
      </c>
      <c r="E2062">
        <v>97</v>
      </c>
      <c r="F2062">
        <v>2.52</v>
      </c>
      <c r="G2062">
        <v>0.11210000000000001</v>
      </c>
      <c r="H2062">
        <v>0</v>
      </c>
      <c r="J2062">
        <v>1</v>
      </c>
      <c r="K2062">
        <f>YEAR(NetflixData[[#This Row],[date]])</f>
        <v>2024</v>
      </c>
      <c r="L2062" t="str">
        <f>TEXT(NetflixData[[#This Row],[date]],"mmm")</f>
        <v>May</v>
      </c>
      <c r="M2062" t="str">
        <f>TEXT(NetflixData[[#This Row],[date]],"mmm yyyy")</f>
        <v>May 2024</v>
      </c>
      <c r="N2062" t="str">
        <f t="shared" si="96"/>
        <v>Non-Trading Day</v>
      </c>
      <c r="O2062" t="str">
        <f t="shared" si="97"/>
        <v>Positive</v>
      </c>
      <c r="P2062" t="str">
        <f t="shared" si="98"/>
        <v>Positive</v>
      </c>
    </row>
    <row r="2063" spans="1:16" x14ac:dyDescent="0.3">
      <c r="A2063" s="1">
        <v>45416</v>
      </c>
      <c r="B2063">
        <v>57.93</v>
      </c>
      <c r="C2063">
        <v>0</v>
      </c>
      <c r="D2063">
        <v>0</v>
      </c>
      <c r="E2063">
        <v>96</v>
      </c>
      <c r="F2063">
        <v>2.4500000000000002</v>
      </c>
      <c r="G2063">
        <v>0.1182</v>
      </c>
      <c r="H2063">
        <v>0</v>
      </c>
      <c r="J2063">
        <v>0</v>
      </c>
      <c r="K2063">
        <f>YEAR(NetflixData[[#This Row],[date]])</f>
        <v>2024</v>
      </c>
      <c r="L2063" t="str">
        <f>TEXT(NetflixData[[#This Row],[date]],"mmm")</f>
        <v>May</v>
      </c>
      <c r="M2063" t="str">
        <f>TEXT(NetflixData[[#This Row],[date]],"mmm yyyy")</f>
        <v>May 2024</v>
      </c>
      <c r="N2063" t="str">
        <f t="shared" si="96"/>
        <v>Non-Trading Day</v>
      </c>
      <c r="O2063" t="str">
        <f t="shared" si="97"/>
        <v>No Change</v>
      </c>
      <c r="P2063" t="str">
        <f t="shared" si="98"/>
        <v>Positive</v>
      </c>
    </row>
    <row r="2064" spans="1:16" x14ac:dyDescent="0.3">
      <c r="A2064" s="1">
        <v>45417</v>
      </c>
      <c r="B2064">
        <v>57.93</v>
      </c>
      <c r="C2064">
        <v>0</v>
      </c>
      <c r="D2064">
        <v>0</v>
      </c>
      <c r="E2064">
        <v>88</v>
      </c>
      <c r="F2064">
        <v>2.39</v>
      </c>
      <c r="G2064">
        <v>6.9199999999999998E-2</v>
      </c>
      <c r="H2064">
        <v>0</v>
      </c>
      <c r="J2064">
        <v>0</v>
      </c>
      <c r="K2064">
        <f>YEAR(NetflixData[[#This Row],[date]])</f>
        <v>2024</v>
      </c>
      <c r="L2064" t="str">
        <f>TEXT(NetflixData[[#This Row],[date]],"mmm")</f>
        <v>May</v>
      </c>
      <c r="M2064" t="str">
        <f>TEXT(NetflixData[[#This Row],[date]],"mmm yyyy")</f>
        <v>May 2024</v>
      </c>
      <c r="N2064" t="str">
        <f t="shared" si="96"/>
        <v>Trading Day</v>
      </c>
      <c r="O2064" t="str">
        <f t="shared" si="97"/>
        <v>No Change</v>
      </c>
      <c r="P2064" t="str">
        <f t="shared" si="98"/>
        <v>Neutral</v>
      </c>
    </row>
    <row r="2065" spans="1:16" x14ac:dyDescent="0.3">
      <c r="A2065" s="1">
        <v>45418</v>
      </c>
      <c r="B2065">
        <v>59.7</v>
      </c>
      <c r="C2065">
        <v>36863000</v>
      </c>
      <c r="D2065">
        <v>2.6040000000000001</v>
      </c>
      <c r="E2065">
        <v>108</v>
      </c>
      <c r="F2065">
        <v>2.17</v>
      </c>
      <c r="G2065">
        <v>6.7000000000000004E-2</v>
      </c>
      <c r="H2065">
        <v>0</v>
      </c>
      <c r="J2065">
        <v>1</v>
      </c>
      <c r="K2065">
        <f>YEAR(NetflixData[[#This Row],[date]])</f>
        <v>2024</v>
      </c>
      <c r="L2065" t="str">
        <f>TEXT(NetflixData[[#This Row],[date]],"mmm")</f>
        <v>May</v>
      </c>
      <c r="M2065" t="str">
        <f>TEXT(NetflixData[[#This Row],[date]],"mmm yyyy")</f>
        <v>May 2024</v>
      </c>
      <c r="N2065" t="str">
        <f t="shared" si="96"/>
        <v>Trading Day</v>
      </c>
      <c r="O2065" t="str">
        <f t="shared" si="97"/>
        <v>Positive</v>
      </c>
      <c r="P2065" t="str">
        <f t="shared" si="98"/>
        <v>Neutral</v>
      </c>
    </row>
    <row r="2066" spans="1:16" x14ac:dyDescent="0.3">
      <c r="A2066" s="1">
        <v>45419</v>
      </c>
      <c r="B2066">
        <v>60.6</v>
      </c>
      <c r="C2066">
        <v>36141000</v>
      </c>
      <c r="D2066">
        <v>1.63</v>
      </c>
      <c r="E2066">
        <v>81</v>
      </c>
      <c r="F2066">
        <v>2.4</v>
      </c>
      <c r="G2066">
        <v>6.6000000000000003E-2</v>
      </c>
      <c r="H2066">
        <v>0</v>
      </c>
      <c r="J2066">
        <v>1</v>
      </c>
      <c r="K2066">
        <f>YEAR(NetflixData[[#This Row],[date]])</f>
        <v>2024</v>
      </c>
      <c r="L2066" t="str">
        <f>TEXT(NetflixData[[#This Row],[date]],"mmm")</f>
        <v>May</v>
      </c>
      <c r="M2066" t="str">
        <f>TEXT(NetflixData[[#This Row],[date]],"mmm yyyy")</f>
        <v>May 2024</v>
      </c>
      <c r="N2066" t="str">
        <f t="shared" si="96"/>
        <v>Trading Day</v>
      </c>
      <c r="O2066" t="str">
        <f t="shared" si="97"/>
        <v>Positive</v>
      </c>
      <c r="P2066" t="str">
        <f t="shared" si="98"/>
        <v>Neutral</v>
      </c>
    </row>
    <row r="2067" spans="1:16" x14ac:dyDescent="0.3">
      <c r="A2067" s="1">
        <v>45420</v>
      </c>
      <c r="B2067">
        <v>60.95</v>
      </c>
      <c r="C2067">
        <v>30939000</v>
      </c>
      <c r="D2067">
        <v>1.3029999999999999</v>
      </c>
      <c r="E2067">
        <v>49</v>
      </c>
      <c r="F2067">
        <v>2.1</v>
      </c>
      <c r="G2067">
        <v>5.4899999999999997E-2</v>
      </c>
      <c r="H2067">
        <v>0</v>
      </c>
      <c r="J2067">
        <v>1</v>
      </c>
      <c r="K2067">
        <f>YEAR(NetflixData[[#This Row],[date]])</f>
        <v>2024</v>
      </c>
      <c r="L2067" t="str">
        <f>TEXT(NetflixData[[#This Row],[date]],"mmm")</f>
        <v>May</v>
      </c>
      <c r="M2067" t="str">
        <f>TEXT(NetflixData[[#This Row],[date]],"mmm yyyy")</f>
        <v>May 2024</v>
      </c>
      <c r="N2067" t="str">
        <f t="shared" si="96"/>
        <v>Trading Day</v>
      </c>
      <c r="O2067" t="str">
        <f t="shared" si="97"/>
        <v>Positive</v>
      </c>
      <c r="P2067" t="str">
        <f t="shared" si="98"/>
        <v>Neutral</v>
      </c>
    </row>
    <row r="2068" spans="1:16" x14ac:dyDescent="0.3">
      <c r="A2068" s="1">
        <v>45421</v>
      </c>
      <c r="B2068">
        <v>61.21</v>
      </c>
      <c r="C2068">
        <v>20654000</v>
      </c>
      <c r="D2068">
        <v>-0.376</v>
      </c>
      <c r="E2068">
        <v>291</v>
      </c>
      <c r="F2068">
        <v>2.84</v>
      </c>
      <c r="G2068">
        <v>8.6300000000000002E-2</v>
      </c>
      <c r="H2068">
        <v>0</v>
      </c>
      <c r="J2068">
        <v>1</v>
      </c>
      <c r="K2068">
        <f>YEAR(NetflixData[[#This Row],[date]])</f>
        <v>2024</v>
      </c>
      <c r="L2068" t="str">
        <f>TEXT(NetflixData[[#This Row],[date]],"mmm")</f>
        <v>May</v>
      </c>
      <c r="M2068" t="str">
        <f>TEXT(NetflixData[[#This Row],[date]],"mmm yyyy")</f>
        <v>May 2024</v>
      </c>
      <c r="N2068" t="str">
        <f t="shared" si="96"/>
        <v>Trading Day</v>
      </c>
      <c r="O2068" t="str">
        <f t="shared" si="97"/>
        <v>Negative</v>
      </c>
      <c r="P2068" t="str">
        <f t="shared" si="98"/>
        <v>Neutral</v>
      </c>
    </row>
    <row r="2069" spans="1:16" x14ac:dyDescent="0.3">
      <c r="A2069" s="1">
        <v>45422</v>
      </c>
      <c r="B2069">
        <v>61.09</v>
      </c>
      <c r="C2069">
        <v>26536000</v>
      </c>
      <c r="D2069">
        <v>-1.3129999999999999</v>
      </c>
      <c r="E2069">
        <v>179</v>
      </c>
      <c r="F2069">
        <v>2.9</v>
      </c>
      <c r="G2069">
        <v>0.13739999999999999</v>
      </c>
      <c r="H2069">
        <v>0</v>
      </c>
      <c r="J2069">
        <v>1</v>
      </c>
      <c r="K2069">
        <f>YEAR(NetflixData[[#This Row],[date]])</f>
        <v>2024</v>
      </c>
      <c r="L2069" t="str">
        <f>TEXT(NetflixData[[#This Row],[date]],"mmm")</f>
        <v>May</v>
      </c>
      <c r="M2069" t="str">
        <f>TEXT(NetflixData[[#This Row],[date]],"mmm yyyy")</f>
        <v>May 2024</v>
      </c>
      <c r="N2069" t="str">
        <f t="shared" si="96"/>
        <v>Non-Trading Day</v>
      </c>
      <c r="O2069" t="str">
        <f t="shared" si="97"/>
        <v>Negative</v>
      </c>
      <c r="P2069" t="str">
        <f t="shared" si="98"/>
        <v>Positive</v>
      </c>
    </row>
    <row r="2070" spans="1:16" x14ac:dyDescent="0.3">
      <c r="A2070" s="1">
        <v>45423</v>
      </c>
      <c r="B2070">
        <v>61.09</v>
      </c>
      <c r="C2070">
        <v>0</v>
      </c>
      <c r="D2070">
        <v>0</v>
      </c>
      <c r="E2070">
        <v>185</v>
      </c>
      <c r="F2070">
        <v>2.77</v>
      </c>
      <c r="G2070">
        <v>7.3499999999999996E-2</v>
      </c>
      <c r="H2070">
        <v>0</v>
      </c>
      <c r="J2070">
        <v>0</v>
      </c>
      <c r="K2070">
        <f>YEAR(NetflixData[[#This Row],[date]])</f>
        <v>2024</v>
      </c>
      <c r="L2070" t="str">
        <f>TEXT(NetflixData[[#This Row],[date]],"mmm")</f>
        <v>May</v>
      </c>
      <c r="M2070" t="str">
        <f>TEXT(NetflixData[[#This Row],[date]],"mmm yyyy")</f>
        <v>May 2024</v>
      </c>
      <c r="N2070" t="str">
        <f t="shared" si="96"/>
        <v>Non-Trading Day</v>
      </c>
      <c r="O2070" t="str">
        <f t="shared" si="97"/>
        <v>No Change</v>
      </c>
      <c r="P2070" t="str">
        <f t="shared" si="98"/>
        <v>Neutral</v>
      </c>
    </row>
    <row r="2071" spans="1:16" x14ac:dyDescent="0.3">
      <c r="A2071" s="1">
        <v>45424</v>
      </c>
      <c r="B2071">
        <v>61.09</v>
      </c>
      <c r="C2071">
        <v>0</v>
      </c>
      <c r="D2071">
        <v>0</v>
      </c>
      <c r="E2071">
        <v>217</v>
      </c>
      <c r="F2071">
        <v>3.23</v>
      </c>
      <c r="G2071">
        <v>0.15709999999999999</v>
      </c>
      <c r="H2071">
        <v>0</v>
      </c>
      <c r="J2071">
        <v>0</v>
      </c>
      <c r="K2071">
        <f>YEAR(NetflixData[[#This Row],[date]])</f>
        <v>2024</v>
      </c>
      <c r="L2071" t="str">
        <f>TEXT(NetflixData[[#This Row],[date]],"mmm")</f>
        <v>May</v>
      </c>
      <c r="M2071" t="str">
        <f>TEXT(NetflixData[[#This Row],[date]],"mmm yyyy")</f>
        <v>May 2024</v>
      </c>
      <c r="N2071" t="str">
        <f t="shared" si="96"/>
        <v>Trading Day</v>
      </c>
      <c r="O2071" t="str">
        <f t="shared" si="97"/>
        <v>No Change</v>
      </c>
      <c r="P2071" t="str">
        <f t="shared" si="98"/>
        <v>Positive</v>
      </c>
    </row>
    <row r="2072" spans="1:16" x14ac:dyDescent="0.3">
      <c r="A2072" s="1">
        <v>45425</v>
      </c>
      <c r="B2072">
        <v>61.66</v>
      </c>
      <c r="C2072">
        <v>20862000</v>
      </c>
      <c r="D2072">
        <v>0.373</v>
      </c>
      <c r="E2072">
        <v>162</v>
      </c>
      <c r="F2072">
        <v>3.13</v>
      </c>
      <c r="G2072">
        <v>0.16539999999999999</v>
      </c>
      <c r="H2072">
        <v>0</v>
      </c>
      <c r="J2072">
        <v>1</v>
      </c>
      <c r="K2072">
        <f>YEAR(NetflixData[[#This Row],[date]])</f>
        <v>2024</v>
      </c>
      <c r="L2072" t="str">
        <f>TEXT(NetflixData[[#This Row],[date]],"mmm")</f>
        <v>May</v>
      </c>
      <c r="M2072" t="str">
        <f>TEXT(NetflixData[[#This Row],[date]],"mmm yyyy")</f>
        <v>May 2024</v>
      </c>
      <c r="N2072" t="str">
        <f t="shared" si="96"/>
        <v>Trading Day</v>
      </c>
      <c r="O2072" t="str">
        <f t="shared" si="97"/>
        <v>Positive</v>
      </c>
      <c r="P2072" t="str">
        <f t="shared" si="98"/>
        <v>Positive</v>
      </c>
    </row>
    <row r="2073" spans="1:16" x14ac:dyDescent="0.3">
      <c r="A2073" s="1">
        <v>45426</v>
      </c>
      <c r="B2073">
        <v>61.37</v>
      </c>
      <c r="C2073">
        <v>27924000</v>
      </c>
      <c r="D2073">
        <v>-0.245</v>
      </c>
      <c r="E2073">
        <v>170</v>
      </c>
      <c r="F2073">
        <v>2.94</v>
      </c>
      <c r="G2073">
        <v>0.13919999999999999</v>
      </c>
      <c r="H2073">
        <v>0</v>
      </c>
      <c r="J2073">
        <v>1</v>
      </c>
      <c r="K2073">
        <f>YEAR(NetflixData[[#This Row],[date]])</f>
        <v>2024</v>
      </c>
      <c r="L2073" t="str">
        <f>TEXT(NetflixData[[#This Row],[date]],"mmm")</f>
        <v>May</v>
      </c>
      <c r="M2073" t="str">
        <f>TEXT(NetflixData[[#This Row],[date]],"mmm yyyy")</f>
        <v>May 2024</v>
      </c>
      <c r="N2073" t="str">
        <f t="shared" si="96"/>
        <v>Trading Day</v>
      </c>
      <c r="O2073" t="str">
        <f t="shared" si="97"/>
        <v>Negative</v>
      </c>
      <c r="P2073" t="str">
        <f t="shared" si="98"/>
        <v>Positive</v>
      </c>
    </row>
    <row r="2074" spans="1:16" x14ac:dyDescent="0.3">
      <c r="A2074" s="1">
        <v>45427</v>
      </c>
      <c r="B2074">
        <v>61.35</v>
      </c>
      <c r="C2074">
        <v>56706000</v>
      </c>
      <c r="D2074">
        <v>-0.81599999999999995</v>
      </c>
      <c r="E2074">
        <v>0</v>
      </c>
      <c r="H2074">
        <v>0</v>
      </c>
      <c r="J2074">
        <v>1</v>
      </c>
      <c r="K2074">
        <f>YEAR(NetflixData[[#This Row],[date]])</f>
        <v>2024</v>
      </c>
      <c r="L2074" t="str">
        <f>TEXT(NetflixData[[#This Row],[date]],"mmm")</f>
        <v>May</v>
      </c>
      <c r="M2074" t="str">
        <f>TEXT(NetflixData[[#This Row],[date]],"mmm yyyy")</f>
        <v>May 2024</v>
      </c>
      <c r="N2074" t="str">
        <f t="shared" si="96"/>
        <v>Trading Day</v>
      </c>
      <c r="O2074" t="str">
        <f t="shared" si="97"/>
        <v>Negative</v>
      </c>
      <c r="P2074" t="str">
        <f t="shared" si="98"/>
        <v>Neutral</v>
      </c>
    </row>
    <row r="2075" spans="1:16" x14ac:dyDescent="0.3">
      <c r="A2075" s="1">
        <v>45428</v>
      </c>
      <c r="B2075">
        <v>61.05</v>
      </c>
      <c r="C2075">
        <v>30564000</v>
      </c>
      <c r="D2075">
        <v>-0.84899999999999998</v>
      </c>
      <c r="E2075">
        <v>0</v>
      </c>
      <c r="H2075">
        <v>0</v>
      </c>
      <c r="J2075">
        <v>1</v>
      </c>
      <c r="K2075">
        <f>YEAR(NetflixData[[#This Row],[date]])</f>
        <v>2024</v>
      </c>
      <c r="L2075" t="str">
        <f>TEXT(NetflixData[[#This Row],[date]],"mmm")</f>
        <v>May</v>
      </c>
      <c r="M2075" t="str">
        <f>TEXT(NetflixData[[#This Row],[date]],"mmm yyyy")</f>
        <v>May 2024</v>
      </c>
      <c r="N2075" t="str">
        <f t="shared" si="96"/>
        <v>Trading Day</v>
      </c>
      <c r="O2075" t="str">
        <f t="shared" si="97"/>
        <v>Negative</v>
      </c>
      <c r="P2075" t="str">
        <f t="shared" si="98"/>
        <v>Neutral</v>
      </c>
    </row>
    <row r="2076" spans="1:16" x14ac:dyDescent="0.3">
      <c r="A2076" s="1">
        <v>45429</v>
      </c>
      <c r="B2076">
        <v>62.11</v>
      </c>
      <c r="C2076">
        <v>37827000</v>
      </c>
      <c r="D2076">
        <v>0.66500000000000004</v>
      </c>
      <c r="E2076">
        <v>353</v>
      </c>
      <c r="F2076">
        <v>3.19</v>
      </c>
      <c r="G2076">
        <v>0.1545</v>
      </c>
      <c r="H2076">
        <v>0</v>
      </c>
      <c r="J2076">
        <v>1</v>
      </c>
      <c r="K2076">
        <f>YEAR(NetflixData[[#This Row],[date]])</f>
        <v>2024</v>
      </c>
      <c r="L2076" t="str">
        <f>TEXT(NetflixData[[#This Row],[date]],"mmm")</f>
        <v>May</v>
      </c>
      <c r="M2076" t="str">
        <f>TEXT(NetflixData[[#This Row],[date]],"mmm yyyy")</f>
        <v>May 2024</v>
      </c>
      <c r="N2076" t="str">
        <f t="shared" si="96"/>
        <v>Non-Trading Day</v>
      </c>
      <c r="O2076" t="str">
        <f t="shared" si="97"/>
        <v>Positive</v>
      </c>
      <c r="P2076" t="str">
        <f t="shared" si="98"/>
        <v>Positive</v>
      </c>
    </row>
    <row r="2077" spans="1:16" x14ac:dyDescent="0.3">
      <c r="A2077" s="1">
        <v>45430</v>
      </c>
      <c r="B2077">
        <v>62.11</v>
      </c>
      <c r="C2077">
        <v>0</v>
      </c>
      <c r="D2077">
        <v>0</v>
      </c>
      <c r="E2077">
        <v>194</v>
      </c>
      <c r="F2077">
        <v>3.06</v>
      </c>
      <c r="G2077">
        <v>0.152</v>
      </c>
      <c r="H2077">
        <v>0</v>
      </c>
      <c r="J2077">
        <v>0</v>
      </c>
      <c r="K2077">
        <f>YEAR(NetflixData[[#This Row],[date]])</f>
        <v>2024</v>
      </c>
      <c r="L2077" t="str">
        <f>TEXT(NetflixData[[#This Row],[date]],"mmm")</f>
        <v>May</v>
      </c>
      <c r="M2077" t="str">
        <f>TEXT(NetflixData[[#This Row],[date]],"mmm yyyy")</f>
        <v>May 2024</v>
      </c>
      <c r="N2077" t="str">
        <f t="shared" si="96"/>
        <v>Non-Trading Day</v>
      </c>
      <c r="O2077" t="str">
        <f t="shared" si="97"/>
        <v>No Change</v>
      </c>
      <c r="P2077" t="str">
        <f t="shared" si="98"/>
        <v>Positive</v>
      </c>
    </row>
    <row r="2078" spans="1:16" x14ac:dyDescent="0.3">
      <c r="A2078" s="1">
        <v>45431</v>
      </c>
      <c r="B2078">
        <v>62.11</v>
      </c>
      <c r="C2078">
        <v>0</v>
      </c>
      <c r="D2078">
        <v>0</v>
      </c>
      <c r="E2078">
        <v>187</v>
      </c>
      <c r="F2078">
        <v>2.96</v>
      </c>
      <c r="G2078">
        <v>0.14910000000000001</v>
      </c>
      <c r="H2078">
        <v>0</v>
      </c>
      <c r="J2078">
        <v>0</v>
      </c>
      <c r="K2078">
        <f>YEAR(NetflixData[[#This Row],[date]])</f>
        <v>2024</v>
      </c>
      <c r="L2078" t="str">
        <f>TEXT(NetflixData[[#This Row],[date]],"mmm")</f>
        <v>May</v>
      </c>
      <c r="M2078" t="str">
        <f>TEXT(NetflixData[[#This Row],[date]],"mmm yyyy")</f>
        <v>May 2024</v>
      </c>
      <c r="N2078" t="str">
        <f t="shared" si="96"/>
        <v>Trading Day</v>
      </c>
      <c r="O2078" t="str">
        <f t="shared" si="97"/>
        <v>No Change</v>
      </c>
      <c r="P2078" t="str">
        <f t="shared" si="98"/>
        <v>Positive</v>
      </c>
    </row>
    <row r="2079" spans="1:16" x14ac:dyDescent="0.3">
      <c r="A2079" s="1">
        <v>45432</v>
      </c>
      <c r="B2079">
        <v>64.08</v>
      </c>
      <c r="C2079">
        <v>38579000</v>
      </c>
      <c r="D2079">
        <v>3.2909999999999999</v>
      </c>
      <c r="E2079">
        <v>172</v>
      </c>
      <c r="F2079">
        <v>3.22</v>
      </c>
      <c r="G2079">
        <v>0.1447</v>
      </c>
      <c r="H2079">
        <v>0</v>
      </c>
      <c r="J2079">
        <v>1</v>
      </c>
      <c r="K2079">
        <f>YEAR(NetflixData[[#This Row],[date]])</f>
        <v>2024</v>
      </c>
      <c r="L2079" t="str">
        <f>TEXT(NetflixData[[#This Row],[date]],"mmm")</f>
        <v>May</v>
      </c>
      <c r="M2079" t="str">
        <f>TEXT(NetflixData[[#This Row],[date]],"mmm yyyy")</f>
        <v>May 2024</v>
      </c>
      <c r="N2079" t="str">
        <f t="shared" si="96"/>
        <v>Trading Day</v>
      </c>
      <c r="O2079" t="str">
        <f t="shared" si="97"/>
        <v>Positive</v>
      </c>
      <c r="P2079" t="str">
        <f t="shared" si="98"/>
        <v>Positive</v>
      </c>
    </row>
    <row r="2080" spans="1:16" x14ac:dyDescent="0.3">
      <c r="A2080" s="1">
        <v>45433</v>
      </c>
      <c r="B2080">
        <v>65.06</v>
      </c>
      <c r="C2080">
        <v>29202000</v>
      </c>
      <c r="D2080">
        <v>2.1749999999999998</v>
      </c>
      <c r="E2080">
        <v>159</v>
      </c>
      <c r="F2080">
        <v>3.22</v>
      </c>
      <c r="G2080">
        <v>0.1308</v>
      </c>
      <c r="H2080">
        <v>0</v>
      </c>
      <c r="J2080">
        <v>1</v>
      </c>
      <c r="K2080">
        <f>YEAR(NetflixData[[#This Row],[date]])</f>
        <v>2024</v>
      </c>
      <c r="L2080" t="str">
        <f>TEXT(NetflixData[[#This Row],[date]],"mmm")</f>
        <v>May</v>
      </c>
      <c r="M2080" t="str">
        <f>TEXT(NetflixData[[#This Row],[date]],"mmm yyyy")</f>
        <v>May 2024</v>
      </c>
      <c r="N2080" t="str">
        <f t="shared" si="96"/>
        <v>Trading Day</v>
      </c>
      <c r="O2080" t="str">
        <f t="shared" si="97"/>
        <v>Positive</v>
      </c>
      <c r="P2080" t="str">
        <f t="shared" si="98"/>
        <v>Positive</v>
      </c>
    </row>
    <row r="2081" spans="1:16" x14ac:dyDescent="0.3">
      <c r="A2081" s="1">
        <v>45434</v>
      </c>
      <c r="B2081">
        <v>64.05</v>
      </c>
      <c r="C2081">
        <v>21762000</v>
      </c>
      <c r="D2081">
        <v>-1.0309999999999999</v>
      </c>
      <c r="E2081">
        <v>149</v>
      </c>
      <c r="F2081">
        <v>3.19</v>
      </c>
      <c r="G2081">
        <v>0.18360000000000001</v>
      </c>
      <c r="H2081">
        <v>0</v>
      </c>
      <c r="J2081">
        <v>1</v>
      </c>
      <c r="K2081">
        <f>YEAR(NetflixData[[#This Row],[date]])</f>
        <v>2024</v>
      </c>
      <c r="L2081" t="str">
        <f>TEXT(NetflixData[[#This Row],[date]],"mmm")</f>
        <v>May</v>
      </c>
      <c r="M2081" t="str">
        <f>TEXT(NetflixData[[#This Row],[date]],"mmm yyyy")</f>
        <v>May 2024</v>
      </c>
      <c r="N2081" t="str">
        <f t="shared" si="96"/>
        <v>Trading Day</v>
      </c>
      <c r="O2081" t="str">
        <f t="shared" si="97"/>
        <v>Negative</v>
      </c>
      <c r="P2081" t="str">
        <f t="shared" si="98"/>
        <v>Positive</v>
      </c>
    </row>
    <row r="2082" spans="1:16" x14ac:dyDescent="0.3">
      <c r="A2082" s="1">
        <v>45435</v>
      </c>
      <c r="B2082">
        <v>63.57</v>
      </c>
      <c r="C2082">
        <v>23139000</v>
      </c>
      <c r="D2082">
        <v>-1.038</v>
      </c>
      <c r="E2082">
        <v>170</v>
      </c>
      <c r="F2082">
        <v>3.24</v>
      </c>
      <c r="G2082">
        <v>0.15679999999999999</v>
      </c>
      <c r="H2082">
        <v>0</v>
      </c>
      <c r="J2082">
        <v>1</v>
      </c>
      <c r="K2082">
        <f>YEAR(NetflixData[[#This Row],[date]])</f>
        <v>2024</v>
      </c>
      <c r="L2082" t="str">
        <f>TEXT(NetflixData[[#This Row],[date]],"mmm")</f>
        <v>May</v>
      </c>
      <c r="M2082" t="str">
        <f>TEXT(NetflixData[[#This Row],[date]],"mmm yyyy")</f>
        <v>May 2024</v>
      </c>
      <c r="N2082" t="str">
        <f t="shared" si="96"/>
        <v>Trading Day</v>
      </c>
      <c r="O2082" t="str">
        <f t="shared" si="97"/>
        <v>Negative</v>
      </c>
      <c r="P2082" t="str">
        <f t="shared" si="98"/>
        <v>Positive</v>
      </c>
    </row>
    <row r="2083" spans="1:16" x14ac:dyDescent="0.3">
      <c r="A2083" s="1">
        <v>45436</v>
      </c>
      <c r="B2083">
        <v>64.680000000000007</v>
      </c>
      <c r="C2083">
        <v>26153000</v>
      </c>
      <c r="D2083">
        <v>1.1499999999999999</v>
      </c>
      <c r="E2083">
        <v>176</v>
      </c>
      <c r="F2083">
        <v>3.14</v>
      </c>
      <c r="G2083">
        <v>0.14419999999999999</v>
      </c>
      <c r="H2083">
        <v>0</v>
      </c>
      <c r="J2083">
        <v>1</v>
      </c>
      <c r="K2083">
        <f>YEAR(NetflixData[[#This Row],[date]])</f>
        <v>2024</v>
      </c>
      <c r="L2083" t="str">
        <f>TEXT(NetflixData[[#This Row],[date]],"mmm")</f>
        <v>May</v>
      </c>
      <c r="M2083" t="str">
        <f>TEXT(NetflixData[[#This Row],[date]],"mmm yyyy")</f>
        <v>May 2024</v>
      </c>
      <c r="N2083" t="str">
        <f t="shared" si="96"/>
        <v>Non-Trading Day</v>
      </c>
      <c r="O2083" t="str">
        <f t="shared" si="97"/>
        <v>Positive</v>
      </c>
      <c r="P2083" t="str">
        <f t="shared" si="98"/>
        <v>Positive</v>
      </c>
    </row>
    <row r="2084" spans="1:16" x14ac:dyDescent="0.3">
      <c r="A2084" s="1">
        <v>45437</v>
      </c>
      <c r="B2084">
        <v>64.680000000000007</v>
      </c>
      <c r="C2084">
        <v>0</v>
      </c>
      <c r="D2084">
        <v>0</v>
      </c>
      <c r="E2084">
        <v>194</v>
      </c>
      <c r="F2084">
        <v>2.98</v>
      </c>
      <c r="G2084">
        <v>0.13739999999999999</v>
      </c>
      <c r="H2084">
        <v>0</v>
      </c>
      <c r="J2084">
        <v>0</v>
      </c>
      <c r="K2084">
        <f>YEAR(NetflixData[[#This Row],[date]])</f>
        <v>2024</v>
      </c>
      <c r="L2084" t="str">
        <f>TEXT(NetflixData[[#This Row],[date]],"mmm")</f>
        <v>May</v>
      </c>
      <c r="M2084" t="str">
        <f>TEXT(NetflixData[[#This Row],[date]],"mmm yyyy")</f>
        <v>May 2024</v>
      </c>
      <c r="N2084" t="str">
        <f t="shared" si="96"/>
        <v>Non-Trading Day</v>
      </c>
      <c r="O2084" t="str">
        <f t="shared" si="97"/>
        <v>No Change</v>
      </c>
      <c r="P2084" t="str">
        <f t="shared" si="98"/>
        <v>Positive</v>
      </c>
    </row>
    <row r="2085" spans="1:16" x14ac:dyDescent="0.3">
      <c r="A2085" s="1">
        <v>45438</v>
      </c>
      <c r="B2085">
        <v>64.680000000000007</v>
      </c>
      <c r="C2085">
        <v>0</v>
      </c>
      <c r="D2085">
        <v>0</v>
      </c>
      <c r="E2085">
        <v>192</v>
      </c>
      <c r="F2085">
        <v>3.04</v>
      </c>
      <c r="G2085">
        <v>6.1800000000000001E-2</v>
      </c>
      <c r="H2085">
        <v>0</v>
      </c>
      <c r="J2085">
        <v>0</v>
      </c>
      <c r="K2085">
        <f>YEAR(NetflixData[[#This Row],[date]])</f>
        <v>2024</v>
      </c>
      <c r="L2085" t="str">
        <f>TEXT(NetflixData[[#This Row],[date]],"mmm")</f>
        <v>May</v>
      </c>
      <c r="M2085" t="str">
        <f>TEXT(NetflixData[[#This Row],[date]],"mmm yyyy")</f>
        <v>May 2024</v>
      </c>
      <c r="N2085" t="str">
        <f t="shared" si="96"/>
        <v>Non-Trading Day</v>
      </c>
      <c r="O2085" t="str">
        <f t="shared" si="97"/>
        <v>No Change</v>
      </c>
      <c r="P2085" t="str">
        <f t="shared" si="98"/>
        <v>Neutral</v>
      </c>
    </row>
    <row r="2086" spans="1:16" x14ac:dyDescent="0.3">
      <c r="A2086" s="1">
        <v>45439</v>
      </c>
      <c r="B2086">
        <v>64.680000000000007</v>
      </c>
      <c r="C2086">
        <v>0</v>
      </c>
      <c r="D2086">
        <v>0</v>
      </c>
      <c r="E2086">
        <v>202</v>
      </c>
      <c r="F2086">
        <v>3.03</v>
      </c>
      <c r="G2086">
        <v>0.15379999999999999</v>
      </c>
      <c r="H2086">
        <v>0</v>
      </c>
      <c r="J2086">
        <v>0</v>
      </c>
      <c r="K2086">
        <f>YEAR(NetflixData[[#This Row],[date]])</f>
        <v>2024</v>
      </c>
      <c r="L2086" t="str">
        <f>TEXT(NetflixData[[#This Row],[date]],"mmm")</f>
        <v>May</v>
      </c>
      <c r="M2086" t="str">
        <f>TEXT(NetflixData[[#This Row],[date]],"mmm yyyy")</f>
        <v>May 2024</v>
      </c>
      <c r="N2086" t="str">
        <f t="shared" si="96"/>
        <v>Trading Day</v>
      </c>
      <c r="O2086" t="str">
        <f t="shared" si="97"/>
        <v>No Change</v>
      </c>
      <c r="P2086" t="str">
        <f t="shared" si="98"/>
        <v>Positive</v>
      </c>
    </row>
    <row r="2087" spans="1:16" x14ac:dyDescent="0.3">
      <c r="A2087" s="1">
        <v>45440</v>
      </c>
      <c r="B2087">
        <v>64.900000000000006</v>
      </c>
      <c r="C2087">
        <v>26095000</v>
      </c>
      <c r="D2087">
        <v>0.30099999999999999</v>
      </c>
      <c r="E2087">
        <v>168</v>
      </c>
      <c r="F2087">
        <v>2.92</v>
      </c>
      <c r="G2087">
        <v>0.13750000000000001</v>
      </c>
      <c r="H2087">
        <v>0</v>
      </c>
      <c r="J2087">
        <v>1</v>
      </c>
      <c r="K2087">
        <f>YEAR(NetflixData[[#This Row],[date]])</f>
        <v>2024</v>
      </c>
      <c r="L2087" t="str">
        <f>TEXT(NetflixData[[#This Row],[date]],"mmm")</f>
        <v>May</v>
      </c>
      <c r="M2087" t="str">
        <f>TEXT(NetflixData[[#This Row],[date]],"mmm yyyy")</f>
        <v>May 2024</v>
      </c>
      <c r="N2087" t="str">
        <f t="shared" si="96"/>
        <v>Trading Day</v>
      </c>
      <c r="O2087" t="str">
        <f t="shared" si="97"/>
        <v>Positive</v>
      </c>
      <c r="P2087" t="str">
        <f t="shared" si="98"/>
        <v>Positive</v>
      </c>
    </row>
    <row r="2088" spans="1:16" x14ac:dyDescent="0.3">
      <c r="A2088" s="1">
        <v>45441</v>
      </c>
      <c r="B2088">
        <v>65.459999999999994</v>
      </c>
      <c r="C2088">
        <v>36959000</v>
      </c>
      <c r="D2088">
        <v>1.629</v>
      </c>
      <c r="E2088">
        <v>175</v>
      </c>
      <c r="F2088">
        <v>2.97</v>
      </c>
      <c r="G2088">
        <v>9.6699999999999994E-2</v>
      </c>
      <c r="H2088">
        <v>0</v>
      </c>
      <c r="J2088">
        <v>1</v>
      </c>
      <c r="K2088">
        <f>YEAR(NetflixData[[#This Row],[date]])</f>
        <v>2024</v>
      </c>
      <c r="L2088" t="str">
        <f>TEXT(NetflixData[[#This Row],[date]],"mmm")</f>
        <v>May</v>
      </c>
      <c r="M2088" t="str">
        <f>TEXT(NetflixData[[#This Row],[date]],"mmm yyyy")</f>
        <v>May 2024</v>
      </c>
      <c r="N2088" t="str">
        <f t="shared" si="96"/>
        <v>Trading Day</v>
      </c>
      <c r="O2088" t="str">
        <f t="shared" si="97"/>
        <v>Positive</v>
      </c>
      <c r="P2088" t="str">
        <f t="shared" si="98"/>
        <v>Neutral</v>
      </c>
    </row>
    <row r="2089" spans="1:16" x14ac:dyDescent="0.3">
      <c r="A2089" s="1">
        <v>45442</v>
      </c>
      <c r="B2089">
        <v>64.77</v>
      </c>
      <c r="C2089">
        <v>23889000</v>
      </c>
      <c r="D2089">
        <v>-0.89700000000000002</v>
      </c>
      <c r="E2089">
        <v>148</v>
      </c>
      <c r="F2089">
        <v>2.97</v>
      </c>
      <c r="G2089">
        <v>0.16450000000000001</v>
      </c>
      <c r="H2089">
        <v>0</v>
      </c>
      <c r="J2089">
        <v>1</v>
      </c>
      <c r="K2089">
        <f>YEAR(NetflixData[[#This Row],[date]])</f>
        <v>2024</v>
      </c>
      <c r="L2089" t="str">
        <f>TEXT(NetflixData[[#This Row],[date]],"mmm")</f>
        <v>May</v>
      </c>
      <c r="M2089" t="str">
        <f>TEXT(NetflixData[[#This Row],[date]],"mmm yyyy")</f>
        <v>May 2024</v>
      </c>
      <c r="N2089" t="str">
        <f t="shared" si="96"/>
        <v>Trading Day</v>
      </c>
      <c r="O2089" t="str">
        <f t="shared" si="97"/>
        <v>Negative</v>
      </c>
      <c r="P2089" t="str">
        <f t="shared" si="98"/>
        <v>Positive</v>
      </c>
    </row>
    <row r="2090" spans="1:16" x14ac:dyDescent="0.3">
      <c r="A2090" s="1">
        <v>45443</v>
      </c>
      <c r="B2090">
        <v>64.16</v>
      </c>
      <c r="C2090">
        <v>40710000</v>
      </c>
      <c r="D2090">
        <v>-0.371</v>
      </c>
      <c r="E2090">
        <v>163</v>
      </c>
      <c r="F2090">
        <v>3.12</v>
      </c>
      <c r="G2090">
        <v>0.17449999999999999</v>
      </c>
      <c r="H2090">
        <v>0</v>
      </c>
      <c r="J2090">
        <v>1</v>
      </c>
      <c r="K2090">
        <f>YEAR(NetflixData[[#This Row],[date]])</f>
        <v>2024</v>
      </c>
      <c r="L2090" t="str">
        <f>TEXT(NetflixData[[#This Row],[date]],"mmm")</f>
        <v>May</v>
      </c>
      <c r="M2090" t="str">
        <f>TEXT(NetflixData[[#This Row],[date]],"mmm yyyy")</f>
        <v>May 2024</v>
      </c>
      <c r="N2090" t="str">
        <f t="shared" si="96"/>
        <v>Non-Trading Day</v>
      </c>
      <c r="O2090" t="str">
        <f t="shared" si="97"/>
        <v>Negative</v>
      </c>
      <c r="P2090" t="str">
        <f t="shared" si="98"/>
        <v>Positive</v>
      </c>
    </row>
    <row r="2091" spans="1:16" x14ac:dyDescent="0.3">
      <c r="A2091" s="1">
        <v>45444</v>
      </c>
      <c r="B2091">
        <v>64.16</v>
      </c>
      <c r="C2091">
        <v>0</v>
      </c>
      <c r="D2091">
        <v>0</v>
      </c>
      <c r="E2091">
        <v>162</v>
      </c>
      <c r="F2091">
        <v>3.06</v>
      </c>
      <c r="G2091">
        <v>0.13769999999999999</v>
      </c>
      <c r="H2091">
        <v>0</v>
      </c>
      <c r="J2091">
        <v>0</v>
      </c>
      <c r="K2091">
        <f>YEAR(NetflixData[[#This Row],[date]])</f>
        <v>2024</v>
      </c>
      <c r="L2091" t="str">
        <f>TEXT(NetflixData[[#This Row],[date]],"mmm")</f>
        <v>Jun</v>
      </c>
      <c r="M2091" t="str">
        <f>TEXT(NetflixData[[#This Row],[date]],"mmm yyyy")</f>
        <v>Jun 2024</v>
      </c>
      <c r="N2091" t="str">
        <f t="shared" si="96"/>
        <v>Non-Trading Day</v>
      </c>
      <c r="O2091" t="str">
        <f t="shared" si="97"/>
        <v>No Change</v>
      </c>
      <c r="P2091" t="str">
        <f t="shared" si="98"/>
        <v>Positive</v>
      </c>
    </row>
    <row r="2092" spans="1:16" x14ac:dyDescent="0.3">
      <c r="A2092" s="1">
        <v>45445</v>
      </c>
      <c r="B2092">
        <v>64.16</v>
      </c>
      <c r="C2092">
        <v>0</v>
      </c>
      <c r="D2092">
        <v>0</v>
      </c>
      <c r="E2092">
        <v>169</v>
      </c>
      <c r="F2092">
        <v>2.93</v>
      </c>
      <c r="G2092">
        <v>0.10009999999999999</v>
      </c>
      <c r="H2092">
        <v>0</v>
      </c>
      <c r="J2092">
        <v>0</v>
      </c>
      <c r="K2092">
        <f>YEAR(NetflixData[[#This Row],[date]])</f>
        <v>2024</v>
      </c>
      <c r="L2092" t="str">
        <f>TEXT(NetflixData[[#This Row],[date]],"mmm")</f>
        <v>Jun</v>
      </c>
      <c r="M2092" t="str">
        <f>TEXT(NetflixData[[#This Row],[date]],"mmm yyyy")</f>
        <v>Jun 2024</v>
      </c>
      <c r="N2092" t="str">
        <f t="shared" si="96"/>
        <v>Trading Day</v>
      </c>
      <c r="O2092" t="str">
        <f t="shared" si="97"/>
        <v>No Change</v>
      </c>
      <c r="P2092" t="str">
        <f t="shared" si="98"/>
        <v>Positive</v>
      </c>
    </row>
    <row r="2093" spans="1:16" x14ac:dyDescent="0.3">
      <c r="A2093" s="1">
        <v>45446</v>
      </c>
      <c r="B2093">
        <v>63.38</v>
      </c>
      <c r="C2093">
        <v>23235000</v>
      </c>
      <c r="D2093">
        <v>-1.7709999999999999</v>
      </c>
      <c r="E2093">
        <v>153</v>
      </c>
      <c r="F2093">
        <v>2.9</v>
      </c>
      <c r="G2093">
        <v>9.4299999999999995E-2</v>
      </c>
      <c r="H2093">
        <v>0</v>
      </c>
      <c r="J2093">
        <v>1</v>
      </c>
      <c r="K2093">
        <f>YEAR(NetflixData[[#This Row],[date]])</f>
        <v>2024</v>
      </c>
      <c r="L2093" t="str">
        <f>TEXT(NetflixData[[#This Row],[date]],"mmm")</f>
        <v>Jun</v>
      </c>
      <c r="M2093" t="str">
        <f>TEXT(NetflixData[[#This Row],[date]],"mmm yyyy")</f>
        <v>Jun 2024</v>
      </c>
      <c r="N2093" t="str">
        <f t="shared" si="96"/>
        <v>Trading Day</v>
      </c>
      <c r="O2093" t="str">
        <f t="shared" si="97"/>
        <v>Negative</v>
      </c>
      <c r="P2093" t="str">
        <f t="shared" si="98"/>
        <v>Neutral</v>
      </c>
    </row>
    <row r="2094" spans="1:16" x14ac:dyDescent="0.3">
      <c r="A2094" s="1">
        <v>45447</v>
      </c>
      <c r="B2094">
        <v>63.16</v>
      </c>
      <c r="C2094">
        <v>30082000</v>
      </c>
      <c r="D2094">
        <v>-0.34100000000000003</v>
      </c>
      <c r="E2094">
        <v>163</v>
      </c>
      <c r="F2094">
        <v>3.02</v>
      </c>
      <c r="G2094">
        <v>0.11310000000000001</v>
      </c>
      <c r="H2094">
        <v>0</v>
      </c>
      <c r="J2094">
        <v>1</v>
      </c>
      <c r="K2094">
        <f>YEAR(NetflixData[[#This Row],[date]])</f>
        <v>2024</v>
      </c>
      <c r="L2094" t="str">
        <f>TEXT(NetflixData[[#This Row],[date]],"mmm")</f>
        <v>Jun</v>
      </c>
      <c r="M2094" t="str">
        <f>TEXT(NetflixData[[#This Row],[date]],"mmm yyyy")</f>
        <v>Jun 2024</v>
      </c>
      <c r="N2094" t="str">
        <f t="shared" si="96"/>
        <v>Trading Day</v>
      </c>
      <c r="O2094" t="str">
        <f t="shared" si="97"/>
        <v>Negative</v>
      </c>
      <c r="P2094" t="str">
        <f t="shared" si="98"/>
        <v>Positive</v>
      </c>
    </row>
    <row r="2095" spans="1:16" x14ac:dyDescent="0.3">
      <c r="A2095" s="1">
        <v>45448</v>
      </c>
      <c r="B2095">
        <v>65.03</v>
      </c>
      <c r="C2095">
        <v>26826000</v>
      </c>
      <c r="D2095">
        <v>2.5630000000000002</v>
      </c>
      <c r="E2095">
        <v>158</v>
      </c>
      <c r="F2095">
        <v>3.11</v>
      </c>
      <c r="G2095">
        <v>0.11799999999999999</v>
      </c>
      <c r="H2095">
        <v>0</v>
      </c>
      <c r="J2095">
        <v>1</v>
      </c>
      <c r="K2095">
        <f>YEAR(NetflixData[[#This Row],[date]])</f>
        <v>2024</v>
      </c>
      <c r="L2095" t="str">
        <f>TEXT(NetflixData[[#This Row],[date]],"mmm")</f>
        <v>Jun</v>
      </c>
      <c r="M2095" t="str">
        <f>TEXT(NetflixData[[#This Row],[date]],"mmm yyyy")</f>
        <v>Jun 2024</v>
      </c>
      <c r="N2095" t="str">
        <f t="shared" si="96"/>
        <v>Trading Day</v>
      </c>
      <c r="O2095" t="str">
        <f t="shared" si="97"/>
        <v>Positive</v>
      </c>
      <c r="P2095" t="str">
        <f t="shared" si="98"/>
        <v>Positive</v>
      </c>
    </row>
    <row r="2096" spans="1:16" x14ac:dyDescent="0.3">
      <c r="A2096" s="1">
        <v>45449</v>
      </c>
      <c r="B2096">
        <v>64.849999999999994</v>
      </c>
      <c r="C2096">
        <v>24667000</v>
      </c>
      <c r="D2096">
        <v>0.56299999999999994</v>
      </c>
      <c r="E2096">
        <v>0</v>
      </c>
      <c r="H2096">
        <v>0</v>
      </c>
      <c r="J2096">
        <v>1</v>
      </c>
      <c r="K2096">
        <f>YEAR(NetflixData[[#This Row],[date]])</f>
        <v>2024</v>
      </c>
      <c r="L2096" t="str">
        <f>TEXT(NetflixData[[#This Row],[date]],"mmm")</f>
        <v>Jun</v>
      </c>
      <c r="M2096" t="str">
        <f>TEXT(NetflixData[[#This Row],[date]],"mmm yyyy")</f>
        <v>Jun 2024</v>
      </c>
      <c r="N2096" t="str">
        <f t="shared" si="96"/>
        <v>Trading Day</v>
      </c>
      <c r="O2096" t="str">
        <f t="shared" si="97"/>
        <v>Positive</v>
      </c>
      <c r="P2096" t="str">
        <f t="shared" si="98"/>
        <v>Neutral</v>
      </c>
    </row>
    <row r="2097" spans="1:16" x14ac:dyDescent="0.3">
      <c r="A2097" s="1">
        <v>45450</v>
      </c>
      <c r="B2097">
        <v>64.150000000000006</v>
      </c>
      <c r="C2097">
        <v>18766000</v>
      </c>
      <c r="D2097">
        <v>-1.218</v>
      </c>
      <c r="E2097">
        <v>0</v>
      </c>
      <c r="H2097">
        <v>0</v>
      </c>
      <c r="J2097">
        <v>1</v>
      </c>
      <c r="K2097">
        <f>YEAR(NetflixData[[#This Row],[date]])</f>
        <v>2024</v>
      </c>
      <c r="L2097" t="str">
        <f>TEXT(NetflixData[[#This Row],[date]],"mmm")</f>
        <v>Jun</v>
      </c>
      <c r="M2097" t="str">
        <f>TEXT(NetflixData[[#This Row],[date]],"mmm yyyy")</f>
        <v>Jun 2024</v>
      </c>
      <c r="N2097" t="str">
        <f t="shared" si="96"/>
        <v>Non-Trading Day</v>
      </c>
      <c r="O2097" t="str">
        <f t="shared" si="97"/>
        <v>Negative</v>
      </c>
      <c r="P2097" t="str">
        <f t="shared" si="98"/>
        <v>Neutral</v>
      </c>
    </row>
    <row r="2098" spans="1:16" x14ac:dyDescent="0.3">
      <c r="A2098" s="1">
        <v>45451</v>
      </c>
      <c r="B2098">
        <v>64.150000000000006</v>
      </c>
      <c r="C2098">
        <v>0</v>
      </c>
      <c r="D2098">
        <v>0</v>
      </c>
      <c r="E2098">
        <v>0</v>
      </c>
      <c r="H2098">
        <v>0</v>
      </c>
      <c r="J2098">
        <v>0</v>
      </c>
      <c r="K2098">
        <f>YEAR(NetflixData[[#This Row],[date]])</f>
        <v>2024</v>
      </c>
      <c r="L2098" t="str">
        <f>TEXT(NetflixData[[#This Row],[date]],"mmm")</f>
        <v>Jun</v>
      </c>
      <c r="M2098" t="str">
        <f>TEXT(NetflixData[[#This Row],[date]],"mmm yyyy")</f>
        <v>Jun 2024</v>
      </c>
      <c r="N2098" t="str">
        <f t="shared" si="96"/>
        <v>Non-Trading Day</v>
      </c>
      <c r="O2098" t="str">
        <f t="shared" si="97"/>
        <v>No Change</v>
      </c>
      <c r="P2098" t="str">
        <f t="shared" si="98"/>
        <v>Neutral</v>
      </c>
    </row>
    <row r="2099" spans="1:16" x14ac:dyDescent="0.3">
      <c r="A2099" s="1">
        <v>45452</v>
      </c>
      <c r="B2099">
        <v>64.150000000000006</v>
      </c>
      <c r="C2099">
        <v>0</v>
      </c>
      <c r="D2099">
        <v>0</v>
      </c>
      <c r="E2099">
        <v>0</v>
      </c>
      <c r="H2099">
        <v>0</v>
      </c>
      <c r="J2099">
        <v>0</v>
      </c>
      <c r="K2099">
        <f>YEAR(NetflixData[[#This Row],[date]])</f>
        <v>2024</v>
      </c>
      <c r="L2099" t="str">
        <f>TEXT(NetflixData[[#This Row],[date]],"mmm")</f>
        <v>Jun</v>
      </c>
      <c r="M2099" t="str">
        <f>TEXT(NetflixData[[#This Row],[date]],"mmm yyyy")</f>
        <v>Jun 2024</v>
      </c>
      <c r="N2099" t="str">
        <f t="shared" si="96"/>
        <v>Trading Day</v>
      </c>
      <c r="O2099" t="str">
        <f t="shared" si="97"/>
        <v>No Change</v>
      </c>
      <c r="P2099" t="str">
        <f t="shared" si="98"/>
        <v>Neutral</v>
      </c>
    </row>
    <row r="2100" spans="1:16" x14ac:dyDescent="0.3">
      <c r="A2100" s="1">
        <v>45453</v>
      </c>
      <c r="B2100">
        <v>64.45</v>
      </c>
      <c r="C2100">
        <v>20644000</v>
      </c>
      <c r="D2100">
        <v>0.54400000000000004</v>
      </c>
      <c r="E2100">
        <v>148</v>
      </c>
      <c r="F2100">
        <v>2.8</v>
      </c>
      <c r="G2100">
        <v>8.6300000000000002E-2</v>
      </c>
      <c r="H2100">
        <v>0</v>
      </c>
      <c r="J2100">
        <v>1</v>
      </c>
      <c r="K2100">
        <f>YEAR(NetflixData[[#This Row],[date]])</f>
        <v>2024</v>
      </c>
      <c r="L2100" t="str">
        <f>TEXT(NetflixData[[#This Row],[date]],"mmm")</f>
        <v>Jun</v>
      </c>
      <c r="M2100" t="str">
        <f>TEXT(NetflixData[[#This Row],[date]],"mmm yyyy")</f>
        <v>Jun 2024</v>
      </c>
      <c r="N2100" t="str">
        <f t="shared" si="96"/>
        <v>Trading Day</v>
      </c>
      <c r="O2100" t="str">
        <f t="shared" si="97"/>
        <v>Positive</v>
      </c>
      <c r="P2100" t="str">
        <f t="shared" si="98"/>
        <v>Neutral</v>
      </c>
    </row>
    <row r="2101" spans="1:16" x14ac:dyDescent="0.3">
      <c r="A2101" s="1">
        <v>45454</v>
      </c>
      <c r="B2101">
        <v>64.86</v>
      </c>
      <c r="C2101">
        <v>21674000</v>
      </c>
      <c r="D2101">
        <v>1.222</v>
      </c>
      <c r="E2101">
        <v>149</v>
      </c>
      <c r="F2101">
        <v>2.81</v>
      </c>
      <c r="G2101">
        <v>0.1069</v>
      </c>
      <c r="H2101">
        <v>0</v>
      </c>
      <c r="J2101">
        <v>1</v>
      </c>
      <c r="K2101">
        <f>YEAR(NetflixData[[#This Row],[date]])</f>
        <v>2024</v>
      </c>
      <c r="L2101" t="str">
        <f>TEXT(NetflixData[[#This Row],[date]],"mmm")</f>
        <v>Jun</v>
      </c>
      <c r="M2101" t="str">
        <f>TEXT(NetflixData[[#This Row],[date]],"mmm yyyy")</f>
        <v>Jun 2024</v>
      </c>
      <c r="N2101" t="str">
        <f t="shared" si="96"/>
        <v>Trading Day</v>
      </c>
      <c r="O2101" t="str">
        <f t="shared" si="97"/>
        <v>Positive</v>
      </c>
      <c r="P2101" t="str">
        <f t="shared" si="98"/>
        <v>Positive</v>
      </c>
    </row>
    <row r="2102" spans="1:16" x14ac:dyDescent="0.3">
      <c r="A2102" s="1">
        <v>45455</v>
      </c>
      <c r="B2102">
        <v>65.010000000000005</v>
      </c>
      <c r="C2102">
        <v>20944000</v>
      </c>
      <c r="D2102">
        <v>-0.33</v>
      </c>
      <c r="E2102">
        <v>164</v>
      </c>
      <c r="F2102">
        <v>3.03</v>
      </c>
      <c r="G2102">
        <v>0.13009999999999999</v>
      </c>
      <c r="H2102">
        <v>0</v>
      </c>
      <c r="J2102">
        <v>1</v>
      </c>
      <c r="K2102">
        <f>YEAR(NetflixData[[#This Row],[date]])</f>
        <v>2024</v>
      </c>
      <c r="L2102" t="str">
        <f>TEXT(NetflixData[[#This Row],[date]],"mmm")</f>
        <v>Jun</v>
      </c>
      <c r="M2102" t="str">
        <f>TEXT(NetflixData[[#This Row],[date]],"mmm yyyy")</f>
        <v>Jun 2024</v>
      </c>
      <c r="N2102" t="str">
        <f t="shared" si="96"/>
        <v>Trading Day</v>
      </c>
      <c r="O2102" t="str">
        <f t="shared" si="97"/>
        <v>Negative</v>
      </c>
      <c r="P2102" t="str">
        <f t="shared" si="98"/>
        <v>Positive</v>
      </c>
    </row>
    <row r="2103" spans="1:16" x14ac:dyDescent="0.3">
      <c r="A2103" s="1">
        <v>45456</v>
      </c>
      <c r="B2103">
        <v>65.33</v>
      </c>
      <c r="C2103">
        <v>18636000</v>
      </c>
      <c r="D2103">
        <v>1.4379999999999999</v>
      </c>
      <c r="E2103">
        <v>173</v>
      </c>
      <c r="F2103">
        <v>2.5299999999999998</v>
      </c>
      <c r="G2103">
        <v>6.7999999999999996E-3</v>
      </c>
      <c r="H2103">
        <v>0</v>
      </c>
      <c r="J2103">
        <v>1</v>
      </c>
      <c r="K2103">
        <f>YEAR(NetflixData[[#This Row],[date]])</f>
        <v>2024</v>
      </c>
      <c r="L2103" t="str">
        <f>TEXT(NetflixData[[#This Row],[date]],"mmm")</f>
        <v>Jun</v>
      </c>
      <c r="M2103" t="str">
        <f>TEXT(NetflixData[[#This Row],[date]],"mmm yyyy")</f>
        <v>Jun 2024</v>
      </c>
      <c r="N2103" t="str">
        <f t="shared" si="96"/>
        <v>Trading Day</v>
      </c>
      <c r="O2103" t="str">
        <f t="shared" si="97"/>
        <v>Positive</v>
      </c>
      <c r="P2103" t="str">
        <f t="shared" si="98"/>
        <v>Neutral</v>
      </c>
    </row>
    <row r="2104" spans="1:16" x14ac:dyDescent="0.3">
      <c r="A2104" s="1">
        <v>45457</v>
      </c>
      <c r="B2104">
        <v>66.94</v>
      </c>
      <c r="C2104">
        <v>44471000</v>
      </c>
      <c r="D2104">
        <v>2.1880000000000002</v>
      </c>
      <c r="E2104">
        <v>163</v>
      </c>
      <c r="F2104">
        <v>2.74</v>
      </c>
      <c r="G2104">
        <v>0.1444</v>
      </c>
      <c r="H2104">
        <v>0</v>
      </c>
      <c r="J2104">
        <v>1</v>
      </c>
      <c r="K2104">
        <f>YEAR(NetflixData[[#This Row],[date]])</f>
        <v>2024</v>
      </c>
      <c r="L2104" t="str">
        <f>TEXT(NetflixData[[#This Row],[date]],"mmm")</f>
        <v>Jun</v>
      </c>
      <c r="M2104" t="str">
        <f>TEXT(NetflixData[[#This Row],[date]],"mmm yyyy")</f>
        <v>Jun 2024</v>
      </c>
      <c r="N2104" t="str">
        <f t="shared" si="96"/>
        <v>Non-Trading Day</v>
      </c>
      <c r="O2104" t="str">
        <f t="shared" si="97"/>
        <v>Positive</v>
      </c>
      <c r="P2104" t="str">
        <f t="shared" si="98"/>
        <v>Positive</v>
      </c>
    </row>
    <row r="2105" spans="1:16" x14ac:dyDescent="0.3">
      <c r="A2105" s="1">
        <v>45458</v>
      </c>
      <c r="B2105">
        <v>66.94</v>
      </c>
      <c r="C2105">
        <v>0</v>
      </c>
      <c r="D2105">
        <v>0</v>
      </c>
      <c r="E2105">
        <v>156</v>
      </c>
      <c r="F2105">
        <v>3.13</v>
      </c>
      <c r="G2105">
        <v>0.13469999999999999</v>
      </c>
      <c r="H2105">
        <v>0</v>
      </c>
      <c r="J2105">
        <v>0</v>
      </c>
      <c r="K2105">
        <f>YEAR(NetflixData[[#This Row],[date]])</f>
        <v>2024</v>
      </c>
      <c r="L2105" t="str">
        <f>TEXT(NetflixData[[#This Row],[date]],"mmm")</f>
        <v>Jun</v>
      </c>
      <c r="M2105" t="str">
        <f>TEXT(NetflixData[[#This Row],[date]],"mmm yyyy")</f>
        <v>Jun 2024</v>
      </c>
      <c r="N2105" t="str">
        <f t="shared" si="96"/>
        <v>Non-Trading Day</v>
      </c>
      <c r="O2105" t="str">
        <f t="shared" si="97"/>
        <v>No Change</v>
      </c>
      <c r="P2105" t="str">
        <f t="shared" si="98"/>
        <v>Positive</v>
      </c>
    </row>
    <row r="2106" spans="1:16" x14ac:dyDescent="0.3">
      <c r="A2106" s="1">
        <v>45459</v>
      </c>
      <c r="B2106">
        <v>66.94</v>
      </c>
      <c r="C2106">
        <v>0</v>
      </c>
      <c r="D2106">
        <v>0</v>
      </c>
      <c r="E2106">
        <v>188</v>
      </c>
      <c r="F2106">
        <v>2.81</v>
      </c>
      <c r="G2106">
        <v>9.9699999999999997E-2</v>
      </c>
      <c r="H2106">
        <v>0</v>
      </c>
      <c r="J2106">
        <v>0</v>
      </c>
      <c r="K2106">
        <f>YEAR(NetflixData[[#This Row],[date]])</f>
        <v>2024</v>
      </c>
      <c r="L2106" t="str">
        <f>TEXT(NetflixData[[#This Row],[date]],"mmm")</f>
        <v>Jun</v>
      </c>
      <c r="M2106" t="str">
        <f>TEXT(NetflixData[[#This Row],[date]],"mmm yyyy")</f>
        <v>Jun 2024</v>
      </c>
      <c r="N2106" t="str">
        <f t="shared" si="96"/>
        <v>Trading Day</v>
      </c>
      <c r="O2106" t="str">
        <f t="shared" si="97"/>
        <v>No Change</v>
      </c>
      <c r="P2106" t="str">
        <f t="shared" si="98"/>
        <v>Neutral</v>
      </c>
    </row>
    <row r="2107" spans="1:16" x14ac:dyDescent="0.3">
      <c r="A2107" s="1">
        <v>45460</v>
      </c>
      <c r="B2107">
        <v>67.58</v>
      </c>
      <c r="C2107">
        <v>36312000</v>
      </c>
      <c r="D2107">
        <v>1.004</v>
      </c>
      <c r="E2107">
        <v>138</v>
      </c>
      <c r="F2107">
        <v>2.93</v>
      </c>
      <c r="G2107">
        <v>0.1328</v>
      </c>
      <c r="H2107">
        <v>0</v>
      </c>
      <c r="J2107">
        <v>1</v>
      </c>
      <c r="K2107">
        <f>YEAR(NetflixData[[#This Row],[date]])</f>
        <v>2024</v>
      </c>
      <c r="L2107" t="str">
        <f>TEXT(NetflixData[[#This Row],[date]],"mmm")</f>
        <v>Jun</v>
      </c>
      <c r="M2107" t="str">
        <f>TEXT(NetflixData[[#This Row],[date]],"mmm yyyy")</f>
        <v>Jun 2024</v>
      </c>
      <c r="N2107" t="str">
        <f t="shared" si="96"/>
        <v>Trading Day</v>
      </c>
      <c r="O2107" t="str">
        <f t="shared" si="97"/>
        <v>Positive</v>
      </c>
      <c r="P2107" t="str">
        <f t="shared" si="98"/>
        <v>Positive</v>
      </c>
    </row>
    <row r="2108" spans="1:16" x14ac:dyDescent="0.3">
      <c r="A2108" s="1">
        <v>45461</v>
      </c>
      <c r="B2108">
        <v>68.569999999999993</v>
      </c>
      <c r="C2108">
        <v>29438000</v>
      </c>
      <c r="D2108">
        <v>1.486</v>
      </c>
      <c r="E2108">
        <v>55</v>
      </c>
      <c r="F2108">
        <v>2.56</v>
      </c>
      <c r="G2108">
        <v>8.0699999999999994E-2</v>
      </c>
      <c r="H2108">
        <v>0</v>
      </c>
      <c r="J2108">
        <v>1</v>
      </c>
      <c r="K2108">
        <f>YEAR(NetflixData[[#This Row],[date]])</f>
        <v>2024</v>
      </c>
      <c r="L2108" t="str">
        <f>TEXT(NetflixData[[#This Row],[date]],"mmm")</f>
        <v>Jun</v>
      </c>
      <c r="M2108" t="str">
        <f>TEXT(NetflixData[[#This Row],[date]],"mmm yyyy")</f>
        <v>Jun 2024</v>
      </c>
      <c r="N2108" t="str">
        <f t="shared" si="96"/>
        <v>Non-Trading Day</v>
      </c>
      <c r="O2108" t="str">
        <f t="shared" si="97"/>
        <v>Positive</v>
      </c>
      <c r="P2108" t="str">
        <f t="shared" si="98"/>
        <v>Neutral</v>
      </c>
    </row>
    <row r="2109" spans="1:16" x14ac:dyDescent="0.3">
      <c r="A2109" s="1">
        <v>45462</v>
      </c>
      <c r="B2109">
        <v>68.569999999999993</v>
      </c>
      <c r="C2109">
        <v>0</v>
      </c>
      <c r="D2109">
        <v>0</v>
      </c>
      <c r="E2109">
        <v>0</v>
      </c>
      <c r="H2109">
        <v>0</v>
      </c>
      <c r="J2109">
        <v>0</v>
      </c>
      <c r="K2109">
        <f>YEAR(NetflixData[[#This Row],[date]])</f>
        <v>2024</v>
      </c>
      <c r="L2109" t="str">
        <f>TEXT(NetflixData[[#This Row],[date]],"mmm")</f>
        <v>Jun</v>
      </c>
      <c r="M2109" t="str">
        <f>TEXT(NetflixData[[#This Row],[date]],"mmm yyyy")</f>
        <v>Jun 2024</v>
      </c>
      <c r="N2109" t="str">
        <f t="shared" si="96"/>
        <v>Trading Day</v>
      </c>
      <c r="O2109" t="str">
        <f t="shared" si="97"/>
        <v>No Change</v>
      </c>
      <c r="P2109" t="str">
        <f t="shared" si="98"/>
        <v>Neutral</v>
      </c>
    </row>
    <row r="2110" spans="1:16" x14ac:dyDescent="0.3">
      <c r="A2110" s="1">
        <v>45463</v>
      </c>
      <c r="B2110">
        <v>67.900000000000006</v>
      </c>
      <c r="C2110">
        <v>25851000</v>
      </c>
      <c r="D2110">
        <v>-0.40600000000000003</v>
      </c>
      <c r="E2110">
        <v>0</v>
      </c>
      <c r="H2110">
        <v>0</v>
      </c>
      <c r="J2110">
        <v>1</v>
      </c>
      <c r="K2110">
        <f>YEAR(NetflixData[[#This Row],[date]])</f>
        <v>2024</v>
      </c>
      <c r="L2110" t="str">
        <f>TEXT(NetflixData[[#This Row],[date]],"mmm")</f>
        <v>Jun</v>
      </c>
      <c r="M2110" t="str">
        <f>TEXT(NetflixData[[#This Row],[date]],"mmm yyyy")</f>
        <v>Jun 2024</v>
      </c>
      <c r="N2110" t="str">
        <f t="shared" si="96"/>
        <v>Trading Day</v>
      </c>
      <c r="O2110" t="str">
        <f t="shared" si="97"/>
        <v>Negative</v>
      </c>
      <c r="P2110" t="str">
        <f t="shared" si="98"/>
        <v>Neutral</v>
      </c>
    </row>
    <row r="2111" spans="1:16" x14ac:dyDescent="0.3">
      <c r="A2111" s="1">
        <v>45464</v>
      </c>
      <c r="B2111">
        <v>68.61</v>
      </c>
      <c r="C2111">
        <v>45064000</v>
      </c>
      <c r="D2111">
        <v>0.41899999999999998</v>
      </c>
      <c r="E2111">
        <v>0</v>
      </c>
      <c r="H2111">
        <v>0</v>
      </c>
      <c r="J2111">
        <v>1</v>
      </c>
      <c r="K2111">
        <f>YEAR(NetflixData[[#This Row],[date]])</f>
        <v>2024</v>
      </c>
      <c r="L2111" t="str">
        <f>TEXT(NetflixData[[#This Row],[date]],"mmm")</f>
        <v>Jun</v>
      </c>
      <c r="M2111" t="str">
        <f>TEXT(NetflixData[[#This Row],[date]],"mmm yyyy")</f>
        <v>Jun 2024</v>
      </c>
      <c r="N2111" t="str">
        <f t="shared" si="96"/>
        <v>Non-Trading Day</v>
      </c>
      <c r="O2111" t="str">
        <f t="shared" si="97"/>
        <v>Positive</v>
      </c>
      <c r="P2111" t="str">
        <f t="shared" si="98"/>
        <v>Neutral</v>
      </c>
    </row>
    <row r="2112" spans="1:16" x14ac:dyDescent="0.3">
      <c r="A2112" s="1">
        <v>45465</v>
      </c>
      <c r="B2112">
        <v>68.61</v>
      </c>
      <c r="C2112">
        <v>0</v>
      </c>
      <c r="D2112">
        <v>0</v>
      </c>
      <c r="E2112">
        <v>2</v>
      </c>
      <c r="F2112">
        <v>2</v>
      </c>
      <c r="G2112">
        <v>0.43099999999999999</v>
      </c>
      <c r="H2112">
        <v>0</v>
      </c>
      <c r="J2112">
        <v>0</v>
      </c>
      <c r="K2112">
        <f>YEAR(NetflixData[[#This Row],[date]])</f>
        <v>2024</v>
      </c>
      <c r="L2112" t="str">
        <f>TEXT(NetflixData[[#This Row],[date]],"mmm")</f>
        <v>Jun</v>
      </c>
      <c r="M2112" t="str">
        <f>TEXT(NetflixData[[#This Row],[date]],"mmm yyyy")</f>
        <v>Jun 2024</v>
      </c>
      <c r="N2112" t="str">
        <f t="shared" si="96"/>
        <v>Non-Trading Day</v>
      </c>
      <c r="O2112" t="str">
        <f t="shared" si="97"/>
        <v>No Change</v>
      </c>
      <c r="P2112" t="str">
        <f t="shared" si="98"/>
        <v>Positive</v>
      </c>
    </row>
    <row r="2113" spans="1:16" x14ac:dyDescent="0.3">
      <c r="A2113" s="1">
        <v>45466</v>
      </c>
      <c r="B2113">
        <v>68.61</v>
      </c>
      <c r="C2113">
        <v>0</v>
      </c>
      <c r="D2113">
        <v>0</v>
      </c>
      <c r="E2113">
        <v>0</v>
      </c>
      <c r="H2113">
        <v>0</v>
      </c>
      <c r="J2113">
        <v>0</v>
      </c>
      <c r="K2113">
        <f>YEAR(NetflixData[[#This Row],[date]])</f>
        <v>2024</v>
      </c>
      <c r="L2113" t="str">
        <f>TEXT(NetflixData[[#This Row],[date]],"mmm")</f>
        <v>Jun</v>
      </c>
      <c r="M2113" t="str">
        <f>TEXT(NetflixData[[#This Row],[date]],"mmm yyyy")</f>
        <v>Jun 2024</v>
      </c>
      <c r="N2113" t="str">
        <f t="shared" si="96"/>
        <v>Trading Day</v>
      </c>
      <c r="O2113" t="str">
        <f t="shared" si="97"/>
        <v>No Change</v>
      </c>
      <c r="P2113" t="str">
        <f t="shared" si="98"/>
        <v>Neutral</v>
      </c>
    </row>
    <row r="2114" spans="1:16" x14ac:dyDescent="0.3">
      <c r="A2114" s="1">
        <v>45467</v>
      </c>
      <c r="B2114">
        <v>66.900000000000006</v>
      </c>
      <c r="C2114">
        <v>39163000</v>
      </c>
      <c r="D2114">
        <v>-2.3330000000000002</v>
      </c>
      <c r="E2114">
        <v>1</v>
      </c>
      <c r="F2114">
        <v>5</v>
      </c>
      <c r="G2114">
        <v>0</v>
      </c>
      <c r="H2114">
        <v>0</v>
      </c>
      <c r="J2114">
        <v>1</v>
      </c>
      <c r="K2114">
        <f>YEAR(NetflixData[[#This Row],[date]])</f>
        <v>2024</v>
      </c>
      <c r="L2114" t="str">
        <f>TEXT(NetflixData[[#This Row],[date]],"mmm")</f>
        <v>Jun</v>
      </c>
      <c r="M2114" t="str">
        <f>TEXT(NetflixData[[#This Row],[date]],"mmm yyyy")</f>
        <v>Jun 2024</v>
      </c>
      <c r="N2114" t="str">
        <f t="shared" ref="N2114:N2177" si="99">IF(J2115=1,"Trading Day","Non-Trading Day")</f>
        <v>Trading Day</v>
      </c>
      <c r="O2114" t="str">
        <f t="shared" ref="O2114:O2177" si="100">IF(D2114&gt;0,"Positive",IF(D2114&lt;0,"Negative","No Change"))</f>
        <v>Negative</v>
      </c>
      <c r="P2114" t="str">
        <f t="shared" ref="P2114:P2177" si="101">IF(G2114&gt;0.1,"Positive",IF(G2114&lt;-0.1,"Negative","Neutral"))</f>
        <v>Neutral</v>
      </c>
    </row>
    <row r="2115" spans="1:16" x14ac:dyDescent="0.3">
      <c r="A2115" s="1">
        <v>45468</v>
      </c>
      <c r="B2115">
        <v>67.239999999999995</v>
      </c>
      <c r="C2115">
        <v>22706000</v>
      </c>
      <c r="D2115">
        <v>-0.153</v>
      </c>
      <c r="E2115">
        <v>0</v>
      </c>
      <c r="H2115">
        <v>0</v>
      </c>
      <c r="J2115">
        <v>1</v>
      </c>
      <c r="K2115">
        <f>YEAR(NetflixData[[#This Row],[date]])</f>
        <v>2024</v>
      </c>
      <c r="L2115" t="str">
        <f>TEXT(NetflixData[[#This Row],[date]],"mmm")</f>
        <v>Jun</v>
      </c>
      <c r="M2115" t="str">
        <f>TEXT(NetflixData[[#This Row],[date]],"mmm yyyy")</f>
        <v>Jun 2024</v>
      </c>
      <c r="N2115" t="str">
        <f t="shared" si="99"/>
        <v>Trading Day</v>
      </c>
      <c r="O2115" t="str">
        <f t="shared" si="100"/>
        <v>Negative</v>
      </c>
      <c r="P2115" t="str">
        <f t="shared" si="101"/>
        <v>Neutral</v>
      </c>
    </row>
    <row r="2116" spans="1:16" x14ac:dyDescent="0.3">
      <c r="A2116" s="1">
        <v>45469</v>
      </c>
      <c r="B2116">
        <v>67.77</v>
      </c>
      <c r="C2116">
        <v>35458000</v>
      </c>
      <c r="D2116">
        <v>0.78500000000000003</v>
      </c>
      <c r="E2116">
        <v>1</v>
      </c>
      <c r="F2116">
        <v>5</v>
      </c>
      <c r="G2116">
        <v>0.44040000000000001</v>
      </c>
      <c r="H2116">
        <v>0</v>
      </c>
      <c r="J2116">
        <v>1</v>
      </c>
      <c r="K2116">
        <f>YEAR(NetflixData[[#This Row],[date]])</f>
        <v>2024</v>
      </c>
      <c r="L2116" t="str">
        <f>TEXT(NetflixData[[#This Row],[date]],"mmm")</f>
        <v>Jun</v>
      </c>
      <c r="M2116" t="str">
        <f>TEXT(NetflixData[[#This Row],[date]],"mmm yyyy")</f>
        <v>Jun 2024</v>
      </c>
      <c r="N2116" t="str">
        <f t="shared" si="99"/>
        <v>Trading Day</v>
      </c>
      <c r="O2116" t="str">
        <f t="shared" si="100"/>
        <v>Positive</v>
      </c>
      <c r="P2116" t="str">
        <f t="shared" si="101"/>
        <v>Positive</v>
      </c>
    </row>
    <row r="2117" spans="1:16" x14ac:dyDescent="0.3">
      <c r="A2117" s="1">
        <v>45470</v>
      </c>
      <c r="B2117">
        <v>68.430000000000007</v>
      </c>
      <c r="C2117">
        <v>24048000</v>
      </c>
      <c r="D2117">
        <v>0.73499999999999999</v>
      </c>
      <c r="E2117">
        <v>0</v>
      </c>
      <c r="H2117">
        <v>0</v>
      </c>
      <c r="J2117">
        <v>1</v>
      </c>
      <c r="K2117">
        <f>YEAR(NetflixData[[#This Row],[date]])</f>
        <v>2024</v>
      </c>
      <c r="L2117" t="str">
        <f>TEXT(NetflixData[[#This Row],[date]],"mmm")</f>
        <v>Jun</v>
      </c>
      <c r="M2117" t="str">
        <f>TEXT(NetflixData[[#This Row],[date]],"mmm yyyy")</f>
        <v>Jun 2024</v>
      </c>
      <c r="N2117" t="str">
        <f t="shared" si="99"/>
        <v>Trading Day</v>
      </c>
      <c r="O2117" t="str">
        <f t="shared" si="100"/>
        <v>Positive</v>
      </c>
      <c r="P2117" t="str">
        <f t="shared" si="101"/>
        <v>Neutral</v>
      </c>
    </row>
    <row r="2118" spans="1:16" x14ac:dyDescent="0.3">
      <c r="A2118" s="1">
        <v>45471</v>
      </c>
      <c r="B2118">
        <v>67.489999999999995</v>
      </c>
      <c r="C2118">
        <v>34124000</v>
      </c>
      <c r="D2118">
        <v>-0.60699999999999998</v>
      </c>
      <c r="E2118">
        <v>0</v>
      </c>
      <c r="H2118">
        <v>0</v>
      </c>
      <c r="J2118">
        <v>1</v>
      </c>
      <c r="K2118">
        <f>YEAR(NetflixData[[#This Row],[date]])</f>
        <v>2024</v>
      </c>
      <c r="L2118" t="str">
        <f>TEXT(NetflixData[[#This Row],[date]],"mmm")</f>
        <v>Jun</v>
      </c>
      <c r="M2118" t="str">
        <f>TEXT(NetflixData[[#This Row],[date]],"mmm yyyy")</f>
        <v>Jun 2024</v>
      </c>
      <c r="N2118" t="str">
        <f t="shared" si="99"/>
        <v>Non-Trading Day</v>
      </c>
      <c r="O2118" t="str">
        <f t="shared" si="100"/>
        <v>Negative</v>
      </c>
      <c r="P2118" t="str">
        <f t="shared" si="101"/>
        <v>Neutral</v>
      </c>
    </row>
    <row r="2119" spans="1:16" x14ac:dyDescent="0.3">
      <c r="A2119" s="1">
        <v>45472</v>
      </c>
      <c r="B2119">
        <v>67.489999999999995</v>
      </c>
      <c r="C2119">
        <v>0</v>
      </c>
      <c r="D2119">
        <v>0</v>
      </c>
      <c r="E2119">
        <v>0</v>
      </c>
      <c r="H2119">
        <v>0</v>
      </c>
      <c r="J2119">
        <v>0</v>
      </c>
      <c r="K2119">
        <f>YEAR(NetflixData[[#This Row],[date]])</f>
        <v>2024</v>
      </c>
      <c r="L2119" t="str">
        <f>TEXT(NetflixData[[#This Row],[date]],"mmm")</f>
        <v>Jun</v>
      </c>
      <c r="M2119" t="str">
        <f>TEXT(NetflixData[[#This Row],[date]],"mmm yyyy")</f>
        <v>Jun 2024</v>
      </c>
      <c r="N2119" t="str">
        <f t="shared" si="99"/>
        <v>Non-Trading Day</v>
      </c>
      <c r="O2119" t="str">
        <f t="shared" si="100"/>
        <v>No Change</v>
      </c>
      <c r="P2119" t="str">
        <f t="shared" si="101"/>
        <v>Neutral</v>
      </c>
    </row>
    <row r="2120" spans="1:16" x14ac:dyDescent="0.3">
      <c r="A2120" s="1">
        <v>45473</v>
      </c>
      <c r="B2120">
        <v>67.489999999999995</v>
      </c>
      <c r="C2120">
        <v>0</v>
      </c>
      <c r="D2120">
        <v>0</v>
      </c>
      <c r="E2120">
        <v>0</v>
      </c>
      <c r="H2120">
        <v>0</v>
      </c>
      <c r="J2120">
        <v>0</v>
      </c>
      <c r="K2120">
        <f>YEAR(NetflixData[[#This Row],[date]])</f>
        <v>2024</v>
      </c>
      <c r="L2120" t="str">
        <f>TEXT(NetflixData[[#This Row],[date]],"mmm")</f>
        <v>Jun</v>
      </c>
      <c r="M2120" t="str">
        <f>TEXT(NetflixData[[#This Row],[date]],"mmm yyyy")</f>
        <v>Jun 2024</v>
      </c>
      <c r="N2120" t="str">
        <f t="shared" si="99"/>
        <v>Trading Day</v>
      </c>
      <c r="O2120" t="str">
        <f t="shared" si="100"/>
        <v>No Change</v>
      </c>
      <c r="P2120" t="str">
        <f t="shared" si="101"/>
        <v>Neutral</v>
      </c>
    </row>
    <row r="2121" spans="1:16" x14ac:dyDescent="0.3">
      <c r="A2121" s="1">
        <v>45474</v>
      </c>
      <c r="B2121">
        <v>67.36</v>
      </c>
      <c r="C2121">
        <v>22128000</v>
      </c>
      <c r="D2121">
        <v>-0.19</v>
      </c>
      <c r="E2121">
        <v>0</v>
      </c>
      <c r="H2121">
        <v>0</v>
      </c>
      <c r="J2121">
        <v>1</v>
      </c>
      <c r="K2121">
        <f>YEAR(NetflixData[[#This Row],[date]])</f>
        <v>2024</v>
      </c>
      <c r="L2121" t="str">
        <f>TEXT(NetflixData[[#This Row],[date]],"mmm")</f>
        <v>Jul</v>
      </c>
      <c r="M2121" t="str">
        <f>TEXT(NetflixData[[#This Row],[date]],"mmm yyyy")</f>
        <v>Jul 2024</v>
      </c>
      <c r="N2121" t="str">
        <f t="shared" si="99"/>
        <v>Trading Day</v>
      </c>
      <c r="O2121" t="str">
        <f t="shared" si="100"/>
        <v>Negative</v>
      </c>
      <c r="P2121" t="str">
        <f t="shared" si="101"/>
        <v>Neutral</v>
      </c>
    </row>
    <row r="2122" spans="1:16" x14ac:dyDescent="0.3">
      <c r="A2122" s="1">
        <v>45475</v>
      </c>
      <c r="B2122">
        <v>67.959999999999994</v>
      </c>
      <c r="C2122">
        <v>24114000</v>
      </c>
      <c r="D2122">
        <v>0.89700000000000002</v>
      </c>
      <c r="E2122">
        <v>1</v>
      </c>
      <c r="F2122">
        <v>2</v>
      </c>
      <c r="G2122">
        <v>0.72689999999999999</v>
      </c>
      <c r="H2122">
        <v>0</v>
      </c>
      <c r="J2122">
        <v>1</v>
      </c>
      <c r="K2122">
        <f>YEAR(NetflixData[[#This Row],[date]])</f>
        <v>2024</v>
      </c>
      <c r="L2122" t="str">
        <f>TEXT(NetflixData[[#This Row],[date]],"mmm")</f>
        <v>Jul</v>
      </c>
      <c r="M2122" t="str">
        <f>TEXT(NetflixData[[#This Row],[date]],"mmm yyyy")</f>
        <v>Jul 2024</v>
      </c>
      <c r="N2122" t="str">
        <f t="shared" si="99"/>
        <v>Trading Day</v>
      </c>
      <c r="O2122" t="str">
        <f t="shared" si="100"/>
        <v>Positive</v>
      </c>
      <c r="P2122" t="str">
        <f t="shared" si="101"/>
        <v>Positive</v>
      </c>
    </row>
    <row r="2123" spans="1:16" x14ac:dyDescent="0.3">
      <c r="A2123" s="1">
        <v>45476</v>
      </c>
      <c r="B2123">
        <v>68.25</v>
      </c>
      <c r="C2123">
        <v>14035000</v>
      </c>
      <c r="D2123">
        <v>0.74199999999999999</v>
      </c>
      <c r="E2123">
        <v>2</v>
      </c>
      <c r="F2123">
        <v>4.5</v>
      </c>
      <c r="G2123">
        <v>0.22020000000000001</v>
      </c>
      <c r="H2123">
        <v>0</v>
      </c>
      <c r="J2123">
        <v>1</v>
      </c>
      <c r="K2123">
        <f>YEAR(NetflixData[[#This Row],[date]])</f>
        <v>2024</v>
      </c>
      <c r="L2123" t="str">
        <f>TEXT(NetflixData[[#This Row],[date]],"mmm")</f>
        <v>Jul</v>
      </c>
      <c r="M2123" t="str">
        <f>TEXT(NetflixData[[#This Row],[date]],"mmm yyyy")</f>
        <v>Jul 2024</v>
      </c>
      <c r="N2123" t="str">
        <f t="shared" si="99"/>
        <v>Non-Trading Day</v>
      </c>
      <c r="O2123" t="str">
        <f t="shared" si="100"/>
        <v>Positive</v>
      </c>
      <c r="P2123" t="str">
        <f t="shared" si="101"/>
        <v>Positive</v>
      </c>
    </row>
    <row r="2124" spans="1:16" x14ac:dyDescent="0.3">
      <c r="A2124" s="1">
        <v>45477</v>
      </c>
      <c r="B2124">
        <v>68.25</v>
      </c>
      <c r="C2124">
        <v>0</v>
      </c>
      <c r="D2124">
        <v>0</v>
      </c>
      <c r="E2124">
        <v>0</v>
      </c>
      <c r="H2124">
        <v>0</v>
      </c>
      <c r="J2124">
        <v>0</v>
      </c>
      <c r="K2124">
        <f>YEAR(NetflixData[[#This Row],[date]])</f>
        <v>2024</v>
      </c>
      <c r="L2124" t="str">
        <f>TEXT(NetflixData[[#This Row],[date]],"mmm")</f>
        <v>Jul</v>
      </c>
      <c r="M2124" t="str">
        <f>TEXT(NetflixData[[#This Row],[date]],"mmm yyyy")</f>
        <v>Jul 2024</v>
      </c>
      <c r="N2124" t="str">
        <f t="shared" si="99"/>
        <v>Trading Day</v>
      </c>
      <c r="O2124" t="str">
        <f t="shared" si="100"/>
        <v>No Change</v>
      </c>
      <c r="P2124" t="str">
        <f t="shared" si="101"/>
        <v>Neutral</v>
      </c>
    </row>
    <row r="2125" spans="1:16" x14ac:dyDescent="0.3">
      <c r="A2125" s="1">
        <v>45478</v>
      </c>
      <c r="B2125">
        <v>69.069999999999993</v>
      </c>
      <c r="C2125">
        <v>26591000</v>
      </c>
      <c r="D2125">
        <v>1.1930000000000001</v>
      </c>
      <c r="E2125">
        <v>3</v>
      </c>
      <c r="F2125">
        <v>2.33</v>
      </c>
      <c r="G2125">
        <v>-0.1351</v>
      </c>
      <c r="H2125">
        <v>0</v>
      </c>
      <c r="J2125">
        <v>1</v>
      </c>
      <c r="K2125">
        <f>YEAR(NetflixData[[#This Row],[date]])</f>
        <v>2024</v>
      </c>
      <c r="L2125" t="str">
        <f>TEXT(NetflixData[[#This Row],[date]],"mmm")</f>
        <v>Jul</v>
      </c>
      <c r="M2125" t="str">
        <f>TEXT(NetflixData[[#This Row],[date]],"mmm yyyy")</f>
        <v>Jul 2024</v>
      </c>
      <c r="N2125" t="str">
        <f t="shared" si="99"/>
        <v>Non-Trading Day</v>
      </c>
      <c r="O2125" t="str">
        <f t="shared" si="100"/>
        <v>Positive</v>
      </c>
      <c r="P2125" t="str">
        <f t="shared" si="101"/>
        <v>Negative</v>
      </c>
    </row>
    <row r="2126" spans="1:16" x14ac:dyDescent="0.3">
      <c r="A2126" s="1">
        <v>45479</v>
      </c>
      <c r="B2126">
        <v>69.069999999999993</v>
      </c>
      <c r="C2126">
        <v>0</v>
      </c>
      <c r="D2126">
        <v>0</v>
      </c>
      <c r="E2126">
        <v>1</v>
      </c>
      <c r="F2126">
        <v>5</v>
      </c>
      <c r="G2126">
        <v>0.62490000000000001</v>
      </c>
      <c r="H2126">
        <v>0</v>
      </c>
      <c r="J2126">
        <v>0</v>
      </c>
      <c r="K2126">
        <f>YEAR(NetflixData[[#This Row],[date]])</f>
        <v>2024</v>
      </c>
      <c r="L2126" t="str">
        <f>TEXT(NetflixData[[#This Row],[date]],"mmm")</f>
        <v>Jul</v>
      </c>
      <c r="M2126" t="str">
        <f>TEXT(NetflixData[[#This Row],[date]],"mmm yyyy")</f>
        <v>Jul 2024</v>
      </c>
      <c r="N2126" t="str">
        <f t="shared" si="99"/>
        <v>Non-Trading Day</v>
      </c>
      <c r="O2126" t="str">
        <f t="shared" si="100"/>
        <v>No Change</v>
      </c>
      <c r="P2126" t="str">
        <f t="shared" si="101"/>
        <v>Positive</v>
      </c>
    </row>
    <row r="2127" spans="1:16" x14ac:dyDescent="0.3">
      <c r="A2127" s="1">
        <v>45480</v>
      </c>
      <c r="B2127">
        <v>69.069999999999993</v>
      </c>
      <c r="C2127">
        <v>0</v>
      </c>
      <c r="D2127">
        <v>0</v>
      </c>
      <c r="E2127">
        <v>3</v>
      </c>
      <c r="F2127">
        <v>4</v>
      </c>
      <c r="G2127">
        <v>0.311</v>
      </c>
      <c r="H2127">
        <v>0</v>
      </c>
      <c r="J2127">
        <v>0</v>
      </c>
      <c r="K2127">
        <f>YEAR(NetflixData[[#This Row],[date]])</f>
        <v>2024</v>
      </c>
      <c r="L2127" t="str">
        <f>TEXT(NetflixData[[#This Row],[date]],"mmm")</f>
        <v>Jul</v>
      </c>
      <c r="M2127" t="str">
        <f>TEXT(NetflixData[[#This Row],[date]],"mmm yyyy")</f>
        <v>Jul 2024</v>
      </c>
      <c r="N2127" t="str">
        <f t="shared" si="99"/>
        <v>Trading Day</v>
      </c>
      <c r="O2127" t="str">
        <f t="shared" si="100"/>
        <v>No Change</v>
      </c>
      <c r="P2127" t="str">
        <f t="shared" si="101"/>
        <v>Positive</v>
      </c>
    </row>
    <row r="2128" spans="1:16" x14ac:dyDescent="0.3">
      <c r="A2128" s="1">
        <v>45481</v>
      </c>
      <c r="B2128">
        <v>68.569999999999993</v>
      </c>
      <c r="C2128">
        <v>19308000</v>
      </c>
      <c r="D2128">
        <v>-0.183</v>
      </c>
      <c r="E2128">
        <v>1</v>
      </c>
      <c r="F2128">
        <v>1</v>
      </c>
      <c r="G2128">
        <v>-0.67049999999999998</v>
      </c>
      <c r="H2128">
        <v>0</v>
      </c>
      <c r="J2128">
        <v>1</v>
      </c>
      <c r="K2128">
        <f>YEAR(NetflixData[[#This Row],[date]])</f>
        <v>2024</v>
      </c>
      <c r="L2128" t="str">
        <f>TEXT(NetflixData[[#This Row],[date]],"mmm")</f>
        <v>Jul</v>
      </c>
      <c r="M2128" t="str">
        <f>TEXT(NetflixData[[#This Row],[date]],"mmm yyyy")</f>
        <v>Jul 2024</v>
      </c>
      <c r="N2128" t="str">
        <f t="shared" si="99"/>
        <v>Trading Day</v>
      </c>
      <c r="O2128" t="str">
        <f t="shared" si="100"/>
        <v>Negative</v>
      </c>
      <c r="P2128" t="str">
        <f t="shared" si="101"/>
        <v>Negative</v>
      </c>
    </row>
    <row r="2129" spans="1:16" x14ac:dyDescent="0.3">
      <c r="A2129" s="1">
        <v>45482</v>
      </c>
      <c r="B2129">
        <v>68.569999999999993</v>
      </c>
      <c r="C2129">
        <v>25961000</v>
      </c>
      <c r="D2129">
        <v>-0.61699999999999999</v>
      </c>
      <c r="E2129">
        <v>0</v>
      </c>
      <c r="H2129">
        <v>0</v>
      </c>
      <c r="J2129">
        <v>1</v>
      </c>
      <c r="K2129">
        <f>YEAR(NetflixData[[#This Row],[date]])</f>
        <v>2024</v>
      </c>
      <c r="L2129" t="str">
        <f>TEXT(NetflixData[[#This Row],[date]],"mmm")</f>
        <v>Jul</v>
      </c>
      <c r="M2129" t="str">
        <f>TEXT(NetflixData[[#This Row],[date]],"mmm yyyy")</f>
        <v>Jul 2024</v>
      </c>
      <c r="N2129" t="str">
        <f t="shared" si="99"/>
        <v>Trading Day</v>
      </c>
      <c r="O2129" t="str">
        <f t="shared" si="100"/>
        <v>Negative</v>
      </c>
      <c r="P2129" t="str">
        <f t="shared" si="101"/>
        <v>Neutral</v>
      </c>
    </row>
    <row r="2130" spans="1:16" x14ac:dyDescent="0.3">
      <c r="A2130" s="1">
        <v>45483</v>
      </c>
      <c r="B2130">
        <v>67.760000000000005</v>
      </c>
      <c r="C2130">
        <v>26519000</v>
      </c>
      <c r="D2130">
        <v>-1.0760000000000001</v>
      </c>
      <c r="E2130">
        <v>2</v>
      </c>
      <c r="F2130">
        <v>3.5</v>
      </c>
      <c r="G2130">
        <v>0.63139999999999996</v>
      </c>
      <c r="H2130">
        <v>0</v>
      </c>
      <c r="J2130">
        <v>1</v>
      </c>
      <c r="K2130">
        <f>YEAR(NetflixData[[#This Row],[date]])</f>
        <v>2024</v>
      </c>
      <c r="L2130" t="str">
        <f>TEXT(NetflixData[[#This Row],[date]],"mmm")</f>
        <v>Jul</v>
      </c>
      <c r="M2130" t="str">
        <f>TEXT(NetflixData[[#This Row],[date]],"mmm yyyy")</f>
        <v>Jul 2024</v>
      </c>
      <c r="N2130" t="str">
        <f t="shared" si="99"/>
        <v>Trading Day</v>
      </c>
      <c r="O2130" t="str">
        <f t="shared" si="100"/>
        <v>Negative</v>
      </c>
      <c r="P2130" t="str">
        <f t="shared" si="101"/>
        <v>Positive</v>
      </c>
    </row>
    <row r="2131" spans="1:16" x14ac:dyDescent="0.3">
      <c r="A2131" s="1">
        <v>45484</v>
      </c>
      <c r="B2131">
        <v>65.28</v>
      </c>
      <c r="C2131">
        <v>51066000</v>
      </c>
      <c r="D2131">
        <v>-2.9350000000000001</v>
      </c>
      <c r="E2131">
        <v>0</v>
      </c>
      <c r="H2131">
        <v>0</v>
      </c>
      <c r="J2131">
        <v>1</v>
      </c>
      <c r="K2131">
        <f>YEAR(NetflixData[[#This Row],[date]])</f>
        <v>2024</v>
      </c>
      <c r="L2131" t="str">
        <f>TEXT(NetflixData[[#This Row],[date]],"mmm")</f>
        <v>Jul</v>
      </c>
      <c r="M2131" t="str">
        <f>TEXT(NetflixData[[#This Row],[date]],"mmm yyyy")</f>
        <v>Jul 2024</v>
      </c>
      <c r="N2131" t="str">
        <f t="shared" si="99"/>
        <v>Trading Day</v>
      </c>
      <c r="O2131" t="str">
        <f t="shared" si="100"/>
        <v>Negative</v>
      </c>
      <c r="P2131" t="str">
        <f t="shared" si="101"/>
        <v>Neutral</v>
      </c>
    </row>
    <row r="2132" spans="1:16" x14ac:dyDescent="0.3">
      <c r="A2132" s="1">
        <v>45485</v>
      </c>
      <c r="B2132">
        <v>64.760000000000005</v>
      </c>
      <c r="C2132">
        <v>33552000</v>
      </c>
      <c r="D2132">
        <v>-0.78900000000000003</v>
      </c>
      <c r="E2132">
        <v>0</v>
      </c>
      <c r="H2132">
        <v>0</v>
      </c>
      <c r="J2132">
        <v>1</v>
      </c>
      <c r="K2132">
        <f>YEAR(NetflixData[[#This Row],[date]])</f>
        <v>2024</v>
      </c>
      <c r="L2132" t="str">
        <f>TEXT(NetflixData[[#This Row],[date]],"mmm")</f>
        <v>Jul</v>
      </c>
      <c r="M2132" t="str">
        <f>TEXT(NetflixData[[#This Row],[date]],"mmm yyyy")</f>
        <v>Jul 2024</v>
      </c>
      <c r="N2132" t="str">
        <f t="shared" si="99"/>
        <v>Non-Trading Day</v>
      </c>
      <c r="O2132" t="str">
        <f t="shared" si="100"/>
        <v>Negative</v>
      </c>
      <c r="P2132" t="str">
        <f t="shared" si="101"/>
        <v>Neutral</v>
      </c>
    </row>
    <row r="2133" spans="1:16" x14ac:dyDescent="0.3">
      <c r="A2133" s="1">
        <v>45486</v>
      </c>
      <c r="B2133">
        <v>64.760000000000005</v>
      </c>
      <c r="C2133">
        <v>0</v>
      </c>
      <c r="D2133">
        <v>0</v>
      </c>
      <c r="E2133">
        <v>0</v>
      </c>
      <c r="H2133">
        <v>0</v>
      </c>
      <c r="J2133">
        <v>0</v>
      </c>
      <c r="K2133">
        <f>YEAR(NetflixData[[#This Row],[date]])</f>
        <v>2024</v>
      </c>
      <c r="L2133" t="str">
        <f>TEXT(NetflixData[[#This Row],[date]],"mmm")</f>
        <v>Jul</v>
      </c>
      <c r="M2133" t="str">
        <f>TEXT(NetflixData[[#This Row],[date]],"mmm yyyy")</f>
        <v>Jul 2024</v>
      </c>
      <c r="N2133" t="str">
        <f t="shared" si="99"/>
        <v>Non-Trading Day</v>
      </c>
      <c r="O2133" t="str">
        <f t="shared" si="100"/>
        <v>No Change</v>
      </c>
      <c r="P2133" t="str">
        <f t="shared" si="101"/>
        <v>Neutral</v>
      </c>
    </row>
    <row r="2134" spans="1:16" x14ac:dyDescent="0.3">
      <c r="A2134" s="1">
        <v>45487</v>
      </c>
      <c r="B2134">
        <v>64.760000000000005</v>
      </c>
      <c r="C2134">
        <v>0</v>
      </c>
      <c r="D2134">
        <v>0</v>
      </c>
      <c r="E2134">
        <v>1</v>
      </c>
      <c r="F2134">
        <v>4</v>
      </c>
      <c r="G2134">
        <v>0</v>
      </c>
      <c r="H2134">
        <v>0</v>
      </c>
      <c r="J2134">
        <v>0</v>
      </c>
      <c r="K2134">
        <f>YEAR(NetflixData[[#This Row],[date]])</f>
        <v>2024</v>
      </c>
      <c r="L2134" t="str">
        <f>TEXT(NetflixData[[#This Row],[date]],"mmm")</f>
        <v>Jul</v>
      </c>
      <c r="M2134" t="str">
        <f>TEXT(NetflixData[[#This Row],[date]],"mmm yyyy")</f>
        <v>Jul 2024</v>
      </c>
      <c r="N2134" t="str">
        <f t="shared" si="99"/>
        <v>Trading Day</v>
      </c>
      <c r="O2134" t="str">
        <f t="shared" si="100"/>
        <v>No Change</v>
      </c>
      <c r="P2134" t="str">
        <f t="shared" si="101"/>
        <v>Neutral</v>
      </c>
    </row>
    <row r="2135" spans="1:16" x14ac:dyDescent="0.3">
      <c r="A2135" s="1">
        <v>45488</v>
      </c>
      <c r="B2135">
        <v>65.64</v>
      </c>
      <c r="C2135">
        <v>32088000</v>
      </c>
      <c r="D2135">
        <v>1.3819999999999999</v>
      </c>
      <c r="E2135">
        <v>0</v>
      </c>
      <c r="H2135">
        <v>0</v>
      </c>
      <c r="J2135">
        <v>1</v>
      </c>
      <c r="K2135">
        <f>YEAR(NetflixData[[#This Row],[date]])</f>
        <v>2024</v>
      </c>
      <c r="L2135" t="str">
        <f>TEXT(NetflixData[[#This Row],[date]],"mmm")</f>
        <v>Jul</v>
      </c>
      <c r="M2135" t="str">
        <f>TEXT(NetflixData[[#This Row],[date]],"mmm yyyy")</f>
        <v>Jul 2024</v>
      </c>
      <c r="N2135" t="str">
        <f t="shared" si="99"/>
        <v>Trading Day</v>
      </c>
      <c r="O2135" t="str">
        <f t="shared" si="100"/>
        <v>Positive</v>
      </c>
      <c r="P2135" t="str">
        <f t="shared" si="101"/>
        <v>Neutral</v>
      </c>
    </row>
    <row r="2136" spans="1:16" x14ac:dyDescent="0.3">
      <c r="A2136" s="1">
        <v>45489</v>
      </c>
      <c r="B2136">
        <v>65.63</v>
      </c>
      <c r="C2136">
        <v>26857000</v>
      </c>
      <c r="D2136">
        <v>-0.82799999999999996</v>
      </c>
      <c r="E2136">
        <v>0</v>
      </c>
      <c r="H2136">
        <v>0</v>
      </c>
      <c r="J2136">
        <v>1</v>
      </c>
      <c r="K2136">
        <f>YEAR(NetflixData[[#This Row],[date]])</f>
        <v>2024</v>
      </c>
      <c r="L2136" t="str">
        <f>TEXT(NetflixData[[#This Row],[date]],"mmm")</f>
        <v>Jul</v>
      </c>
      <c r="M2136" t="str">
        <f>TEXT(NetflixData[[#This Row],[date]],"mmm yyyy")</f>
        <v>Jul 2024</v>
      </c>
      <c r="N2136" t="str">
        <f t="shared" si="99"/>
        <v>Trading Day</v>
      </c>
      <c r="O2136" t="str">
        <f t="shared" si="100"/>
        <v>Negative</v>
      </c>
      <c r="P2136" t="str">
        <f t="shared" si="101"/>
        <v>Neutral</v>
      </c>
    </row>
    <row r="2137" spans="1:16" x14ac:dyDescent="0.3">
      <c r="A2137" s="1">
        <v>45490</v>
      </c>
      <c r="B2137">
        <v>64.75</v>
      </c>
      <c r="C2137">
        <v>40173000</v>
      </c>
      <c r="D2137">
        <v>-0.39100000000000001</v>
      </c>
      <c r="E2137">
        <v>0</v>
      </c>
      <c r="H2137">
        <v>0</v>
      </c>
      <c r="J2137">
        <v>1</v>
      </c>
      <c r="K2137">
        <f>YEAR(NetflixData[[#This Row],[date]])</f>
        <v>2024</v>
      </c>
      <c r="L2137" t="str">
        <f>TEXT(NetflixData[[#This Row],[date]],"mmm")</f>
        <v>Jul</v>
      </c>
      <c r="M2137" t="str">
        <f>TEXT(NetflixData[[#This Row],[date]],"mmm yyyy")</f>
        <v>Jul 2024</v>
      </c>
      <c r="N2137" t="str">
        <f t="shared" si="99"/>
        <v>Trading Day</v>
      </c>
      <c r="O2137" t="str">
        <f t="shared" si="100"/>
        <v>Negative</v>
      </c>
      <c r="P2137" t="str">
        <f t="shared" si="101"/>
        <v>Neutral</v>
      </c>
    </row>
    <row r="2138" spans="1:16" x14ac:dyDescent="0.3">
      <c r="A2138" s="1">
        <v>45491</v>
      </c>
      <c r="B2138">
        <v>64.3</v>
      </c>
      <c r="C2138">
        <v>75758000</v>
      </c>
      <c r="D2138">
        <v>-2.0649999999999999</v>
      </c>
      <c r="E2138">
        <v>0</v>
      </c>
      <c r="H2138">
        <v>0</v>
      </c>
      <c r="J2138">
        <v>1</v>
      </c>
      <c r="K2138">
        <f>YEAR(NetflixData[[#This Row],[date]])</f>
        <v>2024</v>
      </c>
      <c r="L2138" t="str">
        <f>TEXT(NetflixData[[#This Row],[date]],"mmm")</f>
        <v>Jul</v>
      </c>
      <c r="M2138" t="str">
        <f>TEXT(NetflixData[[#This Row],[date]],"mmm yyyy")</f>
        <v>Jul 2024</v>
      </c>
      <c r="N2138" t="str">
        <f t="shared" si="99"/>
        <v>Trading Day</v>
      </c>
      <c r="O2138" t="str">
        <f t="shared" si="100"/>
        <v>Negative</v>
      </c>
      <c r="P2138" t="str">
        <f t="shared" si="101"/>
        <v>Neutral</v>
      </c>
    </row>
    <row r="2139" spans="1:16" x14ac:dyDescent="0.3">
      <c r="A2139" s="1">
        <v>45492</v>
      </c>
      <c r="B2139">
        <v>63.33</v>
      </c>
      <c r="C2139">
        <v>98156000</v>
      </c>
      <c r="D2139">
        <v>-4.1319999999999997</v>
      </c>
      <c r="E2139">
        <v>0</v>
      </c>
      <c r="H2139">
        <v>0</v>
      </c>
      <c r="J2139">
        <v>1</v>
      </c>
      <c r="K2139">
        <f>YEAR(NetflixData[[#This Row],[date]])</f>
        <v>2024</v>
      </c>
      <c r="L2139" t="str">
        <f>TEXT(NetflixData[[#This Row],[date]],"mmm")</f>
        <v>Jul</v>
      </c>
      <c r="M2139" t="str">
        <f>TEXT(NetflixData[[#This Row],[date]],"mmm yyyy")</f>
        <v>Jul 2024</v>
      </c>
      <c r="N2139" t="str">
        <f t="shared" si="99"/>
        <v>Non-Trading Day</v>
      </c>
      <c r="O2139" t="str">
        <f t="shared" si="100"/>
        <v>Negative</v>
      </c>
      <c r="P2139" t="str">
        <f t="shared" si="101"/>
        <v>Neutral</v>
      </c>
    </row>
    <row r="2140" spans="1:16" x14ac:dyDescent="0.3">
      <c r="A2140" s="1">
        <v>45493</v>
      </c>
      <c r="B2140">
        <v>63.33</v>
      </c>
      <c r="C2140">
        <v>0</v>
      </c>
      <c r="D2140">
        <v>0</v>
      </c>
      <c r="E2140">
        <v>0</v>
      </c>
      <c r="H2140">
        <v>0</v>
      </c>
      <c r="J2140">
        <v>0</v>
      </c>
      <c r="K2140">
        <f>YEAR(NetflixData[[#This Row],[date]])</f>
        <v>2024</v>
      </c>
      <c r="L2140" t="str">
        <f>TEXT(NetflixData[[#This Row],[date]],"mmm")</f>
        <v>Jul</v>
      </c>
      <c r="M2140" t="str">
        <f>TEXT(NetflixData[[#This Row],[date]],"mmm yyyy")</f>
        <v>Jul 2024</v>
      </c>
      <c r="N2140" t="str">
        <f t="shared" si="99"/>
        <v>Non-Trading Day</v>
      </c>
      <c r="O2140" t="str">
        <f t="shared" si="100"/>
        <v>No Change</v>
      </c>
      <c r="P2140" t="str">
        <f t="shared" si="101"/>
        <v>Neutral</v>
      </c>
    </row>
    <row r="2141" spans="1:16" x14ac:dyDescent="0.3">
      <c r="A2141" s="1">
        <v>45494</v>
      </c>
      <c r="B2141">
        <v>63.33</v>
      </c>
      <c r="C2141">
        <v>0</v>
      </c>
      <c r="D2141">
        <v>0</v>
      </c>
      <c r="E2141">
        <v>1</v>
      </c>
      <c r="F2141">
        <v>5</v>
      </c>
      <c r="G2141">
        <v>0.63690000000000002</v>
      </c>
      <c r="H2141">
        <v>0</v>
      </c>
      <c r="J2141">
        <v>0</v>
      </c>
      <c r="K2141">
        <f>YEAR(NetflixData[[#This Row],[date]])</f>
        <v>2024</v>
      </c>
      <c r="L2141" t="str">
        <f>TEXT(NetflixData[[#This Row],[date]],"mmm")</f>
        <v>Jul</v>
      </c>
      <c r="M2141" t="str">
        <f>TEXT(NetflixData[[#This Row],[date]],"mmm yyyy")</f>
        <v>Jul 2024</v>
      </c>
      <c r="N2141" t="str">
        <f t="shared" si="99"/>
        <v>Trading Day</v>
      </c>
      <c r="O2141" t="str">
        <f t="shared" si="100"/>
        <v>No Change</v>
      </c>
      <c r="P2141" t="str">
        <f t="shared" si="101"/>
        <v>Positive</v>
      </c>
    </row>
    <row r="2142" spans="1:16" x14ac:dyDescent="0.3">
      <c r="A2142" s="1">
        <v>45495</v>
      </c>
      <c r="B2142">
        <v>64.75</v>
      </c>
      <c r="C2142">
        <v>52191000</v>
      </c>
      <c r="D2142">
        <v>1.2509999999999999</v>
      </c>
      <c r="E2142">
        <v>1</v>
      </c>
      <c r="F2142">
        <v>5</v>
      </c>
      <c r="G2142">
        <v>0.72689999999999999</v>
      </c>
      <c r="H2142">
        <v>0</v>
      </c>
      <c r="J2142">
        <v>1</v>
      </c>
      <c r="K2142">
        <f>YEAR(NetflixData[[#This Row],[date]])</f>
        <v>2024</v>
      </c>
      <c r="L2142" t="str">
        <f>TEXT(NetflixData[[#This Row],[date]],"mmm")</f>
        <v>Jul</v>
      </c>
      <c r="M2142" t="str">
        <f>TEXT(NetflixData[[#This Row],[date]],"mmm yyyy")</f>
        <v>Jul 2024</v>
      </c>
      <c r="N2142" t="str">
        <f t="shared" si="99"/>
        <v>Trading Day</v>
      </c>
      <c r="O2142" t="str">
        <f t="shared" si="100"/>
        <v>Positive</v>
      </c>
      <c r="P2142" t="str">
        <f t="shared" si="101"/>
        <v>Positive</v>
      </c>
    </row>
    <row r="2143" spans="1:16" x14ac:dyDescent="0.3">
      <c r="A2143" s="1">
        <v>45496</v>
      </c>
      <c r="B2143">
        <v>64.28</v>
      </c>
      <c r="C2143">
        <v>24636000</v>
      </c>
      <c r="D2143">
        <v>-0.73199999999999998</v>
      </c>
      <c r="E2143">
        <v>1</v>
      </c>
      <c r="F2143">
        <v>5</v>
      </c>
      <c r="G2143">
        <v>0.49270000000000003</v>
      </c>
      <c r="H2143">
        <v>0</v>
      </c>
      <c r="J2143">
        <v>1</v>
      </c>
      <c r="K2143">
        <f>YEAR(NetflixData[[#This Row],[date]])</f>
        <v>2024</v>
      </c>
      <c r="L2143" t="str">
        <f>TEXT(NetflixData[[#This Row],[date]],"mmm")</f>
        <v>Jul</v>
      </c>
      <c r="M2143" t="str">
        <f>TEXT(NetflixData[[#This Row],[date]],"mmm yyyy")</f>
        <v>Jul 2024</v>
      </c>
      <c r="N2143" t="str">
        <f t="shared" si="99"/>
        <v>Trading Day</v>
      </c>
      <c r="O2143" t="str">
        <f t="shared" si="100"/>
        <v>Negative</v>
      </c>
      <c r="P2143" t="str">
        <f t="shared" si="101"/>
        <v>Positive</v>
      </c>
    </row>
    <row r="2144" spans="1:16" x14ac:dyDescent="0.3">
      <c r="A2144" s="1">
        <v>45497</v>
      </c>
      <c r="B2144">
        <v>63.6</v>
      </c>
      <c r="C2144">
        <v>48882000</v>
      </c>
      <c r="D2144">
        <v>3.9E-2</v>
      </c>
      <c r="E2144">
        <v>2</v>
      </c>
      <c r="F2144">
        <v>2.5</v>
      </c>
      <c r="G2144">
        <v>0.47560000000000002</v>
      </c>
      <c r="H2144">
        <v>0</v>
      </c>
      <c r="J2144">
        <v>1</v>
      </c>
      <c r="K2144">
        <f>YEAR(NetflixData[[#This Row],[date]])</f>
        <v>2024</v>
      </c>
      <c r="L2144" t="str">
        <f>TEXT(NetflixData[[#This Row],[date]],"mmm")</f>
        <v>Jul</v>
      </c>
      <c r="M2144" t="str">
        <f>TEXT(NetflixData[[#This Row],[date]],"mmm yyyy")</f>
        <v>Jul 2024</v>
      </c>
      <c r="N2144" t="str">
        <f t="shared" si="99"/>
        <v>Trading Day</v>
      </c>
      <c r="O2144" t="str">
        <f t="shared" si="100"/>
        <v>Positive</v>
      </c>
      <c r="P2144" t="str">
        <f t="shared" si="101"/>
        <v>Positive</v>
      </c>
    </row>
    <row r="2145" spans="1:16" x14ac:dyDescent="0.3">
      <c r="A2145" s="1">
        <v>45498</v>
      </c>
      <c r="B2145">
        <v>63.41</v>
      </c>
      <c r="C2145">
        <v>45545000</v>
      </c>
      <c r="D2145">
        <v>-1.0780000000000001</v>
      </c>
      <c r="E2145">
        <v>0</v>
      </c>
      <c r="H2145">
        <v>0</v>
      </c>
      <c r="J2145">
        <v>1</v>
      </c>
      <c r="K2145">
        <f>YEAR(NetflixData[[#This Row],[date]])</f>
        <v>2024</v>
      </c>
      <c r="L2145" t="str">
        <f>TEXT(NetflixData[[#This Row],[date]],"mmm")</f>
        <v>Jul</v>
      </c>
      <c r="M2145" t="str">
        <f>TEXT(NetflixData[[#This Row],[date]],"mmm yyyy")</f>
        <v>Jul 2024</v>
      </c>
      <c r="N2145" t="str">
        <f t="shared" si="99"/>
        <v>Trading Day</v>
      </c>
      <c r="O2145" t="str">
        <f t="shared" si="100"/>
        <v>Negative</v>
      </c>
      <c r="P2145" t="str">
        <f t="shared" si="101"/>
        <v>Neutral</v>
      </c>
    </row>
    <row r="2146" spans="1:16" x14ac:dyDescent="0.3">
      <c r="A2146" s="1">
        <v>45499</v>
      </c>
      <c r="B2146">
        <v>63.14</v>
      </c>
      <c r="C2146">
        <v>31207000</v>
      </c>
      <c r="D2146">
        <v>-2.113</v>
      </c>
      <c r="E2146">
        <v>0</v>
      </c>
      <c r="H2146">
        <v>0</v>
      </c>
      <c r="J2146">
        <v>1</v>
      </c>
      <c r="K2146">
        <f>YEAR(NetflixData[[#This Row],[date]])</f>
        <v>2024</v>
      </c>
      <c r="L2146" t="str">
        <f>TEXT(NetflixData[[#This Row],[date]],"mmm")</f>
        <v>Jul</v>
      </c>
      <c r="M2146" t="str">
        <f>TEXT(NetflixData[[#This Row],[date]],"mmm yyyy")</f>
        <v>Jul 2024</v>
      </c>
      <c r="N2146" t="str">
        <f t="shared" si="99"/>
        <v>Non-Trading Day</v>
      </c>
      <c r="O2146" t="str">
        <f t="shared" si="100"/>
        <v>Negative</v>
      </c>
      <c r="P2146" t="str">
        <f t="shared" si="101"/>
        <v>Neutral</v>
      </c>
    </row>
    <row r="2147" spans="1:16" x14ac:dyDescent="0.3">
      <c r="A2147" s="1">
        <v>45500</v>
      </c>
      <c r="B2147">
        <v>63.14</v>
      </c>
      <c r="C2147">
        <v>0</v>
      </c>
      <c r="D2147">
        <v>0</v>
      </c>
      <c r="E2147">
        <v>0</v>
      </c>
      <c r="H2147">
        <v>0</v>
      </c>
      <c r="J2147">
        <v>0</v>
      </c>
      <c r="K2147">
        <f>YEAR(NetflixData[[#This Row],[date]])</f>
        <v>2024</v>
      </c>
      <c r="L2147" t="str">
        <f>TEXT(NetflixData[[#This Row],[date]],"mmm")</f>
        <v>Jul</v>
      </c>
      <c r="M2147" t="str">
        <f>TEXT(NetflixData[[#This Row],[date]],"mmm yyyy")</f>
        <v>Jul 2024</v>
      </c>
      <c r="N2147" t="str">
        <f t="shared" si="99"/>
        <v>Non-Trading Day</v>
      </c>
      <c r="O2147" t="str">
        <f t="shared" si="100"/>
        <v>No Change</v>
      </c>
      <c r="P2147" t="str">
        <f t="shared" si="101"/>
        <v>Neutral</v>
      </c>
    </row>
    <row r="2148" spans="1:16" x14ac:dyDescent="0.3">
      <c r="A2148" s="1">
        <v>45501</v>
      </c>
      <c r="B2148">
        <v>63.14</v>
      </c>
      <c r="C2148">
        <v>0</v>
      </c>
      <c r="D2148">
        <v>0</v>
      </c>
      <c r="E2148">
        <v>1</v>
      </c>
      <c r="F2148">
        <v>5</v>
      </c>
      <c r="G2148">
        <v>0.40189999999999998</v>
      </c>
      <c r="H2148">
        <v>0</v>
      </c>
      <c r="J2148">
        <v>0</v>
      </c>
      <c r="K2148">
        <f>YEAR(NetflixData[[#This Row],[date]])</f>
        <v>2024</v>
      </c>
      <c r="L2148" t="str">
        <f>TEXT(NetflixData[[#This Row],[date]],"mmm")</f>
        <v>Jul</v>
      </c>
      <c r="M2148" t="str">
        <f>TEXT(NetflixData[[#This Row],[date]],"mmm yyyy")</f>
        <v>Jul 2024</v>
      </c>
      <c r="N2148" t="str">
        <f t="shared" si="99"/>
        <v>Trading Day</v>
      </c>
      <c r="O2148" t="str">
        <f t="shared" si="100"/>
        <v>No Change</v>
      </c>
      <c r="P2148" t="str">
        <f t="shared" si="101"/>
        <v>Positive</v>
      </c>
    </row>
    <row r="2149" spans="1:16" x14ac:dyDescent="0.3">
      <c r="A2149" s="1">
        <v>45502</v>
      </c>
      <c r="B2149">
        <v>62.7</v>
      </c>
      <c r="C2149">
        <v>24005000</v>
      </c>
      <c r="D2149">
        <v>-1.2050000000000001</v>
      </c>
      <c r="E2149">
        <v>2</v>
      </c>
      <c r="F2149">
        <v>2</v>
      </c>
      <c r="G2149">
        <v>0.22020000000000001</v>
      </c>
      <c r="H2149">
        <v>0</v>
      </c>
      <c r="J2149">
        <v>1</v>
      </c>
      <c r="K2149">
        <f>YEAR(NetflixData[[#This Row],[date]])</f>
        <v>2024</v>
      </c>
      <c r="L2149" t="str">
        <f>TEXT(NetflixData[[#This Row],[date]],"mmm")</f>
        <v>Jul</v>
      </c>
      <c r="M2149" t="str">
        <f>TEXT(NetflixData[[#This Row],[date]],"mmm yyyy")</f>
        <v>Jul 2024</v>
      </c>
      <c r="N2149" t="str">
        <f t="shared" si="99"/>
        <v>Trading Day</v>
      </c>
      <c r="O2149" t="str">
        <f t="shared" si="100"/>
        <v>Negative</v>
      </c>
      <c r="P2149" t="str">
        <f t="shared" si="101"/>
        <v>Positive</v>
      </c>
    </row>
    <row r="2150" spans="1:16" x14ac:dyDescent="0.3">
      <c r="A2150" s="1">
        <v>45503</v>
      </c>
      <c r="B2150">
        <v>62.26</v>
      </c>
      <c r="C2150">
        <v>34966000</v>
      </c>
      <c r="D2150">
        <v>-1.204</v>
      </c>
      <c r="E2150">
        <v>1</v>
      </c>
      <c r="F2150">
        <v>5</v>
      </c>
      <c r="G2150">
        <v>0.77829999999999999</v>
      </c>
      <c r="H2150">
        <v>0</v>
      </c>
      <c r="J2150">
        <v>1</v>
      </c>
      <c r="K2150">
        <f>YEAR(NetflixData[[#This Row],[date]])</f>
        <v>2024</v>
      </c>
      <c r="L2150" t="str">
        <f>TEXT(NetflixData[[#This Row],[date]],"mmm")</f>
        <v>Jul</v>
      </c>
      <c r="M2150" t="str">
        <f>TEXT(NetflixData[[#This Row],[date]],"mmm yyyy")</f>
        <v>Jul 2024</v>
      </c>
      <c r="N2150" t="str">
        <f t="shared" si="99"/>
        <v>Trading Day</v>
      </c>
      <c r="O2150" t="str">
        <f t="shared" si="100"/>
        <v>Negative</v>
      </c>
      <c r="P2150" t="str">
        <f t="shared" si="101"/>
        <v>Positive</v>
      </c>
    </row>
    <row r="2151" spans="1:16" x14ac:dyDescent="0.3">
      <c r="A2151" s="1">
        <v>45504</v>
      </c>
      <c r="B2151">
        <v>62.83</v>
      </c>
      <c r="C2151">
        <v>31349000</v>
      </c>
      <c r="D2151">
        <v>0.28399999999999997</v>
      </c>
      <c r="E2151">
        <v>0</v>
      </c>
      <c r="H2151">
        <v>0</v>
      </c>
      <c r="J2151">
        <v>1</v>
      </c>
      <c r="K2151">
        <f>YEAR(NetflixData[[#This Row],[date]])</f>
        <v>2024</v>
      </c>
      <c r="L2151" t="str">
        <f>TEXT(NetflixData[[#This Row],[date]],"mmm")</f>
        <v>Jul</v>
      </c>
      <c r="M2151" t="str">
        <f>TEXT(NetflixData[[#This Row],[date]],"mmm yyyy")</f>
        <v>Jul 2024</v>
      </c>
      <c r="N2151" t="str">
        <f t="shared" si="99"/>
        <v>Trading Day</v>
      </c>
      <c r="O2151" t="str">
        <f t="shared" si="100"/>
        <v>Positive</v>
      </c>
      <c r="P2151" t="str">
        <f t="shared" si="101"/>
        <v>Neutral</v>
      </c>
    </row>
    <row r="2152" spans="1:16" x14ac:dyDescent="0.3">
      <c r="A2152" s="1">
        <v>45505</v>
      </c>
      <c r="B2152">
        <v>62.49</v>
      </c>
      <c r="C2152">
        <v>37206000</v>
      </c>
      <c r="D2152">
        <v>-0.69899999999999995</v>
      </c>
      <c r="E2152">
        <v>3</v>
      </c>
      <c r="F2152">
        <v>3.67</v>
      </c>
      <c r="G2152">
        <v>-0.28639999999999999</v>
      </c>
      <c r="H2152">
        <v>0</v>
      </c>
      <c r="J2152">
        <v>1</v>
      </c>
      <c r="K2152">
        <f>YEAR(NetflixData[[#This Row],[date]])</f>
        <v>2024</v>
      </c>
      <c r="L2152" t="str">
        <f>TEXT(NetflixData[[#This Row],[date]],"mmm")</f>
        <v>Aug</v>
      </c>
      <c r="M2152" t="str">
        <f>TEXT(NetflixData[[#This Row],[date]],"mmm yyyy")</f>
        <v>Aug 2024</v>
      </c>
      <c r="N2152" t="str">
        <f t="shared" si="99"/>
        <v>Trading Day</v>
      </c>
      <c r="O2152" t="str">
        <f t="shared" si="100"/>
        <v>Negative</v>
      </c>
      <c r="P2152" t="str">
        <f t="shared" si="101"/>
        <v>Negative</v>
      </c>
    </row>
    <row r="2153" spans="1:16" x14ac:dyDescent="0.3">
      <c r="A2153" s="1">
        <v>45506</v>
      </c>
      <c r="B2153">
        <v>61.36</v>
      </c>
      <c r="C2153">
        <v>35230000</v>
      </c>
      <c r="D2153">
        <v>-1.1819999999999999</v>
      </c>
      <c r="E2153">
        <v>1</v>
      </c>
      <c r="F2153">
        <v>5</v>
      </c>
      <c r="G2153">
        <v>0.42149999999999999</v>
      </c>
      <c r="H2153">
        <v>0</v>
      </c>
      <c r="J2153">
        <v>1</v>
      </c>
      <c r="K2153">
        <f>YEAR(NetflixData[[#This Row],[date]])</f>
        <v>2024</v>
      </c>
      <c r="L2153" t="str">
        <f>TEXT(NetflixData[[#This Row],[date]],"mmm")</f>
        <v>Aug</v>
      </c>
      <c r="M2153" t="str">
        <f>TEXT(NetflixData[[#This Row],[date]],"mmm yyyy")</f>
        <v>Aug 2024</v>
      </c>
      <c r="N2153" t="str">
        <f t="shared" si="99"/>
        <v>Non-Trading Day</v>
      </c>
      <c r="O2153" t="str">
        <f t="shared" si="100"/>
        <v>Negative</v>
      </c>
      <c r="P2153" t="str">
        <f t="shared" si="101"/>
        <v>Positive</v>
      </c>
    </row>
    <row r="2154" spans="1:16" x14ac:dyDescent="0.3">
      <c r="A2154" s="1">
        <v>45507</v>
      </c>
      <c r="B2154">
        <v>61.36</v>
      </c>
      <c r="C2154">
        <v>0</v>
      </c>
      <c r="D2154">
        <v>0</v>
      </c>
      <c r="E2154">
        <v>0</v>
      </c>
      <c r="H2154">
        <v>0</v>
      </c>
      <c r="J2154">
        <v>0</v>
      </c>
      <c r="K2154">
        <f>YEAR(NetflixData[[#This Row],[date]])</f>
        <v>2024</v>
      </c>
      <c r="L2154" t="str">
        <f>TEXT(NetflixData[[#This Row],[date]],"mmm")</f>
        <v>Aug</v>
      </c>
      <c r="M2154" t="str">
        <f>TEXT(NetflixData[[#This Row],[date]],"mmm yyyy")</f>
        <v>Aug 2024</v>
      </c>
      <c r="N2154" t="str">
        <f t="shared" si="99"/>
        <v>Non-Trading Day</v>
      </c>
      <c r="O2154" t="str">
        <f t="shared" si="100"/>
        <v>No Change</v>
      </c>
      <c r="P2154" t="str">
        <f t="shared" si="101"/>
        <v>Neutral</v>
      </c>
    </row>
    <row r="2155" spans="1:16" x14ac:dyDescent="0.3">
      <c r="A2155" s="1">
        <v>45508</v>
      </c>
      <c r="B2155">
        <v>61.36</v>
      </c>
      <c r="C2155">
        <v>0</v>
      </c>
      <c r="D2155">
        <v>0</v>
      </c>
      <c r="E2155">
        <v>0</v>
      </c>
      <c r="H2155">
        <v>0</v>
      </c>
      <c r="J2155">
        <v>0</v>
      </c>
      <c r="K2155">
        <f>YEAR(NetflixData[[#This Row],[date]])</f>
        <v>2024</v>
      </c>
      <c r="L2155" t="str">
        <f>TEXT(NetflixData[[#This Row],[date]],"mmm")</f>
        <v>Aug</v>
      </c>
      <c r="M2155" t="str">
        <f>TEXT(NetflixData[[#This Row],[date]],"mmm yyyy")</f>
        <v>Aug 2024</v>
      </c>
      <c r="N2155" t="str">
        <f t="shared" si="99"/>
        <v>Trading Day</v>
      </c>
      <c r="O2155" t="str">
        <f t="shared" si="100"/>
        <v>No Change</v>
      </c>
      <c r="P2155" t="str">
        <f t="shared" si="101"/>
        <v>Neutral</v>
      </c>
    </row>
    <row r="2156" spans="1:16" x14ac:dyDescent="0.3">
      <c r="A2156" s="1">
        <v>45509</v>
      </c>
      <c r="B2156">
        <v>59.85</v>
      </c>
      <c r="C2156">
        <v>40442000</v>
      </c>
      <c r="D2156">
        <v>1.9610000000000001</v>
      </c>
      <c r="E2156">
        <v>1</v>
      </c>
      <c r="F2156">
        <v>5</v>
      </c>
      <c r="G2156">
        <v>0.44040000000000001</v>
      </c>
      <c r="H2156">
        <v>0</v>
      </c>
      <c r="J2156">
        <v>1</v>
      </c>
      <c r="K2156">
        <f>YEAR(NetflixData[[#This Row],[date]])</f>
        <v>2024</v>
      </c>
      <c r="L2156" t="str">
        <f>TEXT(NetflixData[[#This Row],[date]],"mmm")</f>
        <v>Aug</v>
      </c>
      <c r="M2156" t="str">
        <f>TEXT(NetflixData[[#This Row],[date]],"mmm yyyy")</f>
        <v>Aug 2024</v>
      </c>
      <c r="N2156" t="str">
        <f t="shared" si="99"/>
        <v>Trading Day</v>
      </c>
      <c r="O2156" t="str">
        <f t="shared" si="100"/>
        <v>Positive</v>
      </c>
      <c r="P2156" t="str">
        <f t="shared" si="101"/>
        <v>Positive</v>
      </c>
    </row>
    <row r="2157" spans="1:16" x14ac:dyDescent="0.3">
      <c r="A2157" s="1">
        <v>45510</v>
      </c>
      <c r="B2157">
        <v>60.96</v>
      </c>
      <c r="C2157">
        <v>43191000</v>
      </c>
      <c r="D2157">
        <v>1.49</v>
      </c>
      <c r="E2157">
        <v>0</v>
      </c>
      <c r="H2157">
        <v>0</v>
      </c>
      <c r="J2157">
        <v>1</v>
      </c>
      <c r="K2157">
        <f>YEAR(NetflixData[[#This Row],[date]])</f>
        <v>2024</v>
      </c>
      <c r="L2157" t="str">
        <f>TEXT(NetflixData[[#This Row],[date]],"mmm")</f>
        <v>Aug</v>
      </c>
      <c r="M2157" t="str">
        <f>TEXT(NetflixData[[#This Row],[date]],"mmm yyyy")</f>
        <v>Aug 2024</v>
      </c>
      <c r="N2157" t="str">
        <f t="shared" si="99"/>
        <v>Trading Day</v>
      </c>
      <c r="O2157" t="str">
        <f t="shared" si="100"/>
        <v>Positive</v>
      </c>
      <c r="P2157" t="str">
        <f t="shared" si="101"/>
        <v>Neutral</v>
      </c>
    </row>
    <row r="2158" spans="1:16" x14ac:dyDescent="0.3">
      <c r="A2158" s="1">
        <v>45511</v>
      </c>
      <c r="B2158">
        <v>61.15</v>
      </c>
      <c r="C2158">
        <v>31878000</v>
      </c>
      <c r="D2158">
        <v>-0.745</v>
      </c>
      <c r="E2158">
        <v>126</v>
      </c>
      <c r="F2158">
        <v>2.83</v>
      </c>
      <c r="G2158">
        <v>0.17050000000000001</v>
      </c>
      <c r="H2158">
        <v>0</v>
      </c>
      <c r="J2158">
        <v>1</v>
      </c>
      <c r="K2158">
        <f>YEAR(NetflixData[[#This Row],[date]])</f>
        <v>2024</v>
      </c>
      <c r="L2158" t="str">
        <f>TEXT(NetflixData[[#This Row],[date]],"mmm")</f>
        <v>Aug</v>
      </c>
      <c r="M2158" t="str">
        <f>TEXT(NetflixData[[#This Row],[date]],"mmm yyyy")</f>
        <v>Aug 2024</v>
      </c>
      <c r="N2158" t="str">
        <f t="shared" si="99"/>
        <v>Trading Day</v>
      </c>
      <c r="O2158" t="str">
        <f t="shared" si="100"/>
        <v>Negative</v>
      </c>
      <c r="P2158" t="str">
        <f t="shared" si="101"/>
        <v>Positive</v>
      </c>
    </row>
    <row r="2159" spans="1:16" x14ac:dyDescent="0.3">
      <c r="A2159" s="1">
        <v>45512</v>
      </c>
      <c r="B2159">
        <v>63.03</v>
      </c>
      <c r="C2159">
        <v>32835000</v>
      </c>
      <c r="D2159">
        <v>1.3440000000000001</v>
      </c>
      <c r="E2159">
        <v>116</v>
      </c>
      <c r="F2159">
        <v>3.22</v>
      </c>
      <c r="G2159">
        <v>0.2112</v>
      </c>
      <c r="H2159">
        <v>0</v>
      </c>
      <c r="J2159">
        <v>1</v>
      </c>
      <c r="K2159">
        <f>YEAR(NetflixData[[#This Row],[date]])</f>
        <v>2024</v>
      </c>
      <c r="L2159" t="str">
        <f>TEXT(NetflixData[[#This Row],[date]],"mmm")</f>
        <v>Aug</v>
      </c>
      <c r="M2159" t="str">
        <f>TEXT(NetflixData[[#This Row],[date]],"mmm yyyy")</f>
        <v>Aug 2024</v>
      </c>
      <c r="N2159" t="str">
        <f t="shared" si="99"/>
        <v>Trading Day</v>
      </c>
      <c r="O2159" t="str">
        <f t="shared" si="100"/>
        <v>Positive</v>
      </c>
      <c r="P2159" t="str">
        <f t="shared" si="101"/>
        <v>Positive</v>
      </c>
    </row>
    <row r="2160" spans="1:16" x14ac:dyDescent="0.3">
      <c r="A2160" s="1">
        <v>45513</v>
      </c>
      <c r="B2160">
        <v>63.39</v>
      </c>
      <c r="C2160">
        <v>19808000</v>
      </c>
      <c r="D2160">
        <v>1.758</v>
      </c>
      <c r="E2160">
        <v>141</v>
      </c>
      <c r="F2160">
        <v>3.18</v>
      </c>
      <c r="G2160">
        <v>0.19109999999999999</v>
      </c>
      <c r="H2160">
        <v>0</v>
      </c>
      <c r="J2160">
        <v>1</v>
      </c>
      <c r="K2160">
        <f>YEAR(NetflixData[[#This Row],[date]])</f>
        <v>2024</v>
      </c>
      <c r="L2160" t="str">
        <f>TEXT(NetflixData[[#This Row],[date]],"mmm")</f>
        <v>Aug</v>
      </c>
      <c r="M2160" t="str">
        <f>TEXT(NetflixData[[#This Row],[date]],"mmm yyyy")</f>
        <v>Aug 2024</v>
      </c>
      <c r="N2160" t="str">
        <f t="shared" si="99"/>
        <v>Non-Trading Day</v>
      </c>
      <c r="O2160" t="str">
        <f t="shared" si="100"/>
        <v>Positive</v>
      </c>
      <c r="P2160" t="str">
        <f t="shared" si="101"/>
        <v>Positive</v>
      </c>
    </row>
    <row r="2161" spans="1:16" x14ac:dyDescent="0.3">
      <c r="A2161" s="1">
        <v>45514</v>
      </c>
      <c r="B2161">
        <v>63.39</v>
      </c>
      <c r="C2161">
        <v>0</v>
      </c>
      <c r="D2161">
        <v>0</v>
      </c>
      <c r="E2161">
        <v>123</v>
      </c>
      <c r="F2161">
        <v>3.22</v>
      </c>
      <c r="G2161">
        <v>8.8099999999999998E-2</v>
      </c>
      <c r="H2161">
        <v>0</v>
      </c>
      <c r="J2161">
        <v>0</v>
      </c>
      <c r="K2161">
        <f>YEAR(NetflixData[[#This Row],[date]])</f>
        <v>2024</v>
      </c>
      <c r="L2161" t="str">
        <f>TEXT(NetflixData[[#This Row],[date]],"mmm")</f>
        <v>Aug</v>
      </c>
      <c r="M2161" t="str">
        <f>TEXT(NetflixData[[#This Row],[date]],"mmm yyyy")</f>
        <v>Aug 2024</v>
      </c>
      <c r="N2161" t="str">
        <f t="shared" si="99"/>
        <v>Non-Trading Day</v>
      </c>
      <c r="O2161" t="str">
        <f t="shared" si="100"/>
        <v>No Change</v>
      </c>
      <c r="P2161" t="str">
        <f t="shared" si="101"/>
        <v>Neutral</v>
      </c>
    </row>
    <row r="2162" spans="1:16" x14ac:dyDescent="0.3">
      <c r="A2162" s="1">
        <v>45515</v>
      </c>
      <c r="B2162">
        <v>63.39</v>
      </c>
      <c r="C2162">
        <v>0</v>
      </c>
      <c r="D2162">
        <v>0</v>
      </c>
      <c r="E2162">
        <v>125</v>
      </c>
      <c r="F2162">
        <v>3.11</v>
      </c>
      <c r="G2162">
        <v>0.12180000000000001</v>
      </c>
      <c r="H2162">
        <v>0</v>
      </c>
      <c r="J2162">
        <v>0</v>
      </c>
      <c r="K2162">
        <f>YEAR(NetflixData[[#This Row],[date]])</f>
        <v>2024</v>
      </c>
      <c r="L2162" t="str">
        <f>TEXT(NetflixData[[#This Row],[date]],"mmm")</f>
        <v>Aug</v>
      </c>
      <c r="M2162" t="str">
        <f>TEXT(NetflixData[[#This Row],[date]],"mmm yyyy")</f>
        <v>Aug 2024</v>
      </c>
      <c r="N2162" t="str">
        <f t="shared" si="99"/>
        <v>Trading Day</v>
      </c>
      <c r="O2162" t="str">
        <f t="shared" si="100"/>
        <v>No Change</v>
      </c>
      <c r="P2162" t="str">
        <f t="shared" si="101"/>
        <v>Positive</v>
      </c>
    </row>
    <row r="2163" spans="1:16" x14ac:dyDescent="0.3">
      <c r="A2163" s="1">
        <v>45516</v>
      </c>
      <c r="B2163">
        <v>63.31</v>
      </c>
      <c r="C2163">
        <v>23317000</v>
      </c>
      <c r="D2163">
        <v>0.33900000000000002</v>
      </c>
      <c r="E2163">
        <v>138</v>
      </c>
      <c r="F2163">
        <v>3.04</v>
      </c>
      <c r="G2163">
        <v>0.15490000000000001</v>
      </c>
      <c r="H2163">
        <v>0</v>
      </c>
      <c r="J2163">
        <v>1</v>
      </c>
      <c r="K2163">
        <f>YEAR(NetflixData[[#This Row],[date]])</f>
        <v>2024</v>
      </c>
      <c r="L2163" t="str">
        <f>TEXT(NetflixData[[#This Row],[date]],"mmm")</f>
        <v>Aug</v>
      </c>
      <c r="M2163" t="str">
        <f>TEXT(NetflixData[[#This Row],[date]],"mmm yyyy")</f>
        <v>Aug 2024</v>
      </c>
      <c r="N2163" t="str">
        <f t="shared" si="99"/>
        <v>Trading Day</v>
      </c>
      <c r="O2163" t="str">
        <f t="shared" si="100"/>
        <v>Positive</v>
      </c>
      <c r="P2163" t="str">
        <f t="shared" si="101"/>
        <v>Positive</v>
      </c>
    </row>
    <row r="2164" spans="1:16" x14ac:dyDescent="0.3">
      <c r="A2164" s="1">
        <v>45517</v>
      </c>
      <c r="B2164">
        <v>64.8</v>
      </c>
      <c r="C2164">
        <v>26396000</v>
      </c>
      <c r="D2164">
        <v>1.4810000000000001</v>
      </c>
      <c r="E2164">
        <v>128</v>
      </c>
      <c r="F2164">
        <v>2.78</v>
      </c>
      <c r="G2164">
        <v>0.16189999999999999</v>
      </c>
      <c r="H2164">
        <v>0</v>
      </c>
      <c r="J2164">
        <v>1</v>
      </c>
      <c r="K2164">
        <f>YEAR(NetflixData[[#This Row],[date]])</f>
        <v>2024</v>
      </c>
      <c r="L2164" t="str">
        <f>TEXT(NetflixData[[#This Row],[date]],"mmm")</f>
        <v>Aug</v>
      </c>
      <c r="M2164" t="str">
        <f>TEXT(NetflixData[[#This Row],[date]],"mmm yyyy")</f>
        <v>Aug 2024</v>
      </c>
      <c r="N2164" t="str">
        <f t="shared" si="99"/>
        <v>Trading Day</v>
      </c>
      <c r="O2164" t="str">
        <f t="shared" si="100"/>
        <v>Positive</v>
      </c>
      <c r="P2164" t="str">
        <f t="shared" si="101"/>
        <v>Positive</v>
      </c>
    </row>
    <row r="2165" spans="1:16" x14ac:dyDescent="0.3">
      <c r="A2165" s="1">
        <v>45518</v>
      </c>
      <c r="B2165">
        <v>66.17</v>
      </c>
      <c r="C2165">
        <v>40143000</v>
      </c>
      <c r="D2165">
        <v>2.0009999999999999</v>
      </c>
      <c r="E2165">
        <v>119</v>
      </c>
      <c r="F2165">
        <v>3.13</v>
      </c>
      <c r="G2165">
        <v>0.19969999999999999</v>
      </c>
      <c r="H2165">
        <v>0</v>
      </c>
      <c r="J2165">
        <v>1</v>
      </c>
      <c r="K2165">
        <f>YEAR(NetflixData[[#This Row],[date]])</f>
        <v>2024</v>
      </c>
      <c r="L2165" t="str">
        <f>TEXT(NetflixData[[#This Row],[date]],"mmm")</f>
        <v>Aug</v>
      </c>
      <c r="M2165" t="str">
        <f>TEXT(NetflixData[[#This Row],[date]],"mmm yyyy")</f>
        <v>Aug 2024</v>
      </c>
      <c r="N2165" t="str">
        <f t="shared" si="99"/>
        <v>Trading Day</v>
      </c>
      <c r="O2165" t="str">
        <f t="shared" si="100"/>
        <v>Positive</v>
      </c>
      <c r="P2165" t="str">
        <f t="shared" si="101"/>
        <v>Positive</v>
      </c>
    </row>
    <row r="2166" spans="1:16" x14ac:dyDescent="0.3">
      <c r="A2166" s="1">
        <v>45519</v>
      </c>
      <c r="B2166">
        <v>66.319999999999993</v>
      </c>
      <c r="C2166">
        <v>32102000</v>
      </c>
      <c r="D2166">
        <v>-0.78800000000000003</v>
      </c>
      <c r="E2166">
        <v>130</v>
      </c>
      <c r="F2166">
        <v>3.32</v>
      </c>
      <c r="G2166">
        <v>0.18940000000000001</v>
      </c>
      <c r="H2166">
        <v>0</v>
      </c>
      <c r="J2166">
        <v>1</v>
      </c>
      <c r="K2166">
        <f>YEAR(NetflixData[[#This Row],[date]])</f>
        <v>2024</v>
      </c>
      <c r="L2166" t="str">
        <f>TEXT(NetflixData[[#This Row],[date]],"mmm")</f>
        <v>Aug</v>
      </c>
      <c r="M2166" t="str">
        <f>TEXT(NetflixData[[#This Row],[date]],"mmm yyyy")</f>
        <v>Aug 2024</v>
      </c>
      <c r="N2166" t="str">
        <f t="shared" si="99"/>
        <v>Trading Day</v>
      </c>
      <c r="O2166" t="str">
        <f t="shared" si="100"/>
        <v>Negative</v>
      </c>
      <c r="P2166" t="str">
        <f t="shared" si="101"/>
        <v>Positive</v>
      </c>
    </row>
    <row r="2167" spans="1:16" x14ac:dyDescent="0.3">
      <c r="A2167" s="1">
        <v>45520</v>
      </c>
      <c r="B2167">
        <v>67.41</v>
      </c>
      <c r="C2167">
        <v>35110000</v>
      </c>
      <c r="D2167">
        <v>0.69299999999999995</v>
      </c>
      <c r="E2167">
        <v>102</v>
      </c>
      <c r="F2167">
        <v>3.36</v>
      </c>
      <c r="G2167">
        <v>0.2452</v>
      </c>
      <c r="H2167">
        <v>0</v>
      </c>
      <c r="J2167">
        <v>1</v>
      </c>
      <c r="K2167">
        <f>YEAR(NetflixData[[#This Row],[date]])</f>
        <v>2024</v>
      </c>
      <c r="L2167" t="str">
        <f>TEXT(NetflixData[[#This Row],[date]],"mmm")</f>
        <v>Aug</v>
      </c>
      <c r="M2167" t="str">
        <f>TEXT(NetflixData[[#This Row],[date]],"mmm yyyy")</f>
        <v>Aug 2024</v>
      </c>
      <c r="N2167" t="str">
        <f t="shared" si="99"/>
        <v>Non-Trading Day</v>
      </c>
      <c r="O2167" t="str">
        <f t="shared" si="100"/>
        <v>Positive</v>
      </c>
      <c r="P2167" t="str">
        <f t="shared" si="101"/>
        <v>Positive</v>
      </c>
    </row>
    <row r="2168" spans="1:16" x14ac:dyDescent="0.3">
      <c r="A2168" s="1">
        <v>45521</v>
      </c>
      <c r="B2168">
        <v>67.41</v>
      </c>
      <c r="C2168">
        <v>0</v>
      </c>
      <c r="D2168">
        <v>0</v>
      </c>
      <c r="E2168">
        <v>121</v>
      </c>
      <c r="F2168">
        <v>3.07</v>
      </c>
      <c r="G2168">
        <v>0.22259999999999999</v>
      </c>
      <c r="H2168">
        <v>0</v>
      </c>
      <c r="J2168">
        <v>0</v>
      </c>
      <c r="K2168">
        <f>YEAR(NetflixData[[#This Row],[date]])</f>
        <v>2024</v>
      </c>
      <c r="L2168" t="str">
        <f>TEXT(NetflixData[[#This Row],[date]],"mmm")</f>
        <v>Aug</v>
      </c>
      <c r="M2168" t="str">
        <f>TEXT(NetflixData[[#This Row],[date]],"mmm yyyy")</f>
        <v>Aug 2024</v>
      </c>
      <c r="N2168" t="str">
        <f t="shared" si="99"/>
        <v>Non-Trading Day</v>
      </c>
      <c r="O2168" t="str">
        <f t="shared" si="100"/>
        <v>No Change</v>
      </c>
      <c r="P2168" t="str">
        <f t="shared" si="101"/>
        <v>Positive</v>
      </c>
    </row>
    <row r="2169" spans="1:16" x14ac:dyDescent="0.3">
      <c r="A2169" s="1">
        <v>45522</v>
      </c>
      <c r="B2169">
        <v>67.41</v>
      </c>
      <c r="C2169">
        <v>0</v>
      </c>
      <c r="D2169">
        <v>0</v>
      </c>
      <c r="E2169">
        <v>117</v>
      </c>
      <c r="F2169">
        <v>2.77</v>
      </c>
      <c r="G2169">
        <v>0.12970000000000001</v>
      </c>
      <c r="H2169">
        <v>0</v>
      </c>
      <c r="J2169">
        <v>0</v>
      </c>
      <c r="K2169">
        <f>YEAR(NetflixData[[#This Row],[date]])</f>
        <v>2024</v>
      </c>
      <c r="L2169" t="str">
        <f>TEXT(NetflixData[[#This Row],[date]],"mmm")</f>
        <v>Aug</v>
      </c>
      <c r="M2169" t="str">
        <f>TEXT(NetflixData[[#This Row],[date]],"mmm yyyy")</f>
        <v>Aug 2024</v>
      </c>
      <c r="N2169" t="str">
        <f t="shared" si="99"/>
        <v>Trading Day</v>
      </c>
      <c r="O2169" t="str">
        <f t="shared" si="100"/>
        <v>No Change</v>
      </c>
      <c r="P2169" t="str">
        <f t="shared" si="101"/>
        <v>Positive</v>
      </c>
    </row>
    <row r="2170" spans="1:16" x14ac:dyDescent="0.3">
      <c r="A2170" s="1">
        <v>45523</v>
      </c>
      <c r="B2170">
        <v>68.849999999999994</v>
      </c>
      <c r="C2170">
        <v>30162000</v>
      </c>
      <c r="D2170">
        <v>2.145</v>
      </c>
      <c r="E2170">
        <v>143</v>
      </c>
      <c r="F2170">
        <v>2.92</v>
      </c>
      <c r="G2170">
        <v>8.7900000000000006E-2</v>
      </c>
      <c r="H2170">
        <v>0</v>
      </c>
      <c r="J2170">
        <v>1</v>
      </c>
      <c r="K2170">
        <f>YEAR(NetflixData[[#This Row],[date]])</f>
        <v>2024</v>
      </c>
      <c r="L2170" t="str">
        <f>TEXT(NetflixData[[#This Row],[date]],"mmm")</f>
        <v>Aug</v>
      </c>
      <c r="M2170" t="str">
        <f>TEXT(NetflixData[[#This Row],[date]],"mmm yyyy")</f>
        <v>Aug 2024</v>
      </c>
      <c r="N2170" t="str">
        <f t="shared" si="99"/>
        <v>Trading Day</v>
      </c>
      <c r="O2170" t="str">
        <f t="shared" si="100"/>
        <v>Positive</v>
      </c>
      <c r="P2170" t="str">
        <f t="shared" si="101"/>
        <v>Neutral</v>
      </c>
    </row>
    <row r="2171" spans="1:16" x14ac:dyDescent="0.3">
      <c r="A2171" s="1">
        <v>45524</v>
      </c>
      <c r="B2171">
        <v>69.849999999999994</v>
      </c>
      <c r="C2171">
        <v>48131000</v>
      </c>
      <c r="D2171">
        <v>1.405</v>
      </c>
      <c r="E2171">
        <v>120</v>
      </c>
      <c r="F2171">
        <v>2.98</v>
      </c>
      <c r="G2171">
        <v>0.15060000000000001</v>
      </c>
      <c r="H2171">
        <v>0</v>
      </c>
      <c r="J2171">
        <v>1</v>
      </c>
      <c r="K2171">
        <f>YEAR(NetflixData[[#This Row],[date]])</f>
        <v>2024</v>
      </c>
      <c r="L2171" t="str">
        <f>TEXT(NetflixData[[#This Row],[date]],"mmm")</f>
        <v>Aug</v>
      </c>
      <c r="M2171" t="str">
        <f>TEXT(NetflixData[[#This Row],[date]],"mmm yyyy")</f>
        <v>Aug 2024</v>
      </c>
      <c r="N2171" t="str">
        <f t="shared" si="99"/>
        <v>Trading Day</v>
      </c>
      <c r="O2171" t="str">
        <f t="shared" si="100"/>
        <v>Positive</v>
      </c>
      <c r="P2171" t="str">
        <f t="shared" si="101"/>
        <v>Positive</v>
      </c>
    </row>
    <row r="2172" spans="1:16" x14ac:dyDescent="0.3">
      <c r="A2172" s="1">
        <v>45525</v>
      </c>
      <c r="B2172">
        <v>69.709999999999994</v>
      </c>
      <c r="C2172">
        <v>22353000</v>
      </c>
      <c r="D2172">
        <v>1.7000000000000001E-2</v>
      </c>
      <c r="E2172">
        <v>115</v>
      </c>
      <c r="F2172">
        <v>2.9</v>
      </c>
      <c r="G2172">
        <v>9.6600000000000005E-2</v>
      </c>
      <c r="H2172">
        <v>0</v>
      </c>
      <c r="J2172">
        <v>1</v>
      </c>
      <c r="K2172">
        <f>YEAR(NetflixData[[#This Row],[date]])</f>
        <v>2024</v>
      </c>
      <c r="L2172" t="str">
        <f>TEXT(NetflixData[[#This Row],[date]],"mmm")</f>
        <v>Aug</v>
      </c>
      <c r="M2172" t="str">
        <f>TEXT(NetflixData[[#This Row],[date]],"mmm yyyy")</f>
        <v>Aug 2024</v>
      </c>
      <c r="N2172" t="str">
        <f t="shared" si="99"/>
        <v>Trading Day</v>
      </c>
      <c r="O2172" t="str">
        <f t="shared" si="100"/>
        <v>Positive</v>
      </c>
      <c r="P2172" t="str">
        <f t="shared" si="101"/>
        <v>Neutral</v>
      </c>
    </row>
    <row r="2173" spans="1:16" x14ac:dyDescent="0.3">
      <c r="A2173" s="1">
        <v>45526</v>
      </c>
      <c r="B2173">
        <v>68.900000000000006</v>
      </c>
      <c r="C2173">
        <v>27294000</v>
      </c>
      <c r="D2173">
        <v>-0.29499999999999998</v>
      </c>
      <c r="E2173">
        <v>106</v>
      </c>
      <c r="F2173">
        <v>2.91</v>
      </c>
      <c r="G2173">
        <v>0.14449999999999999</v>
      </c>
      <c r="H2173">
        <v>0</v>
      </c>
      <c r="J2173">
        <v>1</v>
      </c>
      <c r="K2173">
        <f>YEAR(NetflixData[[#This Row],[date]])</f>
        <v>2024</v>
      </c>
      <c r="L2173" t="str">
        <f>TEXT(NetflixData[[#This Row],[date]],"mmm")</f>
        <v>Aug</v>
      </c>
      <c r="M2173" t="str">
        <f>TEXT(NetflixData[[#This Row],[date]],"mmm yyyy")</f>
        <v>Aug 2024</v>
      </c>
      <c r="N2173" t="str">
        <f t="shared" si="99"/>
        <v>Trading Day</v>
      </c>
      <c r="O2173" t="str">
        <f t="shared" si="100"/>
        <v>Negative</v>
      </c>
      <c r="P2173" t="str">
        <f t="shared" si="101"/>
        <v>Positive</v>
      </c>
    </row>
    <row r="2174" spans="1:16" x14ac:dyDescent="0.3">
      <c r="A2174" s="1">
        <v>45527</v>
      </c>
      <c r="B2174">
        <v>68.67</v>
      </c>
      <c r="C2174">
        <v>23545000</v>
      </c>
      <c r="D2174">
        <v>-1.0660000000000001</v>
      </c>
      <c r="E2174">
        <v>48</v>
      </c>
      <c r="F2174">
        <v>3.12</v>
      </c>
      <c r="G2174">
        <v>0.1182</v>
      </c>
      <c r="H2174">
        <v>0</v>
      </c>
      <c r="J2174">
        <v>1</v>
      </c>
      <c r="K2174">
        <f>YEAR(NetflixData[[#This Row],[date]])</f>
        <v>2024</v>
      </c>
      <c r="L2174" t="str">
        <f>TEXT(NetflixData[[#This Row],[date]],"mmm")</f>
        <v>Aug</v>
      </c>
      <c r="M2174" t="str">
        <f>TEXT(NetflixData[[#This Row],[date]],"mmm yyyy")</f>
        <v>Aug 2024</v>
      </c>
      <c r="N2174" t="str">
        <f t="shared" si="99"/>
        <v>Non-Trading Day</v>
      </c>
      <c r="O2174" t="str">
        <f t="shared" si="100"/>
        <v>Negative</v>
      </c>
      <c r="P2174" t="str">
        <f t="shared" si="101"/>
        <v>Positive</v>
      </c>
    </row>
    <row r="2175" spans="1:16" x14ac:dyDescent="0.3">
      <c r="A2175" s="1">
        <v>45528</v>
      </c>
      <c r="B2175">
        <v>68.67</v>
      </c>
      <c r="C2175">
        <v>0</v>
      </c>
      <c r="D2175">
        <v>0</v>
      </c>
      <c r="E2175">
        <v>1</v>
      </c>
      <c r="F2175">
        <v>1</v>
      </c>
      <c r="G2175">
        <v>-0.37059999999999998</v>
      </c>
      <c r="H2175">
        <v>0</v>
      </c>
      <c r="J2175">
        <v>0</v>
      </c>
      <c r="K2175">
        <f>YEAR(NetflixData[[#This Row],[date]])</f>
        <v>2024</v>
      </c>
      <c r="L2175" t="str">
        <f>TEXT(NetflixData[[#This Row],[date]],"mmm")</f>
        <v>Aug</v>
      </c>
      <c r="M2175" t="str">
        <f>TEXT(NetflixData[[#This Row],[date]],"mmm yyyy")</f>
        <v>Aug 2024</v>
      </c>
      <c r="N2175" t="str">
        <f t="shared" si="99"/>
        <v>Non-Trading Day</v>
      </c>
      <c r="O2175" t="str">
        <f t="shared" si="100"/>
        <v>No Change</v>
      </c>
      <c r="P2175" t="str">
        <f t="shared" si="101"/>
        <v>Negative</v>
      </c>
    </row>
    <row r="2176" spans="1:16" x14ac:dyDescent="0.3">
      <c r="A2176" s="1">
        <v>45529</v>
      </c>
      <c r="B2176">
        <v>68.67</v>
      </c>
      <c r="C2176">
        <v>0</v>
      </c>
      <c r="D2176">
        <v>0</v>
      </c>
      <c r="E2176">
        <v>0</v>
      </c>
      <c r="H2176">
        <v>0</v>
      </c>
      <c r="J2176">
        <v>0</v>
      </c>
      <c r="K2176">
        <f>YEAR(NetflixData[[#This Row],[date]])</f>
        <v>2024</v>
      </c>
      <c r="L2176" t="str">
        <f>TEXT(NetflixData[[#This Row],[date]],"mmm")</f>
        <v>Aug</v>
      </c>
      <c r="M2176" t="str">
        <f>TEXT(NetflixData[[#This Row],[date]],"mmm yyyy")</f>
        <v>Aug 2024</v>
      </c>
      <c r="N2176" t="str">
        <f t="shared" si="99"/>
        <v>Trading Day</v>
      </c>
      <c r="O2176" t="str">
        <f t="shared" si="100"/>
        <v>No Change</v>
      </c>
      <c r="P2176" t="str">
        <f t="shared" si="101"/>
        <v>Neutral</v>
      </c>
    </row>
    <row r="2177" spans="1:16" x14ac:dyDescent="0.3">
      <c r="A2177" s="1">
        <v>45530</v>
      </c>
      <c r="B2177">
        <v>68.84</v>
      </c>
      <c r="C2177">
        <v>13542000</v>
      </c>
      <c r="D2177">
        <v>0.17199999999999999</v>
      </c>
      <c r="E2177">
        <v>3</v>
      </c>
      <c r="F2177">
        <v>4</v>
      </c>
      <c r="G2177">
        <v>9.1000000000000004E-3</v>
      </c>
      <c r="H2177">
        <v>0</v>
      </c>
      <c r="J2177">
        <v>1</v>
      </c>
      <c r="K2177">
        <f>YEAR(NetflixData[[#This Row],[date]])</f>
        <v>2024</v>
      </c>
      <c r="L2177" t="str">
        <f>TEXT(NetflixData[[#This Row],[date]],"mmm")</f>
        <v>Aug</v>
      </c>
      <c r="M2177" t="str">
        <f>TEXT(NetflixData[[#This Row],[date]],"mmm yyyy")</f>
        <v>Aug 2024</v>
      </c>
      <c r="N2177" t="str">
        <f t="shared" si="99"/>
        <v>Trading Day</v>
      </c>
      <c r="O2177" t="str">
        <f t="shared" si="100"/>
        <v>Positive</v>
      </c>
      <c r="P2177" t="str">
        <f t="shared" si="101"/>
        <v>Neutral</v>
      </c>
    </row>
    <row r="2178" spans="1:16" x14ac:dyDescent="0.3">
      <c r="A2178" s="1">
        <v>45531</v>
      </c>
      <c r="B2178">
        <v>69.569999999999993</v>
      </c>
      <c r="C2178">
        <v>31649000</v>
      </c>
      <c r="D2178">
        <v>1.044</v>
      </c>
      <c r="E2178">
        <v>1</v>
      </c>
      <c r="F2178">
        <v>5</v>
      </c>
      <c r="G2178">
        <v>0</v>
      </c>
      <c r="H2178">
        <v>0</v>
      </c>
      <c r="J2178">
        <v>1</v>
      </c>
      <c r="K2178">
        <f>YEAR(NetflixData[[#This Row],[date]])</f>
        <v>2024</v>
      </c>
      <c r="L2178" t="str">
        <f>TEXT(NetflixData[[#This Row],[date]],"mmm")</f>
        <v>Aug</v>
      </c>
      <c r="M2178" t="str">
        <f>TEXT(NetflixData[[#This Row],[date]],"mmm yyyy")</f>
        <v>Aug 2024</v>
      </c>
      <c r="N2178" t="str">
        <f t="shared" ref="N2178:N2241" si="102">IF(J2179=1,"Trading Day","Non-Trading Day")</f>
        <v>Trading Day</v>
      </c>
      <c r="O2178" t="str">
        <f t="shared" ref="O2178:O2241" si="103">IF(D2178&gt;0,"Positive",IF(D2178&lt;0,"Negative","No Change"))</f>
        <v>Positive</v>
      </c>
      <c r="P2178" t="str">
        <f t="shared" ref="P2178:P2241" si="104">IF(G2178&gt;0.1,"Positive",IF(G2178&lt;-0.1,"Negative","Neutral"))</f>
        <v>Neutral</v>
      </c>
    </row>
    <row r="2179" spans="1:16" x14ac:dyDescent="0.3">
      <c r="A2179" s="1">
        <v>45532</v>
      </c>
      <c r="B2179">
        <v>68.38</v>
      </c>
      <c r="C2179">
        <v>24306000</v>
      </c>
      <c r="D2179">
        <v>-1.7230000000000001</v>
      </c>
      <c r="E2179">
        <v>1</v>
      </c>
      <c r="F2179">
        <v>5</v>
      </c>
      <c r="G2179">
        <v>0</v>
      </c>
      <c r="H2179">
        <v>0</v>
      </c>
      <c r="J2179">
        <v>1</v>
      </c>
      <c r="K2179">
        <f>YEAR(NetflixData[[#This Row],[date]])</f>
        <v>2024</v>
      </c>
      <c r="L2179" t="str">
        <f>TEXT(NetflixData[[#This Row],[date]],"mmm")</f>
        <v>Aug</v>
      </c>
      <c r="M2179" t="str">
        <f>TEXT(NetflixData[[#This Row],[date]],"mmm yyyy")</f>
        <v>Aug 2024</v>
      </c>
      <c r="N2179" t="str">
        <f t="shared" si="102"/>
        <v>Trading Day</v>
      </c>
      <c r="O2179" t="str">
        <f t="shared" si="103"/>
        <v>Negative</v>
      </c>
      <c r="P2179" t="str">
        <f t="shared" si="104"/>
        <v>Neutral</v>
      </c>
    </row>
    <row r="2180" spans="1:16" x14ac:dyDescent="0.3">
      <c r="A2180" s="1">
        <v>45533</v>
      </c>
      <c r="B2180">
        <v>69.25</v>
      </c>
      <c r="C2180">
        <v>21870000</v>
      </c>
      <c r="D2180">
        <v>0.35899999999999999</v>
      </c>
      <c r="E2180">
        <v>0</v>
      </c>
      <c r="H2180">
        <v>0</v>
      </c>
      <c r="J2180">
        <v>1</v>
      </c>
      <c r="K2180">
        <f>YEAR(NetflixData[[#This Row],[date]])</f>
        <v>2024</v>
      </c>
      <c r="L2180" t="str">
        <f>TEXT(NetflixData[[#This Row],[date]],"mmm")</f>
        <v>Aug</v>
      </c>
      <c r="M2180" t="str">
        <f>TEXT(NetflixData[[#This Row],[date]],"mmm yyyy")</f>
        <v>Aug 2024</v>
      </c>
      <c r="N2180" t="str">
        <f t="shared" si="102"/>
        <v>Trading Day</v>
      </c>
      <c r="O2180" t="str">
        <f t="shared" si="103"/>
        <v>Positive</v>
      </c>
      <c r="P2180" t="str">
        <f t="shared" si="104"/>
        <v>Neutral</v>
      </c>
    </row>
    <row r="2181" spans="1:16" x14ac:dyDescent="0.3">
      <c r="A2181" s="1">
        <v>45534</v>
      </c>
      <c r="B2181">
        <v>70.14</v>
      </c>
      <c r="C2181">
        <v>32667000</v>
      </c>
      <c r="D2181">
        <v>0.14099999999999999</v>
      </c>
      <c r="E2181">
        <v>0</v>
      </c>
      <c r="H2181">
        <v>0</v>
      </c>
      <c r="J2181">
        <v>1</v>
      </c>
      <c r="K2181">
        <f>YEAR(NetflixData[[#This Row],[date]])</f>
        <v>2024</v>
      </c>
      <c r="L2181" t="str">
        <f>TEXT(NetflixData[[#This Row],[date]],"mmm")</f>
        <v>Aug</v>
      </c>
      <c r="M2181" t="str">
        <f>TEXT(NetflixData[[#This Row],[date]],"mmm yyyy")</f>
        <v>Aug 2024</v>
      </c>
      <c r="N2181" t="str">
        <f t="shared" si="102"/>
        <v>Non-Trading Day</v>
      </c>
      <c r="O2181" t="str">
        <f t="shared" si="103"/>
        <v>Positive</v>
      </c>
      <c r="P2181" t="str">
        <f t="shared" si="104"/>
        <v>Neutral</v>
      </c>
    </row>
    <row r="2182" spans="1:16" x14ac:dyDescent="0.3">
      <c r="A2182" s="1">
        <v>45535</v>
      </c>
      <c r="B2182">
        <v>70.14</v>
      </c>
      <c r="C2182">
        <v>0</v>
      </c>
      <c r="D2182">
        <v>0</v>
      </c>
      <c r="E2182">
        <v>1</v>
      </c>
      <c r="F2182">
        <v>1</v>
      </c>
      <c r="G2182">
        <v>0</v>
      </c>
      <c r="H2182">
        <v>0</v>
      </c>
      <c r="J2182">
        <v>0</v>
      </c>
      <c r="K2182">
        <f>YEAR(NetflixData[[#This Row],[date]])</f>
        <v>2024</v>
      </c>
      <c r="L2182" t="str">
        <f>TEXT(NetflixData[[#This Row],[date]],"mmm")</f>
        <v>Aug</v>
      </c>
      <c r="M2182" t="str">
        <f>TEXT(NetflixData[[#This Row],[date]],"mmm yyyy")</f>
        <v>Aug 2024</v>
      </c>
      <c r="N2182" t="str">
        <f t="shared" si="102"/>
        <v>Non-Trading Day</v>
      </c>
      <c r="O2182" t="str">
        <f t="shared" si="103"/>
        <v>No Change</v>
      </c>
      <c r="P2182" t="str">
        <f t="shared" si="104"/>
        <v>Neutral</v>
      </c>
    </row>
    <row r="2183" spans="1:16" x14ac:dyDescent="0.3">
      <c r="A2183" s="1">
        <v>45536</v>
      </c>
      <c r="B2183">
        <v>70.14</v>
      </c>
      <c r="C2183">
        <v>0</v>
      </c>
      <c r="D2183">
        <v>0</v>
      </c>
      <c r="E2183">
        <v>0</v>
      </c>
      <c r="H2183">
        <v>0</v>
      </c>
      <c r="J2183">
        <v>0</v>
      </c>
      <c r="K2183">
        <f>YEAR(NetflixData[[#This Row],[date]])</f>
        <v>2024</v>
      </c>
      <c r="L2183" t="str">
        <f>TEXT(NetflixData[[#This Row],[date]],"mmm")</f>
        <v>Sep</v>
      </c>
      <c r="M2183" t="str">
        <f>TEXT(NetflixData[[#This Row],[date]],"mmm yyyy")</f>
        <v>Sep 2024</v>
      </c>
      <c r="N2183" t="str">
        <f t="shared" si="102"/>
        <v>Non-Trading Day</v>
      </c>
      <c r="O2183" t="str">
        <f t="shared" si="103"/>
        <v>No Change</v>
      </c>
      <c r="P2183" t="str">
        <f t="shared" si="104"/>
        <v>Neutral</v>
      </c>
    </row>
    <row r="2184" spans="1:16" x14ac:dyDescent="0.3">
      <c r="A2184" s="1">
        <v>45537</v>
      </c>
      <c r="B2184">
        <v>70.14</v>
      </c>
      <c r="C2184">
        <v>0</v>
      </c>
      <c r="D2184">
        <v>0</v>
      </c>
      <c r="E2184">
        <v>0</v>
      </c>
      <c r="H2184">
        <v>0</v>
      </c>
      <c r="J2184">
        <v>0</v>
      </c>
      <c r="K2184">
        <f>YEAR(NetflixData[[#This Row],[date]])</f>
        <v>2024</v>
      </c>
      <c r="L2184" t="str">
        <f>TEXT(NetflixData[[#This Row],[date]],"mmm")</f>
        <v>Sep</v>
      </c>
      <c r="M2184" t="str">
        <f>TEXT(NetflixData[[#This Row],[date]],"mmm yyyy")</f>
        <v>Sep 2024</v>
      </c>
      <c r="N2184" t="str">
        <f t="shared" si="102"/>
        <v>Trading Day</v>
      </c>
      <c r="O2184" t="str">
        <f t="shared" si="103"/>
        <v>No Change</v>
      </c>
      <c r="P2184" t="str">
        <f t="shared" si="104"/>
        <v>Neutral</v>
      </c>
    </row>
    <row r="2185" spans="1:16" x14ac:dyDescent="0.3">
      <c r="A2185" s="1">
        <v>45538</v>
      </c>
      <c r="B2185">
        <v>67.53</v>
      </c>
      <c r="C2185">
        <v>31610000</v>
      </c>
      <c r="D2185">
        <v>-3.54</v>
      </c>
      <c r="E2185">
        <v>0</v>
      </c>
      <c r="H2185">
        <v>0</v>
      </c>
      <c r="J2185">
        <v>1</v>
      </c>
      <c r="K2185">
        <f>YEAR(NetflixData[[#This Row],[date]])</f>
        <v>2024</v>
      </c>
      <c r="L2185" t="str">
        <f>TEXT(NetflixData[[#This Row],[date]],"mmm")</f>
        <v>Sep</v>
      </c>
      <c r="M2185" t="str">
        <f>TEXT(NetflixData[[#This Row],[date]],"mmm yyyy")</f>
        <v>Sep 2024</v>
      </c>
      <c r="N2185" t="str">
        <f t="shared" si="102"/>
        <v>Trading Day</v>
      </c>
      <c r="O2185" t="str">
        <f t="shared" si="103"/>
        <v>Negative</v>
      </c>
      <c r="P2185" t="str">
        <f t="shared" si="104"/>
        <v>Neutral</v>
      </c>
    </row>
    <row r="2186" spans="1:16" x14ac:dyDescent="0.3">
      <c r="A2186" s="1">
        <v>45539</v>
      </c>
      <c r="B2186">
        <v>67.97</v>
      </c>
      <c r="C2186">
        <v>17853000</v>
      </c>
      <c r="D2186">
        <v>0.94599999999999995</v>
      </c>
      <c r="E2186">
        <v>1</v>
      </c>
      <c r="F2186">
        <v>1</v>
      </c>
      <c r="G2186">
        <v>-0.87019999999999997</v>
      </c>
      <c r="H2186">
        <v>0</v>
      </c>
      <c r="J2186">
        <v>1</v>
      </c>
      <c r="K2186">
        <f>YEAR(NetflixData[[#This Row],[date]])</f>
        <v>2024</v>
      </c>
      <c r="L2186" t="str">
        <f>TEXT(NetflixData[[#This Row],[date]],"mmm")</f>
        <v>Sep</v>
      </c>
      <c r="M2186" t="str">
        <f>TEXT(NetflixData[[#This Row],[date]],"mmm yyyy")</f>
        <v>Sep 2024</v>
      </c>
      <c r="N2186" t="str">
        <f t="shared" si="102"/>
        <v>Trading Day</v>
      </c>
      <c r="O2186" t="str">
        <f t="shared" si="103"/>
        <v>Positive</v>
      </c>
      <c r="P2186" t="str">
        <f t="shared" si="104"/>
        <v>Negative</v>
      </c>
    </row>
    <row r="2187" spans="1:16" x14ac:dyDescent="0.3">
      <c r="A2187" s="1">
        <v>45540</v>
      </c>
      <c r="B2187">
        <v>68.36</v>
      </c>
      <c r="C2187">
        <v>18101000</v>
      </c>
      <c r="D2187">
        <v>1.5569999999999999</v>
      </c>
      <c r="E2187">
        <v>0</v>
      </c>
      <c r="H2187">
        <v>0</v>
      </c>
      <c r="J2187">
        <v>1</v>
      </c>
      <c r="K2187">
        <f>YEAR(NetflixData[[#This Row],[date]])</f>
        <v>2024</v>
      </c>
      <c r="L2187" t="str">
        <f>TEXT(NetflixData[[#This Row],[date]],"mmm")</f>
        <v>Sep</v>
      </c>
      <c r="M2187" t="str">
        <f>TEXT(NetflixData[[#This Row],[date]],"mmm yyyy")</f>
        <v>Sep 2024</v>
      </c>
      <c r="N2187" t="str">
        <f t="shared" si="102"/>
        <v>Trading Day</v>
      </c>
      <c r="O2187" t="str">
        <f t="shared" si="103"/>
        <v>Positive</v>
      </c>
      <c r="P2187" t="str">
        <f t="shared" si="104"/>
        <v>Neutral</v>
      </c>
    </row>
    <row r="2188" spans="1:16" x14ac:dyDescent="0.3">
      <c r="A2188" s="1">
        <v>45541</v>
      </c>
      <c r="B2188">
        <v>66.58</v>
      </c>
      <c r="C2188">
        <v>29913000</v>
      </c>
      <c r="D2188">
        <v>-2.36</v>
      </c>
      <c r="E2188">
        <v>0</v>
      </c>
      <c r="H2188">
        <v>0</v>
      </c>
      <c r="J2188">
        <v>1</v>
      </c>
      <c r="K2188">
        <f>YEAR(NetflixData[[#This Row],[date]])</f>
        <v>2024</v>
      </c>
      <c r="L2188" t="str">
        <f>TEXT(NetflixData[[#This Row],[date]],"mmm")</f>
        <v>Sep</v>
      </c>
      <c r="M2188" t="str">
        <f>TEXT(NetflixData[[#This Row],[date]],"mmm yyyy")</f>
        <v>Sep 2024</v>
      </c>
      <c r="N2188" t="str">
        <f t="shared" si="102"/>
        <v>Non-Trading Day</v>
      </c>
      <c r="O2188" t="str">
        <f t="shared" si="103"/>
        <v>Negative</v>
      </c>
      <c r="P2188" t="str">
        <f t="shared" si="104"/>
        <v>Neutral</v>
      </c>
    </row>
    <row r="2189" spans="1:16" x14ac:dyDescent="0.3">
      <c r="A2189" s="1">
        <v>45542</v>
      </c>
      <c r="B2189">
        <v>66.58</v>
      </c>
      <c r="C2189">
        <v>0</v>
      </c>
      <c r="D2189">
        <v>0</v>
      </c>
      <c r="E2189">
        <v>0</v>
      </c>
      <c r="H2189">
        <v>0</v>
      </c>
      <c r="J2189">
        <v>0</v>
      </c>
      <c r="K2189">
        <f>YEAR(NetflixData[[#This Row],[date]])</f>
        <v>2024</v>
      </c>
      <c r="L2189" t="str">
        <f>TEXT(NetflixData[[#This Row],[date]],"mmm")</f>
        <v>Sep</v>
      </c>
      <c r="M2189" t="str">
        <f>TEXT(NetflixData[[#This Row],[date]],"mmm yyyy")</f>
        <v>Sep 2024</v>
      </c>
      <c r="N2189" t="str">
        <f t="shared" si="102"/>
        <v>Non-Trading Day</v>
      </c>
      <c r="O2189" t="str">
        <f t="shared" si="103"/>
        <v>No Change</v>
      </c>
      <c r="P2189" t="str">
        <f t="shared" si="104"/>
        <v>Neutral</v>
      </c>
    </row>
    <row r="2190" spans="1:16" x14ac:dyDescent="0.3">
      <c r="A2190" s="1">
        <v>45543</v>
      </c>
      <c r="B2190">
        <v>66.58</v>
      </c>
      <c r="C2190">
        <v>0</v>
      </c>
      <c r="D2190">
        <v>0</v>
      </c>
      <c r="E2190">
        <v>0</v>
      </c>
      <c r="H2190">
        <v>0</v>
      </c>
      <c r="J2190">
        <v>0</v>
      </c>
      <c r="K2190">
        <f>YEAR(NetflixData[[#This Row],[date]])</f>
        <v>2024</v>
      </c>
      <c r="L2190" t="str">
        <f>TEXT(NetflixData[[#This Row],[date]],"mmm")</f>
        <v>Sep</v>
      </c>
      <c r="M2190" t="str">
        <f>TEXT(NetflixData[[#This Row],[date]],"mmm yyyy")</f>
        <v>Sep 2024</v>
      </c>
      <c r="N2190" t="str">
        <f t="shared" si="102"/>
        <v>Trading Day</v>
      </c>
      <c r="O2190" t="str">
        <f t="shared" si="103"/>
        <v>No Change</v>
      </c>
      <c r="P2190" t="str">
        <f t="shared" si="104"/>
        <v>Neutral</v>
      </c>
    </row>
    <row r="2191" spans="1:16" x14ac:dyDescent="0.3">
      <c r="A2191" s="1">
        <v>45544</v>
      </c>
      <c r="B2191">
        <v>67.540000000000006</v>
      </c>
      <c r="C2191">
        <v>26831000</v>
      </c>
      <c r="D2191">
        <v>0.21099999999999999</v>
      </c>
      <c r="E2191">
        <v>0</v>
      </c>
      <c r="H2191">
        <v>0</v>
      </c>
      <c r="J2191">
        <v>1</v>
      </c>
      <c r="K2191">
        <f>YEAR(NetflixData[[#This Row],[date]])</f>
        <v>2024</v>
      </c>
      <c r="L2191" t="str">
        <f>TEXT(NetflixData[[#This Row],[date]],"mmm")</f>
        <v>Sep</v>
      </c>
      <c r="M2191" t="str">
        <f>TEXT(NetflixData[[#This Row],[date]],"mmm yyyy")</f>
        <v>Sep 2024</v>
      </c>
      <c r="N2191" t="str">
        <f t="shared" si="102"/>
        <v>Trading Day</v>
      </c>
      <c r="O2191" t="str">
        <f t="shared" si="103"/>
        <v>Positive</v>
      </c>
      <c r="P2191" t="str">
        <f t="shared" si="104"/>
        <v>Neutral</v>
      </c>
    </row>
    <row r="2192" spans="1:16" x14ac:dyDescent="0.3">
      <c r="A2192" s="1">
        <v>45545</v>
      </c>
      <c r="B2192">
        <v>67.36</v>
      </c>
      <c r="C2192">
        <v>20792000</v>
      </c>
      <c r="D2192">
        <v>-0.48</v>
      </c>
      <c r="E2192">
        <v>0</v>
      </c>
      <c r="H2192">
        <v>0</v>
      </c>
      <c r="J2192">
        <v>1</v>
      </c>
      <c r="K2192">
        <f>YEAR(NetflixData[[#This Row],[date]])</f>
        <v>2024</v>
      </c>
      <c r="L2192" t="str">
        <f>TEXT(NetflixData[[#This Row],[date]],"mmm")</f>
        <v>Sep</v>
      </c>
      <c r="M2192" t="str">
        <f>TEXT(NetflixData[[#This Row],[date]],"mmm yyyy")</f>
        <v>Sep 2024</v>
      </c>
      <c r="N2192" t="str">
        <f t="shared" si="102"/>
        <v>Trading Day</v>
      </c>
      <c r="O2192" t="str">
        <f t="shared" si="103"/>
        <v>Negative</v>
      </c>
      <c r="P2192" t="str">
        <f t="shared" si="104"/>
        <v>Neutral</v>
      </c>
    </row>
    <row r="2193" spans="1:16" x14ac:dyDescent="0.3">
      <c r="A2193" s="1">
        <v>45546</v>
      </c>
      <c r="B2193">
        <v>68.150000000000006</v>
      </c>
      <c r="C2193">
        <v>23919000</v>
      </c>
      <c r="D2193">
        <v>0.59199999999999997</v>
      </c>
      <c r="E2193">
        <v>0</v>
      </c>
      <c r="H2193">
        <v>0</v>
      </c>
      <c r="J2193">
        <v>1</v>
      </c>
      <c r="K2193">
        <f>YEAR(NetflixData[[#This Row],[date]])</f>
        <v>2024</v>
      </c>
      <c r="L2193" t="str">
        <f>TEXT(NetflixData[[#This Row],[date]],"mmm")</f>
        <v>Sep</v>
      </c>
      <c r="M2193" t="str">
        <f>TEXT(NetflixData[[#This Row],[date]],"mmm yyyy")</f>
        <v>Sep 2024</v>
      </c>
      <c r="N2193" t="str">
        <f t="shared" si="102"/>
        <v>Trading Day</v>
      </c>
      <c r="O2193" t="str">
        <f t="shared" si="103"/>
        <v>Positive</v>
      </c>
      <c r="P2193" t="str">
        <f t="shared" si="104"/>
        <v>Neutral</v>
      </c>
    </row>
    <row r="2194" spans="1:16" x14ac:dyDescent="0.3">
      <c r="A2194" s="1">
        <v>45547</v>
      </c>
      <c r="B2194">
        <v>68.680000000000007</v>
      </c>
      <c r="C2194">
        <v>25821000</v>
      </c>
      <c r="D2194">
        <v>0.27400000000000002</v>
      </c>
      <c r="E2194">
        <v>0</v>
      </c>
      <c r="H2194">
        <v>0</v>
      </c>
      <c r="J2194">
        <v>1</v>
      </c>
      <c r="K2194">
        <f>YEAR(NetflixData[[#This Row],[date]])</f>
        <v>2024</v>
      </c>
      <c r="L2194" t="str">
        <f>TEXT(NetflixData[[#This Row],[date]],"mmm")</f>
        <v>Sep</v>
      </c>
      <c r="M2194" t="str">
        <f>TEXT(NetflixData[[#This Row],[date]],"mmm yyyy")</f>
        <v>Sep 2024</v>
      </c>
      <c r="N2194" t="str">
        <f t="shared" si="102"/>
        <v>Trading Day</v>
      </c>
      <c r="O2194" t="str">
        <f t="shared" si="103"/>
        <v>Positive</v>
      </c>
      <c r="P2194" t="str">
        <f t="shared" si="104"/>
        <v>Neutral</v>
      </c>
    </row>
    <row r="2195" spans="1:16" x14ac:dyDescent="0.3">
      <c r="A2195" s="1">
        <v>45548</v>
      </c>
      <c r="B2195">
        <v>69.709999999999994</v>
      </c>
      <c r="C2195">
        <v>22765000</v>
      </c>
      <c r="D2195">
        <v>2.5070000000000001</v>
      </c>
      <c r="E2195">
        <v>0</v>
      </c>
      <c r="H2195">
        <v>0</v>
      </c>
      <c r="J2195">
        <v>1</v>
      </c>
      <c r="K2195">
        <f>YEAR(NetflixData[[#This Row],[date]])</f>
        <v>2024</v>
      </c>
      <c r="L2195" t="str">
        <f>TEXT(NetflixData[[#This Row],[date]],"mmm")</f>
        <v>Sep</v>
      </c>
      <c r="M2195" t="str">
        <f>TEXT(NetflixData[[#This Row],[date]],"mmm yyyy")</f>
        <v>Sep 2024</v>
      </c>
      <c r="N2195" t="str">
        <f t="shared" si="102"/>
        <v>Non-Trading Day</v>
      </c>
      <c r="O2195" t="str">
        <f t="shared" si="103"/>
        <v>Positive</v>
      </c>
      <c r="P2195" t="str">
        <f t="shared" si="104"/>
        <v>Neutral</v>
      </c>
    </row>
    <row r="2196" spans="1:16" x14ac:dyDescent="0.3">
      <c r="A2196" s="1">
        <v>45549</v>
      </c>
      <c r="B2196">
        <v>69.709999999999994</v>
      </c>
      <c r="C2196">
        <v>0</v>
      </c>
      <c r="D2196">
        <v>0</v>
      </c>
      <c r="E2196">
        <v>0</v>
      </c>
      <c r="H2196">
        <v>0</v>
      </c>
      <c r="J2196">
        <v>0</v>
      </c>
      <c r="K2196">
        <f>YEAR(NetflixData[[#This Row],[date]])</f>
        <v>2024</v>
      </c>
      <c r="L2196" t="str">
        <f>TEXT(NetflixData[[#This Row],[date]],"mmm")</f>
        <v>Sep</v>
      </c>
      <c r="M2196" t="str">
        <f>TEXT(NetflixData[[#This Row],[date]],"mmm yyyy")</f>
        <v>Sep 2024</v>
      </c>
      <c r="N2196" t="str">
        <f t="shared" si="102"/>
        <v>Non-Trading Day</v>
      </c>
      <c r="O2196" t="str">
        <f t="shared" si="103"/>
        <v>No Change</v>
      </c>
      <c r="P2196" t="str">
        <f t="shared" si="104"/>
        <v>Neutral</v>
      </c>
    </row>
    <row r="2197" spans="1:16" x14ac:dyDescent="0.3">
      <c r="A2197" s="1">
        <v>45550</v>
      </c>
      <c r="B2197">
        <v>69.709999999999994</v>
      </c>
      <c r="C2197">
        <v>0</v>
      </c>
      <c r="D2197">
        <v>0</v>
      </c>
      <c r="E2197">
        <v>1</v>
      </c>
      <c r="F2197">
        <v>1</v>
      </c>
      <c r="G2197">
        <v>0.95709999999999995</v>
      </c>
      <c r="H2197">
        <v>0</v>
      </c>
      <c r="J2197">
        <v>0</v>
      </c>
      <c r="K2197">
        <f>YEAR(NetflixData[[#This Row],[date]])</f>
        <v>2024</v>
      </c>
      <c r="L2197" t="str">
        <f>TEXT(NetflixData[[#This Row],[date]],"mmm")</f>
        <v>Sep</v>
      </c>
      <c r="M2197" t="str">
        <f>TEXT(NetflixData[[#This Row],[date]],"mmm yyyy")</f>
        <v>Sep 2024</v>
      </c>
      <c r="N2197" t="str">
        <f t="shared" si="102"/>
        <v>Trading Day</v>
      </c>
      <c r="O2197" t="str">
        <f t="shared" si="103"/>
        <v>No Change</v>
      </c>
      <c r="P2197" t="str">
        <f t="shared" si="104"/>
        <v>Positive</v>
      </c>
    </row>
    <row r="2198" spans="1:16" x14ac:dyDescent="0.3">
      <c r="A2198" s="1">
        <v>45551</v>
      </c>
      <c r="B2198">
        <v>69.650000000000006</v>
      </c>
      <c r="C2198">
        <v>18437000</v>
      </c>
      <c r="D2198">
        <v>-0.5</v>
      </c>
      <c r="E2198">
        <v>1</v>
      </c>
      <c r="F2198">
        <v>5</v>
      </c>
      <c r="G2198">
        <v>0</v>
      </c>
      <c r="H2198">
        <v>0</v>
      </c>
      <c r="J2198">
        <v>1</v>
      </c>
      <c r="K2198">
        <f>YEAR(NetflixData[[#This Row],[date]])</f>
        <v>2024</v>
      </c>
      <c r="L2198" t="str">
        <f>TEXT(NetflixData[[#This Row],[date]],"mmm")</f>
        <v>Sep</v>
      </c>
      <c r="M2198" t="str">
        <f>TEXT(NetflixData[[#This Row],[date]],"mmm yyyy")</f>
        <v>Sep 2024</v>
      </c>
      <c r="N2198" t="str">
        <f t="shared" si="102"/>
        <v>Trading Day</v>
      </c>
      <c r="O2198" t="str">
        <f t="shared" si="103"/>
        <v>Negative</v>
      </c>
      <c r="P2198" t="str">
        <f t="shared" si="104"/>
        <v>Neutral</v>
      </c>
    </row>
    <row r="2199" spans="1:16" x14ac:dyDescent="0.3">
      <c r="A2199" s="1">
        <v>45552</v>
      </c>
      <c r="B2199">
        <v>70.69</v>
      </c>
      <c r="C2199">
        <v>22986000</v>
      </c>
      <c r="D2199">
        <v>0.86899999999999999</v>
      </c>
      <c r="E2199">
        <v>0</v>
      </c>
      <c r="H2199">
        <v>0</v>
      </c>
      <c r="J2199">
        <v>1</v>
      </c>
      <c r="K2199">
        <f>YEAR(NetflixData[[#This Row],[date]])</f>
        <v>2024</v>
      </c>
      <c r="L2199" t="str">
        <f>TEXT(NetflixData[[#This Row],[date]],"mmm")</f>
        <v>Sep</v>
      </c>
      <c r="M2199" t="str">
        <f>TEXT(NetflixData[[#This Row],[date]],"mmm yyyy")</f>
        <v>Sep 2024</v>
      </c>
      <c r="N2199" t="str">
        <f t="shared" si="102"/>
        <v>Trading Day</v>
      </c>
      <c r="O2199" t="str">
        <f t="shared" si="103"/>
        <v>Positive</v>
      </c>
      <c r="P2199" t="str">
        <f t="shared" si="104"/>
        <v>Neutral</v>
      </c>
    </row>
    <row r="2200" spans="1:16" x14ac:dyDescent="0.3">
      <c r="A2200" s="1">
        <v>45553</v>
      </c>
      <c r="B2200">
        <v>69.05</v>
      </c>
      <c r="C2200">
        <v>29844000</v>
      </c>
      <c r="D2200">
        <v>-2.4140000000000001</v>
      </c>
      <c r="E2200">
        <v>0</v>
      </c>
      <c r="H2200">
        <v>0</v>
      </c>
      <c r="J2200">
        <v>1</v>
      </c>
      <c r="K2200">
        <f>YEAR(NetflixData[[#This Row],[date]])</f>
        <v>2024</v>
      </c>
      <c r="L2200" t="str">
        <f>TEXT(NetflixData[[#This Row],[date]],"mmm")</f>
        <v>Sep</v>
      </c>
      <c r="M2200" t="str">
        <f>TEXT(NetflixData[[#This Row],[date]],"mmm yyyy")</f>
        <v>Sep 2024</v>
      </c>
      <c r="N2200" t="str">
        <f t="shared" si="102"/>
        <v>Trading Day</v>
      </c>
      <c r="O2200" t="str">
        <f t="shared" si="103"/>
        <v>Negative</v>
      </c>
      <c r="P2200" t="str">
        <f t="shared" si="104"/>
        <v>Neutral</v>
      </c>
    </row>
    <row r="2201" spans="1:16" x14ac:dyDescent="0.3">
      <c r="A2201" s="1">
        <v>45554</v>
      </c>
      <c r="B2201">
        <v>70.430000000000007</v>
      </c>
      <c r="C2201">
        <v>42285000</v>
      </c>
      <c r="D2201">
        <v>-9.6000000000000002E-2</v>
      </c>
      <c r="E2201">
        <v>3</v>
      </c>
      <c r="F2201">
        <v>3</v>
      </c>
      <c r="G2201">
        <v>-0.25769999999999998</v>
      </c>
      <c r="H2201">
        <v>0</v>
      </c>
      <c r="J2201">
        <v>1</v>
      </c>
      <c r="K2201">
        <f>YEAR(NetflixData[[#This Row],[date]])</f>
        <v>2024</v>
      </c>
      <c r="L2201" t="str">
        <f>TEXT(NetflixData[[#This Row],[date]],"mmm")</f>
        <v>Sep</v>
      </c>
      <c r="M2201" t="str">
        <f>TEXT(NetflixData[[#This Row],[date]],"mmm yyyy")</f>
        <v>Sep 2024</v>
      </c>
      <c r="N2201" t="str">
        <f t="shared" si="102"/>
        <v>Trading Day</v>
      </c>
      <c r="O2201" t="str">
        <f t="shared" si="103"/>
        <v>Negative</v>
      </c>
      <c r="P2201" t="str">
        <f t="shared" si="104"/>
        <v>Negative</v>
      </c>
    </row>
    <row r="2202" spans="1:16" x14ac:dyDescent="0.3">
      <c r="A2202" s="1">
        <v>45555</v>
      </c>
      <c r="B2202">
        <v>70.099999999999994</v>
      </c>
      <c r="C2202">
        <v>39981000</v>
      </c>
      <c r="D2202">
        <v>-0.64100000000000001</v>
      </c>
      <c r="E2202">
        <v>0</v>
      </c>
      <c r="H2202">
        <v>0</v>
      </c>
      <c r="J2202">
        <v>1</v>
      </c>
      <c r="K2202">
        <f>YEAR(NetflixData[[#This Row],[date]])</f>
        <v>2024</v>
      </c>
      <c r="L2202" t="str">
        <f>TEXT(NetflixData[[#This Row],[date]],"mmm")</f>
        <v>Sep</v>
      </c>
      <c r="M2202" t="str">
        <f>TEXT(NetflixData[[#This Row],[date]],"mmm yyyy")</f>
        <v>Sep 2024</v>
      </c>
      <c r="N2202" t="str">
        <f t="shared" si="102"/>
        <v>Non-Trading Day</v>
      </c>
      <c r="O2202" t="str">
        <f t="shared" si="103"/>
        <v>Negative</v>
      </c>
      <c r="P2202" t="str">
        <f t="shared" si="104"/>
        <v>Neutral</v>
      </c>
    </row>
    <row r="2203" spans="1:16" x14ac:dyDescent="0.3">
      <c r="A2203" s="1">
        <v>45556</v>
      </c>
      <c r="B2203">
        <v>70.099999999999994</v>
      </c>
      <c r="C2203">
        <v>0</v>
      </c>
      <c r="D2203">
        <v>0</v>
      </c>
      <c r="E2203">
        <v>0</v>
      </c>
      <c r="H2203">
        <v>0</v>
      </c>
      <c r="J2203">
        <v>0</v>
      </c>
      <c r="K2203">
        <f>YEAR(NetflixData[[#This Row],[date]])</f>
        <v>2024</v>
      </c>
      <c r="L2203" t="str">
        <f>TEXT(NetflixData[[#This Row],[date]],"mmm")</f>
        <v>Sep</v>
      </c>
      <c r="M2203" t="str">
        <f>TEXT(NetflixData[[#This Row],[date]],"mmm yyyy")</f>
        <v>Sep 2024</v>
      </c>
      <c r="N2203" t="str">
        <f t="shared" si="102"/>
        <v>Non-Trading Day</v>
      </c>
      <c r="O2203" t="str">
        <f t="shared" si="103"/>
        <v>No Change</v>
      </c>
      <c r="P2203" t="str">
        <f t="shared" si="104"/>
        <v>Neutral</v>
      </c>
    </row>
    <row r="2204" spans="1:16" x14ac:dyDescent="0.3">
      <c r="A2204" s="1">
        <v>45557</v>
      </c>
      <c r="B2204">
        <v>70.099999999999994</v>
      </c>
      <c r="C2204">
        <v>0</v>
      </c>
      <c r="D2204">
        <v>0</v>
      </c>
      <c r="E2204">
        <v>1</v>
      </c>
      <c r="F2204">
        <v>1</v>
      </c>
      <c r="G2204">
        <v>0</v>
      </c>
      <c r="H2204">
        <v>0</v>
      </c>
      <c r="J2204">
        <v>0</v>
      </c>
      <c r="K2204">
        <f>YEAR(NetflixData[[#This Row],[date]])</f>
        <v>2024</v>
      </c>
      <c r="L2204" t="str">
        <f>TEXT(NetflixData[[#This Row],[date]],"mmm")</f>
        <v>Sep</v>
      </c>
      <c r="M2204" t="str">
        <f>TEXT(NetflixData[[#This Row],[date]],"mmm yyyy")</f>
        <v>Sep 2024</v>
      </c>
      <c r="N2204" t="str">
        <f t="shared" si="102"/>
        <v>Trading Day</v>
      </c>
      <c r="O2204" t="str">
        <f t="shared" si="103"/>
        <v>No Change</v>
      </c>
      <c r="P2204" t="str">
        <f t="shared" si="104"/>
        <v>Neutral</v>
      </c>
    </row>
    <row r="2205" spans="1:16" x14ac:dyDescent="0.3">
      <c r="A2205" s="1">
        <v>45558</v>
      </c>
      <c r="B2205">
        <v>70.540000000000006</v>
      </c>
      <c r="C2205">
        <v>32243000</v>
      </c>
      <c r="D2205">
        <v>0.42399999999999999</v>
      </c>
      <c r="E2205">
        <v>0</v>
      </c>
      <c r="H2205">
        <v>0</v>
      </c>
      <c r="J2205">
        <v>1</v>
      </c>
      <c r="K2205">
        <f>YEAR(NetflixData[[#This Row],[date]])</f>
        <v>2024</v>
      </c>
      <c r="L2205" t="str">
        <f>TEXT(NetflixData[[#This Row],[date]],"mmm")</f>
        <v>Sep</v>
      </c>
      <c r="M2205" t="str">
        <f>TEXT(NetflixData[[#This Row],[date]],"mmm yyyy")</f>
        <v>Sep 2024</v>
      </c>
      <c r="N2205" t="str">
        <f t="shared" si="102"/>
        <v>Trading Day</v>
      </c>
      <c r="O2205" t="str">
        <f t="shared" si="103"/>
        <v>Positive</v>
      </c>
      <c r="P2205" t="str">
        <f t="shared" si="104"/>
        <v>Neutral</v>
      </c>
    </row>
    <row r="2206" spans="1:16" x14ac:dyDescent="0.3">
      <c r="A2206" s="1">
        <v>45559</v>
      </c>
      <c r="B2206">
        <v>72.23</v>
      </c>
      <c r="C2206">
        <v>35657000</v>
      </c>
      <c r="D2206">
        <v>2.2120000000000002</v>
      </c>
      <c r="E2206">
        <v>0</v>
      </c>
      <c r="H2206">
        <v>0</v>
      </c>
      <c r="J2206">
        <v>1</v>
      </c>
      <c r="K2206">
        <f>YEAR(NetflixData[[#This Row],[date]])</f>
        <v>2024</v>
      </c>
      <c r="L2206" t="str">
        <f>TEXT(NetflixData[[#This Row],[date]],"mmm")</f>
        <v>Sep</v>
      </c>
      <c r="M2206" t="str">
        <f>TEXT(NetflixData[[#This Row],[date]],"mmm yyyy")</f>
        <v>Sep 2024</v>
      </c>
      <c r="N2206" t="str">
        <f t="shared" si="102"/>
        <v>Trading Day</v>
      </c>
      <c r="O2206" t="str">
        <f t="shared" si="103"/>
        <v>Positive</v>
      </c>
      <c r="P2206" t="str">
        <f t="shared" si="104"/>
        <v>Neutral</v>
      </c>
    </row>
    <row r="2207" spans="1:16" x14ac:dyDescent="0.3">
      <c r="A2207" s="1">
        <v>45560</v>
      </c>
      <c r="B2207">
        <v>72.16</v>
      </c>
      <c r="C2207">
        <v>22598000</v>
      </c>
      <c r="D2207">
        <v>7.8E-2</v>
      </c>
      <c r="E2207">
        <v>0</v>
      </c>
      <c r="H2207">
        <v>0</v>
      </c>
      <c r="J2207">
        <v>1</v>
      </c>
      <c r="K2207">
        <f>YEAR(NetflixData[[#This Row],[date]])</f>
        <v>2024</v>
      </c>
      <c r="L2207" t="str">
        <f>TEXT(NetflixData[[#This Row],[date]],"mmm")</f>
        <v>Sep</v>
      </c>
      <c r="M2207" t="str">
        <f>TEXT(NetflixData[[#This Row],[date]],"mmm yyyy")</f>
        <v>Sep 2024</v>
      </c>
      <c r="N2207" t="str">
        <f t="shared" si="102"/>
        <v>Trading Day</v>
      </c>
      <c r="O2207" t="str">
        <f t="shared" si="103"/>
        <v>Positive</v>
      </c>
      <c r="P2207" t="str">
        <f t="shared" si="104"/>
        <v>Neutral</v>
      </c>
    </row>
    <row r="2208" spans="1:16" x14ac:dyDescent="0.3">
      <c r="A2208" s="1">
        <v>45561</v>
      </c>
      <c r="B2208">
        <v>71.14</v>
      </c>
      <c r="C2208">
        <v>28330000</v>
      </c>
      <c r="D2208">
        <v>-1.835</v>
      </c>
      <c r="E2208">
        <v>0</v>
      </c>
      <c r="H2208">
        <v>0</v>
      </c>
      <c r="J2208">
        <v>1</v>
      </c>
      <c r="K2208">
        <f>YEAR(NetflixData[[#This Row],[date]])</f>
        <v>2024</v>
      </c>
      <c r="L2208" t="str">
        <f>TEXT(NetflixData[[#This Row],[date]],"mmm")</f>
        <v>Sep</v>
      </c>
      <c r="M2208" t="str">
        <f>TEXT(NetflixData[[#This Row],[date]],"mmm yyyy")</f>
        <v>Sep 2024</v>
      </c>
      <c r="N2208" t="str">
        <f t="shared" si="102"/>
        <v>Trading Day</v>
      </c>
      <c r="O2208" t="str">
        <f t="shared" si="103"/>
        <v>Negative</v>
      </c>
      <c r="P2208" t="str">
        <f t="shared" si="104"/>
        <v>Neutral</v>
      </c>
    </row>
    <row r="2209" spans="1:16" x14ac:dyDescent="0.3">
      <c r="A2209" s="1">
        <v>45562</v>
      </c>
      <c r="B2209">
        <v>70.739999999999995</v>
      </c>
      <c r="C2209">
        <v>23956000</v>
      </c>
      <c r="D2209">
        <v>-0.14299999999999999</v>
      </c>
      <c r="E2209">
        <v>0</v>
      </c>
      <c r="H2209">
        <v>0</v>
      </c>
      <c r="J2209">
        <v>1</v>
      </c>
      <c r="K2209">
        <f>YEAR(NetflixData[[#This Row],[date]])</f>
        <v>2024</v>
      </c>
      <c r="L2209" t="str">
        <f>TEXT(NetflixData[[#This Row],[date]],"mmm")</f>
        <v>Sep</v>
      </c>
      <c r="M2209" t="str">
        <f>TEXT(NetflixData[[#This Row],[date]],"mmm yyyy")</f>
        <v>Sep 2024</v>
      </c>
      <c r="N2209" t="str">
        <f t="shared" si="102"/>
        <v>Non-Trading Day</v>
      </c>
      <c r="O2209" t="str">
        <f t="shared" si="103"/>
        <v>Negative</v>
      </c>
      <c r="P2209" t="str">
        <f t="shared" si="104"/>
        <v>Neutral</v>
      </c>
    </row>
    <row r="2210" spans="1:16" x14ac:dyDescent="0.3">
      <c r="A2210" s="1">
        <v>45563</v>
      </c>
      <c r="B2210">
        <v>70.739999999999995</v>
      </c>
      <c r="C2210">
        <v>0</v>
      </c>
      <c r="D2210">
        <v>0</v>
      </c>
      <c r="E2210">
        <v>1</v>
      </c>
      <c r="F2210">
        <v>1</v>
      </c>
      <c r="G2210">
        <v>-0.89070000000000005</v>
      </c>
      <c r="H2210">
        <v>0</v>
      </c>
      <c r="J2210">
        <v>0</v>
      </c>
      <c r="K2210">
        <f>YEAR(NetflixData[[#This Row],[date]])</f>
        <v>2024</v>
      </c>
      <c r="L2210" t="str">
        <f>TEXT(NetflixData[[#This Row],[date]],"mmm")</f>
        <v>Sep</v>
      </c>
      <c r="M2210" t="str">
        <f>TEXT(NetflixData[[#This Row],[date]],"mmm yyyy")</f>
        <v>Sep 2024</v>
      </c>
      <c r="N2210" t="str">
        <f t="shared" si="102"/>
        <v>Non-Trading Day</v>
      </c>
      <c r="O2210" t="str">
        <f t="shared" si="103"/>
        <v>No Change</v>
      </c>
      <c r="P2210" t="str">
        <f t="shared" si="104"/>
        <v>Negative</v>
      </c>
    </row>
    <row r="2211" spans="1:16" x14ac:dyDescent="0.3">
      <c r="A2211" s="1">
        <v>45564</v>
      </c>
      <c r="B2211">
        <v>70.739999999999995</v>
      </c>
      <c r="C2211">
        <v>0</v>
      </c>
      <c r="D2211">
        <v>0</v>
      </c>
      <c r="E2211">
        <v>0</v>
      </c>
      <c r="H2211">
        <v>0</v>
      </c>
      <c r="J2211">
        <v>0</v>
      </c>
      <c r="K2211">
        <f>YEAR(NetflixData[[#This Row],[date]])</f>
        <v>2024</v>
      </c>
      <c r="L2211" t="str">
        <f>TEXT(NetflixData[[#This Row],[date]],"mmm")</f>
        <v>Sep</v>
      </c>
      <c r="M2211" t="str">
        <f>TEXT(NetflixData[[#This Row],[date]],"mmm yyyy")</f>
        <v>Sep 2024</v>
      </c>
      <c r="N2211" t="str">
        <f t="shared" si="102"/>
        <v>Trading Day</v>
      </c>
      <c r="O2211" t="str">
        <f t="shared" si="103"/>
        <v>No Change</v>
      </c>
      <c r="P2211" t="str">
        <f t="shared" si="104"/>
        <v>Neutral</v>
      </c>
    </row>
    <row r="2212" spans="1:16" x14ac:dyDescent="0.3">
      <c r="A2212" s="1">
        <v>45565</v>
      </c>
      <c r="B2212">
        <v>70.930000000000007</v>
      </c>
      <c r="C2212">
        <v>17099000</v>
      </c>
      <c r="D2212">
        <v>0.32100000000000001</v>
      </c>
      <c r="E2212">
        <v>0</v>
      </c>
      <c r="H2212">
        <v>0</v>
      </c>
      <c r="J2212">
        <v>1</v>
      </c>
      <c r="K2212">
        <f>YEAR(NetflixData[[#This Row],[date]])</f>
        <v>2024</v>
      </c>
      <c r="L2212" t="str">
        <f>TEXT(NetflixData[[#This Row],[date]],"mmm")</f>
        <v>Sep</v>
      </c>
      <c r="M2212" t="str">
        <f>TEXT(NetflixData[[#This Row],[date]],"mmm yyyy")</f>
        <v>Sep 2024</v>
      </c>
      <c r="N2212" t="str">
        <f t="shared" si="102"/>
        <v>Trading Day</v>
      </c>
      <c r="O2212" t="str">
        <f t="shared" si="103"/>
        <v>Positive</v>
      </c>
      <c r="P2212" t="str">
        <f t="shared" si="104"/>
        <v>Neutral</v>
      </c>
    </row>
    <row r="2213" spans="1:16" x14ac:dyDescent="0.3">
      <c r="A2213" s="1">
        <v>45566</v>
      </c>
      <c r="B2213">
        <v>70.61</v>
      </c>
      <c r="C2213">
        <v>28135000</v>
      </c>
      <c r="D2213">
        <v>-1.052</v>
      </c>
      <c r="E2213">
        <v>0</v>
      </c>
      <c r="H2213">
        <v>0</v>
      </c>
      <c r="J2213">
        <v>1</v>
      </c>
      <c r="K2213">
        <f>YEAR(NetflixData[[#This Row],[date]])</f>
        <v>2024</v>
      </c>
      <c r="L2213" t="str">
        <f>TEXT(NetflixData[[#This Row],[date]],"mmm")</f>
        <v>Oct</v>
      </c>
      <c r="M2213" t="str">
        <f>TEXT(NetflixData[[#This Row],[date]],"mmm yyyy")</f>
        <v>Oct 2024</v>
      </c>
      <c r="N2213" t="str">
        <f t="shared" si="102"/>
        <v>Trading Day</v>
      </c>
      <c r="O2213" t="str">
        <f t="shared" si="103"/>
        <v>Negative</v>
      </c>
      <c r="P2213" t="str">
        <f t="shared" si="104"/>
        <v>Neutral</v>
      </c>
    </row>
    <row r="2214" spans="1:16" x14ac:dyDescent="0.3">
      <c r="A2214" s="1">
        <v>45567</v>
      </c>
      <c r="B2214">
        <v>71.11</v>
      </c>
      <c r="C2214">
        <v>17582000</v>
      </c>
      <c r="D2214">
        <v>0.70199999999999996</v>
      </c>
      <c r="E2214">
        <v>0</v>
      </c>
      <c r="H2214">
        <v>0</v>
      </c>
      <c r="J2214">
        <v>1</v>
      </c>
      <c r="K2214">
        <f>YEAR(NetflixData[[#This Row],[date]])</f>
        <v>2024</v>
      </c>
      <c r="L2214" t="str">
        <f>TEXT(NetflixData[[#This Row],[date]],"mmm")</f>
        <v>Oct</v>
      </c>
      <c r="M2214" t="str">
        <f>TEXT(NetflixData[[#This Row],[date]],"mmm yyyy")</f>
        <v>Oct 2024</v>
      </c>
      <c r="N2214" t="str">
        <f t="shared" si="102"/>
        <v>Trading Day</v>
      </c>
      <c r="O2214" t="str">
        <f t="shared" si="103"/>
        <v>Positive</v>
      </c>
      <c r="P2214" t="str">
        <f t="shared" si="104"/>
        <v>Neutral</v>
      </c>
    </row>
    <row r="2215" spans="1:16" x14ac:dyDescent="0.3">
      <c r="A2215" s="1">
        <v>45568</v>
      </c>
      <c r="B2215">
        <v>70.680000000000007</v>
      </c>
      <c r="C2215">
        <v>22564000</v>
      </c>
      <c r="D2215">
        <v>0.36099999999999999</v>
      </c>
      <c r="E2215">
        <v>0</v>
      </c>
      <c r="H2215">
        <v>0</v>
      </c>
      <c r="J2215">
        <v>1</v>
      </c>
      <c r="K2215">
        <f>YEAR(NetflixData[[#This Row],[date]])</f>
        <v>2024</v>
      </c>
      <c r="L2215" t="str">
        <f>TEXT(NetflixData[[#This Row],[date]],"mmm")</f>
        <v>Oct</v>
      </c>
      <c r="M2215" t="str">
        <f>TEXT(NetflixData[[#This Row],[date]],"mmm yyyy")</f>
        <v>Oct 2024</v>
      </c>
      <c r="N2215" t="str">
        <f t="shared" si="102"/>
        <v>Trading Day</v>
      </c>
      <c r="O2215" t="str">
        <f t="shared" si="103"/>
        <v>Positive</v>
      </c>
      <c r="P2215" t="str">
        <f t="shared" si="104"/>
        <v>Neutral</v>
      </c>
    </row>
    <row r="2216" spans="1:16" x14ac:dyDescent="0.3">
      <c r="A2216" s="1">
        <v>45569</v>
      </c>
      <c r="B2216">
        <v>71.97</v>
      </c>
      <c r="C2216">
        <v>22290000</v>
      </c>
      <c r="D2216">
        <v>0.89400000000000002</v>
      </c>
      <c r="E2216">
        <v>1</v>
      </c>
      <c r="F2216">
        <v>1</v>
      </c>
      <c r="G2216">
        <v>-0.46379999999999999</v>
      </c>
      <c r="H2216">
        <v>0</v>
      </c>
      <c r="J2216">
        <v>1</v>
      </c>
      <c r="K2216">
        <f>YEAR(NetflixData[[#This Row],[date]])</f>
        <v>2024</v>
      </c>
      <c r="L2216" t="str">
        <f>TEXT(NetflixData[[#This Row],[date]],"mmm")</f>
        <v>Oct</v>
      </c>
      <c r="M2216" t="str">
        <f>TEXT(NetflixData[[#This Row],[date]],"mmm yyyy")</f>
        <v>Oct 2024</v>
      </c>
      <c r="N2216" t="str">
        <f t="shared" si="102"/>
        <v>Non-Trading Day</v>
      </c>
      <c r="O2216" t="str">
        <f t="shared" si="103"/>
        <v>Positive</v>
      </c>
      <c r="P2216" t="str">
        <f t="shared" si="104"/>
        <v>Negative</v>
      </c>
    </row>
    <row r="2217" spans="1:16" x14ac:dyDescent="0.3">
      <c r="A2217" s="1">
        <v>45570</v>
      </c>
      <c r="B2217">
        <v>71.97</v>
      </c>
      <c r="C2217">
        <v>0</v>
      </c>
      <c r="D2217">
        <v>0</v>
      </c>
      <c r="E2217">
        <v>0</v>
      </c>
      <c r="H2217">
        <v>0</v>
      </c>
      <c r="J2217">
        <v>0</v>
      </c>
      <c r="K2217">
        <f>YEAR(NetflixData[[#This Row],[date]])</f>
        <v>2024</v>
      </c>
      <c r="L2217" t="str">
        <f>TEXT(NetflixData[[#This Row],[date]],"mmm")</f>
        <v>Oct</v>
      </c>
      <c r="M2217" t="str">
        <f>TEXT(NetflixData[[#This Row],[date]],"mmm yyyy")</f>
        <v>Oct 2024</v>
      </c>
      <c r="N2217" t="str">
        <f t="shared" si="102"/>
        <v>Non-Trading Day</v>
      </c>
      <c r="O2217" t="str">
        <f t="shared" si="103"/>
        <v>No Change</v>
      </c>
      <c r="P2217" t="str">
        <f t="shared" si="104"/>
        <v>Neutral</v>
      </c>
    </row>
    <row r="2218" spans="1:16" x14ac:dyDescent="0.3">
      <c r="A2218" s="1">
        <v>45571</v>
      </c>
      <c r="B2218">
        <v>71.97</v>
      </c>
      <c r="C2218">
        <v>0</v>
      </c>
      <c r="D2218">
        <v>0</v>
      </c>
      <c r="E2218">
        <v>1</v>
      </c>
      <c r="F2218">
        <v>1</v>
      </c>
      <c r="G2218">
        <v>0</v>
      </c>
      <c r="H2218">
        <v>0</v>
      </c>
      <c r="J2218">
        <v>0</v>
      </c>
      <c r="K2218">
        <f>YEAR(NetflixData[[#This Row],[date]])</f>
        <v>2024</v>
      </c>
      <c r="L2218" t="str">
        <f>TEXT(NetflixData[[#This Row],[date]],"mmm")</f>
        <v>Oct</v>
      </c>
      <c r="M2218" t="str">
        <f>TEXT(NetflixData[[#This Row],[date]],"mmm yyyy")</f>
        <v>Oct 2024</v>
      </c>
      <c r="N2218" t="str">
        <f t="shared" si="102"/>
        <v>Trading Day</v>
      </c>
      <c r="O2218" t="str">
        <f t="shared" si="103"/>
        <v>No Change</v>
      </c>
      <c r="P2218" t="str">
        <f t="shared" si="104"/>
        <v>Neutral</v>
      </c>
    </row>
    <row r="2219" spans="1:16" x14ac:dyDescent="0.3">
      <c r="A2219" s="1">
        <v>45572</v>
      </c>
      <c r="B2219">
        <v>70.19</v>
      </c>
      <c r="C2219">
        <v>33605000</v>
      </c>
      <c r="D2219">
        <v>-1.796</v>
      </c>
      <c r="E2219">
        <v>91</v>
      </c>
      <c r="F2219">
        <v>2.96</v>
      </c>
      <c r="G2219">
        <v>0.1065</v>
      </c>
      <c r="H2219">
        <v>0</v>
      </c>
      <c r="J2219">
        <v>1</v>
      </c>
      <c r="K2219">
        <f>YEAR(NetflixData[[#This Row],[date]])</f>
        <v>2024</v>
      </c>
      <c r="L2219" t="str">
        <f>TEXT(NetflixData[[#This Row],[date]],"mmm")</f>
        <v>Oct</v>
      </c>
      <c r="M2219" t="str">
        <f>TEXT(NetflixData[[#This Row],[date]],"mmm yyyy")</f>
        <v>Oct 2024</v>
      </c>
      <c r="N2219" t="str">
        <f t="shared" si="102"/>
        <v>Trading Day</v>
      </c>
      <c r="O2219" t="str">
        <f t="shared" si="103"/>
        <v>Negative</v>
      </c>
      <c r="P2219" t="str">
        <f t="shared" si="104"/>
        <v>Positive</v>
      </c>
    </row>
    <row r="2220" spans="1:16" x14ac:dyDescent="0.3">
      <c r="A2220" s="1">
        <v>45573</v>
      </c>
      <c r="B2220">
        <v>72.180000000000007</v>
      </c>
      <c r="C2220">
        <v>31874000</v>
      </c>
      <c r="D2220">
        <v>2.54</v>
      </c>
      <c r="E2220">
        <v>112</v>
      </c>
      <c r="F2220">
        <v>2.91</v>
      </c>
      <c r="G2220">
        <v>0.17399999999999999</v>
      </c>
      <c r="H2220">
        <v>0</v>
      </c>
      <c r="J2220">
        <v>1</v>
      </c>
      <c r="K2220">
        <f>YEAR(NetflixData[[#This Row],[date]])</f>
        <v>2024</v>
      </c>
      <c r="L2220" t="str">
        <f>TEXT(NetflixData[[#This Row],[date]],"mmm")</f>
        <v>Oct</v>
      </c>
      <c r="M2220" t="str">
        <f>TEXT(NetflixData[[#This Row],[date]],"mmm yyyy")</f>
        <v>Oct 2024</v>
      </c>
      <c r="N2220" t="str">
        <f t="shared" si="102"/>
        <v>Trading Day</v>
      </c>
      <c r="O2220" t="str">
        <f t="shared" si="103"/>
        <v>Positive</v>
      </c>
      <c r="P2220" t="str">
        <f t="shared" si="104"/>
        <v>Positive</v>
      </c>
    </row>
    <row r="2221" spans="1:16" x14ac:dyDescent="0.3">
      <c r="A2221" s="1">
        <v>45574</v>
      </c>
      <c r="B2221">
        <v>72.739999999999995</v>
      </c>
      <c r="C2221">
        <v>19811000</v>
      </c>
      <c r="D2221">
        <v>1.137</v>
      </c>
      <c r="E2221">
        <v>97</v>
      </c>
      <c r="F2221">
        <v>2.63</v>
      </c>
      <c r="G2221">
        <v>9.6600000000000005E-2</v>
      </c>
      <c r="H2221">
        <v>0</v>
      </c>
      <c r="J2221">
        <v>1</v>
      </c>
      <c r="K2221">
        <f>YEAR(NetflixData[[#This Row],[date]])</f>
        <v>2024</v>
      </c>
      <c r="L2221" t="str">
        <f>TEXT(NetflixData[[#This Row],[date]],"mmm")</f>
        <v>Oct</v>
      </c>
      <c r="M2221" t="str">
        <f>TEXT(NetflixData[[#This Row],[date]],"mmm yyyy")</f>
        <v>Oct 2024</v>
      </c>
      <c r="N2221" t="str">
        <f t="shared" si="102"/>
        <v>Trading Day</v>
      </c>
      <c r="O2221" t="str">
        <f t="shared" si="103"/>
        <v>Positive</v>
      </c>
      <c r="P2221" t="str">
        <f t="shared" si="104"/>
        <v>Neutral</v>
      </c>
    </row>
    <row r="2222" spans="1:16" x14ac:dyDescent="0.3">
      <c r="A2222" s="1">
        <v>45575</v>
      </c>
      <c r="B2222">
        <v>73.03</v>
      </c>
      <c r="C2222">
        <v>27679000</v>
      </c>
      <c r="D2222">
        <v>0.96799999999999997</v>
      </c>
      <c r="E2222">
        <v>93</v>
      </c>
      <c r="F2222">
        <v>3.17</v>
      </c>
      <c r="G2222">
        <v>0.21829999999999999</v>
      </c>
      <c r="H2222">
        <v>0</v>
      </c>
      <c r="J2222">
        <v>1</v>
      </c>
      <c r="K2222">
        <f>YEAR(NetflixData[[#This Row],[date]])</f>
        <v>2024</v>
      </c>
      <c r="L2222" t="str">
        <f>TEXT(NetflixData[[#This Row],[date]],"mmm")</f>
        <v>Oct</v>
      </c>
      <c r="M2222" t="str">
        <f>TEXT(NetflixData[[#This Row],[date]],"mmm yyyy")</f>
        <v>Oct 2024</v>
      </c>
      <c r="N2222" t="str">
        <f t="shared" si="102"/>
        <v>Trading Day</v>
      </c>
      <c r="O2222" t="str">
        <f t="shared" si="103"/>
        <v>Positive</v>
      </c>
      <c r="P2222" t="str">
        <f t="shared" si="104"/>
        <v>Positive</v>
      </c>
    </row>
    <row r="2223" spans="1:16" x14ac:dyDescent="0.3">
      <c r="A2223" s="1">
        <v>45576</v>
      </c>
      <c r="B2223">
        <v>72.28</v>
      </c>
      <c r="C2223">
        <v>22995000</v>
      </c>
      <c r="D2223">
        <v>-1.6479999999999999</v>
      </c>
      <c r="E2223">
        <v>78</v>
      </c>
      <c r="F2223">
        <v>3.1</v>
      </c>
      <c r="G2223">
        <v>0.1794</v>
      </c>
      <c r="H2223">
        <v>0</v>
      </c>
      <c r="J2223">
        <v>1</v>
      </c>
      <c r="K2223">
        <f>YEAR(NetflixData[[#This Row],[date]])</f>
        <v>2024</v>
      </c>
      <c r="L2223" t="str">
        <f>TEXT(NetflixData[[#This Row],[date]],"mmm")</f>
        <v>Oct</v>
      </c>
      <c r="M2223" t="str">
        <f>TEXT(NetflixData[[#This Row],[date]],"mmm yyyy")</f>
        <v>Oct 2024</v>
      </c>
      <c r="N2223" t="str">
        <f t="shared" si="102"/>
        <v>Non-Trading Day</v>
      </c>
      <c r="O2223" t="str">
        <f t="shared" si="103"/>
        <v>Negative</v>
      </c>
      <c r="P2223" t="str">
        <f t="shared" si="104"/>
        <v>Positive</v>
      </c>
    </row>
    <row r="2224" spans="1:16" x14ac:dyDescent="0.3">
      <c r="A2224" s="1">
        <v>45577</v>
      </c>
      <c r="B2224">
        <v>72.28</v>
      </c>
      <c r="C2224">
        <v>0</v>
      </c>
      <c r="D2224">
        <v>0</v>
      </c>
      <c r="E2224">
        <v>117</v>
      </c>
      <c r="F2224">
        <v>2.98</v>
      </c>
      <c r="G2224">
        <v>0.1711</v>
      </c>
      <c r="H2224">
        <v>0</v>
      </c>
      <c r="J2224">
        <v>0</v>
      </c>
      <c r="K2224">
        <f>YEAR(NetflixData[[#This Row],[date]])</f>
        <v>2024</v>
      </c>
      <c r="L2224" t="str">
        <f>TEXT(NetflixData[[#This Row],[date]],"mmm")</f>
        <v>Oct</v>
      </c>
      <c r="M2224" t="str">
        <f>TEXT(NetflixData[[#This Row],[date]],"mmm yyyy")</f>
        <v>Oct 2024</v>
      </c>
      <c r="N2224" t="str">
        <f t="shared" si="102"/>
        <v>Non-Trading Day</v>
      </c>
      <c r="O2224" t="str">
        <f t="shared" si="103"/>
        <v>No Change</v>
      </c>
      <c r="P2224" t="str">
        <f t="shared" si="104"/>
        <v>Positive</v>
      </c>
    </row>
    <row r="2225" spans="1:16" x14ac:dyDescent="0.3">
      <c r="A2225" s="1">
        <v>45578</v>
      </c>
      <c r="B2225">
        <v>72.28</v>
      </c>
      <c r="C2225">
        <v>0</v>
      </c>
      <c r="D2225">
        <v>0</v>
      </c>
      <c r="E2225">
        <v>122</v>
      </c>
      <c r="F2225">
        <v>2.97</v>
      </c>
      <c r="G2225">
        <v>0.12139999999999999</v>
      </c>
      <c r="H2225">
        <v>0</v>
      </c>
      <c r="J2225">
        <v>0</v>
      </c>
      <c r="K2225">
        <f>YEAR(NetflixData[[#This Row],[date]])</f>
        <v>2024</v>
      </c>
      <c r="L2225" t="str">
        <f>TEXT(NetflixData[[#This Row],[date]],"mmm")</f>
        <v>Oct</v>
      </c>
      <c r="M2225" t="str">
        <f>TEXT(NetflixData[[#This Row],[date]],"mmm yyyy")</f>
        <v>Oct 2024</v>
      </c>
      <c r="N2225" t="str">
        <f t="shared" si="102"/>
        <v>Trading Day</v>
      </c>
      <c r="O2225" t="str">
        <f t="shared" si="103"/>
        <v>No Change</v>
      </c>
      <c r="P2225" t="str">
        <f t="shared" si="104"/>
        <v>Positive</v>
      </c>
    </row>
    <row r="2226" spans="1:16" x14ac:dyDescent="0.3">
      <c r="A2226" s="1">
        <v>45579</v>
      </c>
      <c r="B2226">
        <v>71.3</v>
      </c>
      <c r="C2226">
        <v>27971000</v>
      </c>
      <c r="D2226">
        <v>-1.655</v>
      </c>
      <c r="E2226">
        <v>89</v>
      </c>
      <c r="F2226">
        <v>3.2</v>
      </c>
      <c r="G2226">
        <v>0.19520000000000001</v>
      </c>
      <c r="H2226">
        <v>0</v>
      </c>
      <c r="J2226">
        <v>1</v>
      </c>
      <c r="K2226">
        <f>YEAR(NetflixData[[#This Row],[date]])</f>
        <v>2024</v>
      </c>
      <c r="L2226" t="str">
        <f>TEXT(NetflixData[[#This Row],[date]],"mmm")</f>
        <v>Oct</v>
      </c>
      <c r="M2226" t="str">
        <f>TEXT(NetflixData[[#This Row],[date]],"mmm yyyy")</f>
        <v>Oct 2024</v>
      </c>
      <c r="N2226" t="str">
        <f t="shared" si="102"/>
        <v>Trading Day</v>
      </c>
      <c r="O2226" t="str">
        <f t="shared" si="103"/>
        <v>Negative</v>
      </c>
      <c r="P2226" t="str">
        <f t="shared" si="104"/>
        <v>Positive</v>
      </c>
    </row>
    <row r="2227" spans="1:16" x14ac:dyDescent="0.3">
      <c r="A2227" s="1">
        <v>45580</v>
      </c>
      <c r="B2227">
        <v>70.599999999999994</v>
      </c>
      <c r="C2227">
        <v>29328000</v>
      </c>
      <c r="D2227">
        <v>-0.91600000000000004</v>
      </c>
      <c r="E2227">
        <v>105</v>
      </c>
      <c r="F2227">
        <v>3.1</v>
      </c>
      <c r="G2227">
        <v>0.1996</v>
      </c>
      <c r="H2227">
        <v>0</v>
      </c>
      <c r="J2227">
        <v>1</v>
      </c>
      <c r="K2227">
        <f>YEAR(NetflixData[[#This Row],[date]])</f>
        <v>2024</v>
      </c>
      <c r="L2227" t="str">
        <f>TEXT(NetflixData[[#This Row],[date]],"mmm")</f>
        <v>Oct</v>
      </c>
      <c r="M2227" t="str">
        <f>TEXT(NetflixData[[#This Row],[date]],"mmm yyyy")</f>
        <v>Oct 2024</v>
      </c>
      <c r="N2227" t="str">
        <f t="shared" si="102"/>
        <v>Trading Day</v>
      </c>
      <c r="O2227" t="str">
        <f t="shared" si="103"/>
        <v>Negative</v>
      </c>
      <c r="P2227" t="str">
        <f t="shared" si="104"/>
        <v>Positive</v>
      </c>
    </row>
    <row r="2228" spans="1:16" x14ac:dyDescent="0.3">
      <c r="A2228" s="1">
        <v>45581</v>
      </c>
      <c r="B2228">
        <v>70.2</v>
      </c>
      <c r="C2228">
        <v>24943000</v>
      </c>
      <c r="D2228">
        <v>-0.20300000000000001</v>
      </c>
      <c r="E2228">
        <v>85</v>
      </c>
      <c r="F2228">
        <v>3.01</v>
      </c>
      <c r="G2228">
        <v>0.13189999999999999</v>
      </c>
      <c r="H2228">
        <v>0</v>
      </c>
      <c r="J2228">
        <v>1</v>
      </c>
      <c r="K2228">
        <f>YEAR(NetflixData[[#This Row],[date]])</f>
        <v>2024</v>
      </c>
      <c r="L2228" t="str">
        <f>TEXT(NetflixData[[#This Row],[date]],"mmm")</f>
        <v>Oct</v>
      </c>
      <c r="M2228" t="str">
        <f>TEXT(NetflixData[[#This Row],[date]],"mmm yyyy")</f>
        <v>Oct 2024</v>
      </c>
      <c r="N2228" t="str">
        <f t="shared" si="102"/>
        <v>Trading Day</v>
      </c>
      <c r="O2228" t="str">
        <f t="shared" si="103"/>
        <v>Negative</v>
      </c>
      <c r="P2228" t="str">
        <f t="shared" si="104"/>
        <v>Positive</v>
      </c>
    </row>
    <row r="2229" spans="1:16" x14ac:dyDescent="0.3">
      <c r="A2229" s="1">
        <v>45582</v>
      </c>
      <c r="B2229">
        <v>68.760000000000005</v>
      </c>
      <c r="C2229">
        <v>89267000</v>
      </c>
      <c r="D2229">
        <v>-2.371</v>
      </c>
      <c r="E2229">
        <v>88</v>
      </c>
      <c r="F2229">
        <v>3.01</v>
      </c>
      <c r="G2229">
        <v>0.17599999999999999</v>
      </c>
      <c r="H2229">
        <v>0</v>
      </c>
      <c r="J2229">
        <v>1</v>
      </c>
      <c r="K2229">
        <f>YEAR(NetflixData[[#This Row],[date]])</f>
        <v>2024</v>
      </c>
      <c r="L2229" t="str">
        <f>TEXT(NetflixData[[#This Row],[date]],"mmm")</f>
        <v>Oct</v>
      </c>
      <c r="M2229" t="str">
        <f>TEXT(NetflixData[[#This Row],[date]],"mmm yyyy")</f>
        <v>Oct 2024</v>
      </c>
      <c r="N2229" t="str">
        <f t="shared" si="102"/>
        <v>Trading Day</v>
      </c>
      <c r="O2229" t="str">
        <f t="shared" si="103"/>
        <v>Negative</v>
      </c>
      <c r="P2229" t="str">
        <f t="shared" si="104"/>
        <v>Positive</v>
      </c>
    </row>
    <row r="2230" spans="1:16" x14ac:dyDescent="0.3">
      <c r="A2230" s="1">
        <v>45583</v>
      </c>
      <c r="B2230">
        <v>76.39</v>
      </c>
      <c r="C2230">
        <v>159741000</v>
      </c>
      <c r="D2230">
        <v>3.5590000000000002</v>
      </c>
      <c r="E2230">
        <v>80</v>
      </c>
      <c r="F2230">
        <v>3.32</v>
      </c>
      <c r="G2230">
        <v>0.17380000000000001</v>
      </c>
      <c r="H2230">
        <v>0</v>
      </c>
      <c r="J2230">
        <v>1</v>
      </c>
      <c r="K2230">
        <f>YEAR(NetflixData[[#This Row],[date]])</f>
        <v>2024</v>
      </c>
      <c r="L2230" t="str">
        <f>TEXT(NetflixData[[#This Row],[date]],"mmm")</f>
        <v>Oct</v>
      </c>
      <c r="M2230" t="str">
        <f>TEXT(NetflixData[[#This Row],[date]],"mmm yyyy")</f>
        <v>Oct 2024</v>
      </c>
      <c r="N2230" t="str">
        <f t="shared" si="102"/>
        <v>Non-Trading Day</v>
      </c>
      <c r="O2230" t="str">
        <f t="shared" si="103"/>
        <v>Positive</v>
      </c>
      <c r="P2230" t="str">
        <f t="shared" si="104"/>
        <v>Positive</v>
      </c>
    </row>
    <row r="2231" spans="1:16" x14ac:dyDescent="0.3">
      <c r="A2231" s="1">
        <v>45584</v>
      </c>
      <c r="B2231">
        <v>76.39</v>
      </c>
      <c r="C2231">
        <v>0</v>
      </c>
      <c r="D2231">
        <v>0</v>
      </c>
      <c r="E2231">
        <v>102</v>
      </c>
      <c r="F2231">
        <v>3.04</v>
      </c>
      <c r="G2231">
        <v>0.16689999999999999</v>
      </c>
      <c r="H2231">
        <v>0</v>
      </c>
      <c r="J2231">
        <v>0</v>
      </c>
      <c r="K2231">
        <f>YEAR(NetflixData[[#This Row],[date]])</f>
        <v>2024</v>
      </c>
      <c r="L2231" t="str">
        <f>TEXT(NetflixData[[#This Row],[date]],"mmm")</f>
        <v>Oct</v>
      </c>
      <c r="M2231" t="str">
        <f>TEXT(NetflixData[[#This Row],[date]],"mmm yyyy")</f>
        <v>Oct 2024</v>
      </c>
      <c r="N2231" t="str">
        <f t="shared" si="102"/>
        <v>Non-Trading Day</v>
      </c>
      <c r="O2231" t="str">
        <f t="shared" si="103"/>
        <v>No Change</v>
      </c>
      <c r="P2231" t="str">
        <f t="shared" si="104"/>
        <v>Positive</v>
      </c>
    </row>
    <row r="2232" spans="1:16" x14ac:dyDescent="0.3">
      <c r="A2232" s="1">
        <v>45585</v>
      </c>
      <c r="B2232">
        <v>76.39</v>
      </c>
      <c r="C2232">
        <v>0</v>
      </c>
      <c r="D2232">
        <v>0</v>
      </c>
      <c r="E2232">
        <v>109</v>
      </c>
      <c r="F2232">
        <v>2.68</v>
      </c>
      <c r="G2232">
        <v>0.16739999999999999</v>
      </c>
      <c r="H2232">
        <v>0</v>
      </c>
      <c r="J2232">
        <v>0</v>
      </c>
      <c r="K2232">
        <f>YEAR(NetflixData[[#This Row],[date]])</f>
        <v>2024</v>
      </c>
      <c r="L2232" t="str">
        <f>TEXT(NetflixData[[#This Row],[date]],"mmm")</f>
        <v>Oct</v>
      </c>
      <c r="M2232" t="str">
        <f>TEXT(NetflixData[[#This Row],[date]],"mmm yyyy")</f>
        <v>Oct 2024</v>
      </c>
      <c r="N2232" t="str">
        <f t="shared" si="102"/>
        <v>Trading Day</v>
      </c>
      <c r="O2232" t="str">
        <f t="shared" si="103"/>
        <v>No Change</v>
      </c>
      <c r="P2232" t="str">
        <f t="shared" si="104"/>
        <v>Positive</v>
      </c>
    </row>
    <row r="2233" spans="1:16" x14ac:dyDescent="0.3">
      <c r="A2233" s="1">
        <v>45586</v>
      </c>
      <c r="B2233">
        <v>77.209999999999994</v>
      </c>
      <c r="C2233">
        <v>60571000</v>
      </c>
      <c r="D2233">
        <v>0.82399999999999995</v>
      </c>
      <c r="E2233">
        <v>94</v>
      </c>
      <c r="F2233">
        <v>2.98</v>
      </c>
      <c r="G2233">
        <v>0.1321</v>
      </c>
      <c r="H2233">
        <v>0</v>
      </c>
      <c r="J2233">
        <v>1</v>
      </c>
      <c r="K2233">
        <f>YEAR(NetflixData[[#This Row],[date]])</f>
        <v>2024</v>
      </c>
      <c r="L2233" t="str">
        <f>TEXT(NetflixData[[#This Row],[date]],"mmm")</f>
        <v>Oct</v>
      </c>
      <c r="M2233" t="str">
        <f>TEXT(NetflixData[[#This Row],[date]],"mmm yyyy")</f>
        <v>Oct 2024</v>
      </c>
      <c r="N2233" t="str">
        <f t="shared" si="102"/>
        <v>Trading Day</v>
      </c>
      <c r="O2233" t="str">
        <f t="shared" si="103"/>
        <v>Positive</v>
      </c>
      <c r="P2233" t="str">
        <f t="shared" si="104"/>
        <v>Positive</v>
      </c>
    </row>
    <row r="2234" spans="1:16" x14ac:dyDescent="0.3">
      <c r="A2234" s="1">
        <v>45587</v>
      </c>
      <c r="B2234">
        <v>76.42</v>
      </c>
      <c r="C2234">
        <v>29873000</v>
      </c>
      <c r="D2234">
        <v>-0.13500000000000001</v>
      </c>
      <c r="E2234">
        <v>85</v>
      </c>
      <c r="F2234">
        <v>2.4</v>
      </c>
      <c r="G2234">
        <v>7.3499999999999996E-2</v>
      </c>
      <c r="H2234">
        <v>0</v>
      </c>
      <c r="J2234">
        <v>1</v>
      </c>
      <c r="K2234">
        <f>YEAR(NetflixData[[#This Row],[date]])</f>
        <v>2024</v>
      </c>
      <c r="L2234" t="str">
        <f>TEXT(NetflixData[[#This Row],[date]],"mmm")</f>
        <v>Oct</v>
      </c>
      <c r="M2234" t="str">
        <f>TEXT(NetflixData[[#This Row],[date]],"mmm yyyy")</f>
        <v>Oct 2024</v>
      </c>
      <c r="N2234" t="str">
        <f t="shared" si="102"/>
        <v>Trading Day</v>
      </c>
      <c r="O2234" t="str">
        <f t="shared" si="103"/>
        <v>Negative</v>
      </c>
      <c r="P2234" t="str">
        <f t="shared" si="104"/>
        <v>Neutral</v>
      </c>
    </row>
    <row r="2235" spans="1:16" x14ac:dyDescent="0.3">
      <c r="A2235" s="1">
        <v>45588</v>
      </c>
      <c r="B2235">
        <v>74.930000000000007</v>
      </c>
      <c r="C2235">
        <v>37490000</v>
      </c>
      <c r="D2235">
        <v>-1.7749999999999999</v>
      </c>
      <c r="E2235">
        <v>73</v>
      </c>
      <c r="F2235">
        <v>2.9</v>
      </c>
      <c r="G2235">
        <v>0.13109999999999999</v>
      </c>
      <c r="H2235">
        <v>0</v>
      </c>
      <c r="J2235">
        <v>1</v>
      </c>
      <c r="K2235">
        <f>YEAR(NetflixData[[#This Row],[date]])</f>
        <v>2024</v>
      </c>
      <c r="L2235" t="str">
        <f>TEXT(NetflixData[[#This Row],[date]],"mmm")</f>
        <v>Oct</v>
      </c>
      <c r="M2235" t="str">
        <f>TEXT(NetflixData[[#This Row],[date]],"mmm yyyy")</f>
        <v>Oct 2024</v>
      </c>
      <c r="N2235" t="str">
        <f t="shared" si="102"/>
        <v>Trading Day</v>
      </c>
      <c r="O2235" t="str">
        <f t="shared" si="103"/>
        <v>Negative</v>
      </c>
      <c r="P2235" t="str">
        <f t="shared" si="104"/>
        <v>Positive</v>
      </c>
    </row>
    <row r="2236" spans="1:16" x14ac:dyDescent="0.3">
      <c r="A2236" s="1">
        <v>45589</v>
      </c>
      <c r="B2236">
        <v>75.459999999999994</v>
      </c>
      <c r="C2236">
        <v>26430000</v>
      </c>
      <c r="D2236">
        <v>0.34300000000000003</v>
      </c>
      <c r="E2236">
        <v>77</v>
      </c>
      <c r="F2236">
        <v>3.19</v>
      </c>
      <c r="G2236">
        <v>0.2596</v>
      </c>
      <c r="H2236">
        <v>0</v>
      </c>
      <c r="J2236">
        <v>1</v>
      </c>
      <c r="K2236">
        <f>YEAR(NetflixData[[#This Row],[date]])</f>
        <v>2024</v>
      </c>
      <c r="L2236" t="str">
        <f>TEXT(NetflixData[[#This Row],[date]],"mmm")</f>
        <v>Oct</v>
      </c>
      <c r="M2236" t="str">
        <f>TEXT(NetflixData[[#This Row],[date]],"mmm yyyy")</f>
        <v>Oct 2024</v>
      </c>
      <c r="N2236" t="str">
        <f t="shared" si="102"/>
        <v>Trading Day</v>
      </c>
      <c r="O2236" t="str">
        <f t="shared" si="103"/>
        <v>Positive</v>
      </c>
      <c r="P2236" t="str">
        <f t="shared" si="104"/>
        <v>Positive</v>
      </c>
    </row>
    <row r="2237" spans="1:16" x14ac:dyDescent="0.3">
      <c r="A2237" s="1">
        <v>45590</v>
      </c>
      <c r="B2237">
        <v>75.47</v>
      </c>
      <c r="C2237">
        <v>28195000</v>
      </c>
      <c r="D2237">
        <v>-0.19700000000000001</v>
      </c>
      <c r="E2237">
        <v>85</v>
      </c>
      <c r="F2237">
        <v>3.42</v>
      </c>
      <c r="G2237">
        <v>0.12559999999999999</v>
      </c>
      <c r="H2237">
        <v>0</v>
      </c>
      <c r="J2237">
        <v>1</v>
      </c>
      <c r="K2237">
        <f>YEAR(NetflixData[[#This Row],[date]])</f>
        <v>2024</v>
      </c>
      <c r="L2237" t="str">
        <f>TEXT(NetflixData[[#This Row],[date]],"mmm")</f>
        <v>Oct</v>
      </c>
      <c r="M2237" t="str">
        <f>TEXT(NetflixData[[#This Row],[date]],"mmm yyyy")</f>
        <v>Oct 2024</v>
      </c>
      <c r="N2237" t="str">
        <f t="shared" si="102"/>
        <v>Non-Trading Day</v>
      </c>
      <c r="O2237" t="str">
        <f t="shared" si="103"/>
        <v>Negative</v>
      </c>
      <c r="P2237" t="str">
        <f t="shared" si="104"/>
        <v>Positive</v>
      </c>
    </row>
    <row r="2238" spans="1:16" x14ac:dyDescent="0.3">
      <c r="A2238" s="1">
        <v>45591</v>
      </c>
      <c r="B2238">
        <v>75.47</v>
      </c>
      <c r="C2238">
        <v>0</v>
      </c>
      <c r="D2238">
        <v>0</v>
      </c>
      <c r="E2238">
        <v>90</v>
      </c>
      <c r="F2238">
        <v>3.08</v>
      </c>
      <c r="G2238">
        <v>0.1168</v>
      </c>
      <c r="H2238">
        <v>0</v>
      </c>
      <c r="J2238">
        <v>0</v>
      </c>
      <c r="K2238">
        <f>YEAR(NetflixData[[#This Row],[date]])</f>
        <v>2024</v>
      </c>
      <c r="L2238" t="str">
        <f>TEXT(NetflixData[[#This Row],[date]],"mmm")</f>
        <v>Oct</v>
      </c>
      <c r="M2238" t="str">
        <f>TEXT(NetflixData[[#This Row],[date]],"mmm yyyy")</f>
        <v>Oct 2024</v>
      </c>
      <c r="N2238" t="str">
        <f t="shared" si="102"/>
        <v>Non-Trading Day</v>
      </c>
      <c r="O2238" t="str">
        <f t="shared" si="103"/>
        <v>No Change</v>
      </c>
      <c r="P2238" t="str">
        <f t="shared" si="104"/>
        <v>Positive</v>
      </c>
    </row>
    <row r="2239" spans="1:16" x14ac:dyDescent="0.3">
      <c r="A2239" s="1">
        <v>45592</v>
      </c>
      <c r="B2239">
        <v>75.47</v>
      </c>
      <c r="C2239">
        <v>0</v>
      </c>
      <c r="D2239">
        <v>0</v>
      </c>
      <c r="E2239">
        <v>101</v>
      </c>
      <c r="F2239">
        <v>3.06</v>
      </c>
      <c r="G2239">
        <v>8.7400000000000005E-2</v>
      </c>
      <c r="H2239">
        <v>0</v>
      </c>
      <c r="J2239">
        <v>0</v>
      </c>
      <c r="K2239">
        <f>YEAR(NetflixData[[#This Row],[date]])</f>
        <v>2024</v>
      </c>
      <c r="L2239" t="str">
        <f>TEXT(NetflixData[[#This Row],[date]],"mmm")</f>
        <v>Oct</v>
      </c>
      <c r="M2239" t="str">
        <f>TEXT(NetflixData[[#This Row],[date]],"mmm yyyy")</f>
        <v>Oct 2024</v>
      </c>
      <c r="N2239" t="str">
        <f t="shared" si="102"/>
        <v>Trading Day</v>
      </c>
      <c r="O2239" t="str">
        <f t="shared" si="103"/>
        <v>No Change</v>
      </c>
      <c r="P2239" t="str">
        <f t="shared" si="104"/>
        <v>Neutral</v>
      </c>
    </row>
    <row r="2240" spans="1:16" x14ac:dyDescent="0.3">
      <c r="A2240" s="1">
        <v>45593</v>
      </c>
      <c r="B2240">
        <v>74.91</v>
      </c>
      <c r="C2240">
        <v>28624000</v>
      </c>
      <c r="D2240">
        <v>-1.26</v>
      </c>
      <c r="E2240">
        <v>104</v>
      </c>
      <c r="F2240">
        <v>2.93</v>
      </c>
      <c r="G2240">
        <v>7.0000000000000007E-2</v>
      </c>
      <c r="H2240">
        <v>0</v>
      </c>
      <c r="J2240">
        <v>1</v>
      </c>
      <c r="K2240">
        <f>YEAR(NetflixData[[#This Row],[date]])</f>
        <v>2024</v>
      </c>
      <c r="L2240" t="str">
        <f>TEXT(NetflixData[[#This Row],[date]],"mmm")</f>
        <v>Oct</v>
      </c>
      <c r="M2240" t="str">
        <f>TEXT(NetflixData[[#This Row],[date]],"mmm yyyy")</f>
        <v>Oct 2024</v>
      </c>
      <c r="N2240" t="str">
        <f t="shared" si="102"/>
        <v>Trading Day</v>
      </c>
      <c r="O2240" t="str">
        <f t="shared" si="103"/>
        <v>Negative</v>
      </c>
      <c r="P2240" t="str">
        <f t="shared" si="104"/>
        <v>Neutral</v>
      </c>
    </row>
    <row r="2241" spans="1:16" x14ac:dyDescent="0.3">
      <c r="A2241" s="1">
        <v>45594</v>
      </c>
      <c r="B2241">
        <v>75.94</v>
      </c>
      <c r="C2241">
        <v>36604000</v>
      </c>
      <c r="D2241">
        <v>1.1060000000000001</v>
      </c>
      <c r="E2241">
        <v>90</v>
      </c>
      <c r="F2241">
        <v>3.37</v>
      </c>
      <c r="G2241">
        <v>0.15459999999999999</v>
      </c>
      <c r="H2241">
        <v>0</v>
      </c>
      <c r="J2241">
        <v>1</v>
      </c>
      <c r="K2241">
        <f>YEAR(NetflixData[[#This Row],[date]])</f>
        <v>2024</v>
      </c>
      <c r="L2241" t="str">
        <f>TEXT(NetflixData[[#This Row],[date]],"mmm")</f>
        <v>Oct</v>
      </c>
      <c r="M2241" t="str">
        <f>TEXT(NetflixData[[#This Row],[date]],"mmm yyyy")</f>
        <v>Oct 2024</v>
      </c>
      <c r="N2241" t="str">
        <f t="shared" si="102"/>
        <v>Trading Day</v>
      </c>
      <c r="O2241" t="str">
        <f t="shared" si="103"/>
        <v>Positive</v>
      </c>
      <c r="P2241" t="str">
        <f t="shared" si="104"/>
        <v>Positive</v>
      </c>
    </row>
    <row r="2242" spans="1:16" x14ac:dyDescent="0.3">
      <c r="A2242" s="1">
        <v>45595</v>
      </c>
      <c r="B2242">
        <v>75.37</v>
      </c>
      <c r="C2242">
        <v>17220000</v>
      </c>
      <c r="D2242">
        <v>-0.57199999999999995</v>
      </c>
      <c r="E2242">
        <v>85</v>
      </c>
      <c r="F2242">
        <v>3.05</v>
      </c>
      <c r="G2242">
        <v>0.14219999999999999</v>
      </c>
      <c r="H2242">
        <v>0</v>
      </c>
      <c r="J2242">
        <v>1</v>
      </c>
      <c r="K2242">
        <f>YEAR(NetflixData[[#This Row],[date]])</f>
        <v>2024</v>
      </c>
      <c r="L2242" t="str">
        <f>TEXT(NetflixData[[#This Row],[date]],"mmm")</f>
        <v>Oct</v>
      </c>
      <c r="M2242" t="str">
        <f>TEXT(NetflixData[[#This Row],[date]],"mmm yyyy")</f>
        <v>Oct 2024</v>
      </c>
      <c r="N2242" t="str">
        <f t="shared" ref="N2242:N2305" si="105">IF(J2243=1,"Trading Day","Non-Trading Day")</f>
        <v>Trading Day</v>
      </c>
      <c r="O2242" t="str">
        <f t="shared" ref="O2242:O2305" si="106">IF(D2242&gt;0,"Positive",IF(D2242&lt;0,"Negative","No Change"))</f>
        <v>Negative</v>
      </c>
      <c r="P2242" t="str">
        <f t="shared" ref="P2242:P2305" si="107">IF(G2242&gt;0.1,"Positive",IF(G2242&lt;-0.1,"Negative","Neutral"))</f>
        <v>Positive</v>
      </c>
    </row>
    <row r="2243" spans="1:16" x14ac:dyDescent="0.3">
      <c r="A2243" s="1">
        <v>45596</v>
      </c>
      <c r="B2243">
        <v>75.599999999999994</v>
      </c>
      <c r="C2243">
        <v>30577000</v>
      </c>
      <c r="D2243">
        <v>0.27900000000000003</v>
      </c>
      <c r="E2243">
        <v>80</v>
      </c>
      <c r="F2243">
        <v>3.26</v>
      </c>
      <c r="G2243">
        <v>0.20330000000000001</v>
      </c>
      <c r="H2243">
        <v>0</v>
      </c>
      <c r="J2243">
        <v>1</v>
      </c>
      <c r="K2243">
        <f>YEAR(NetflixData[[#This Row],[date]])</f>
        <v>2024</v>
      </c>
      <c r="L2243" t="str">
        <f>TEXT(NetflixData[[#This Row],[date]],"mmm")</f>
        <v>Oct</v>
      </c>
      <c r="M2243" t="str">
        <f>TEXT(NetflixData[[#This Row],[date]],"mmm yyyy")</f>
        <v>Oct 2024</v>
      </c>
      <c r="N2243" t="str">
        <f t="shared" si="105"/>
        <v>Trading Day</v>
      </c>
      <c r="O2243" t="str">
        <f t="shared" si="106"/>
        <v>Positive</v>
      </c>
      <c r="P2243" t="str">
        <f t="shared" si="107"/>
        <v>Positive</v>
      </c>
    </row>
    <row r="2244" spans="1:16" x14ac:dyDescent="0.3">
      <c r="A2244" s="1">
        <v>45597</v>
      </c>
      <c r="B2244">
        <v>75.61</v>
      </c>
      <c r="C2244">
        <v>29968000</v>
      </c>
      <c r="D2244">
        <v>0.34799999999999998</v>
      </c>
      <c r="E2244">
        <v>74</v>
      </c>
      <c r="F2244">
        <v>3.01</v>
      </c>
      <c r="G2244">
        <v>0.15859999999999999</v>
      </c>
      <c r="H2244">
        <v>0</v>
      </c>
      <c r="J2244">
        <v>1</v>
      </c>
      <c r="K2244">
        <f>YEAR(NetflixData[[#This Row],[date]])</f>
        <v>2024</v>
      </c>
      <c r="L2244" t="str">
        <f>TEXT(NetflixData[[#This Row],[date]],"mmm")</f>
        <v>Nov</v>
      </c>
      <c r="M2244" t="str">
        <f>TEXT(NetflixData[[#This Row],[date]],"mmm yyyy")</f>
        <v>Nov 2024</v>
      </c>
      <c r="N2244" t="str">
        <f t="shared" si="105"/>
        <v>Non-Trading Day</v>
      </c>
      <c r="O2244" t="str">
        <f t="shared" si="106"/>
        <v>Positive</v>
      </c>
      <c r="P2244" t="str">
        <f t="shared" si="107"/>
        <v>Positive</v>
      </c>
    </row>
    <row r="2245" spans="1:16" x14ac:dyDescent="0.3">
      <c r="A2245" s="1">
        <v>45598</v>
      </c>
      <c r="B2245">
        <v>75.61</v>
      </c>
      <c r="C2245">
        <v>0</v>
      </c>
      <c r="D2245">
        <v>0</v>
      </c>
      <c r="E2245">
        <v>90</v>
      </c>
      <c r="F2245">
        <v>3</v>
      </c>
      <c r="G2245">
        <v>0.1885</v>
      </c>
      <c r="H2245">
        <v>0</v>
      </c>
      <c r="J2245">
        <v>0</v>
      </c>
      <c r="K2245">
        <f>YEAR(NetflixData[[#This Row],[date]])</f>
        <v>2024</v>
      </c>
      <c r="L2245" t="str">
        <f>TEXT(NetflixData[[#This Row],[date]],"mmm")</f>
        <v>Nov</v>
      </c>
      <c r="M2245" t="str">
        <f>TEXT(NetflixData[[#This Row],[date]],"mmm yyyy")</f>
        <v>Nov 2024</v>
      </c>
      <c r="N2245" t="str">
        <f t="shared" si="105"/>
        <v>Non-Trading Day</v>
      </c>
      <c r="O2245" t="str">
        <f t="shared" si="106"/>
        <v>No Change</v>
      </c>
      <c r="P2245" t="str">
        <f t="shared" si="107"/>
        <v>Positive</v>
      </c>
    </row>
    <row r="2246" spans="1:16" x14ac:dyDescent="0.3">
      <c r="A2246" s="1">
        <v>45599</v>
      </c>
      <c r="B2246">
        <v>75.61</v>
      </c>
      <c r="C2246">
        <v>0</v>
      </c>
      <c r="D2246">
        <v>0</v>
      </c>
      <c r="E2246">
        <v>97</v>
      </c>
      <c r="F2246">
        <v>2.98</v>
      </c>
      <c r="G2246">
        <v>0.1076</v>
      </c>
      <c r="H2246">
        <v>0</v>
      </c>
      <c r="J2246">
        <v>0</v>
      </c>
      <c r="K2246">
        <f>YEAR(NetflixData[[#This Row],[date]])</f>
        <v>2024</v>
      </c>
      <c r="L2246" t="str">
        <f>TEXT(NetflixData[[#This Row],[date]],"mmm")</f>
        <v>Nov</v>
      </c>
      <c r="M2246" t="str">
        <f>TEXT(NetflixData[[#This Row],[date]],"mmm yyyy")</f>
        <v>Nov 2024</v>
      </c>
      <c r="N2246" t="str">
        <f t="shared" si="105"/>
        <v>Trading Day</v>
      </c>
      <c r="O2246" t="str">
        <f t="shared" si="106"/>
        <v>No Change</v>
      </c>
      <c r="P2246" t="str">
        <f t="shared" si="107"/>
        <v>Positive</v>
      </c>
    </row>
    <row r="2247" spans="1:16" x14ac:dyDescent="0.3">
      <c r="A2247" s="1">
        <v>45600</v>
      </c>
      <c r="B2247">
        <v>75.55</v>
      </c>
      <c r="C2247">
        <v>19022000</v>
      </c>
      <c r="D2247">
        <v>0.315</v>
      </c>
      <c r="E2247">
        <v>70</v>
      </c>
      <c r="F2247">
        <v>2.7</v>
      </c>
      <c r="G2247">
        <v>8.0100000000000005E-2</v>
      </c>
      <c r="H2247">
        <v>0</v>
      </c>
      <c r="J2247">
        <v>1</v>
      </c>
      <c r="K2247">
        <f>YEAR(NetflixData[[#This Row],[date]])</f>
        <v>2024</v>
      </c>
      <c r="L2247" t="str">
        <f>TEXT(NetflixData[[#This Row],[date]],"mmm")</f>
        <v>Nov</v>
      </c>
      <c r="M2247" t="str">
        <f>TEXT(NetflixData[[#This Row],[date]],"mmm yyyy")</f>
        <v>Nov 2024</v>
      </c>
      <c r="N2247" t="str">
        <f t="shared" si="105"/>
        <v>Trading Day</v>
      </c>
      <c r="O2247" t="str">
        <f t="shared" si="106"/>
        <v>Positive</v>
      </c>
      <c r="P2247" t="str">
        <f t="shared" si="107"/>
        <v>Neutral</v>
      </c>
    </row>
    <row r="2248" spans="1:16" x14ac:dyDescent="0.3">
      <c r="A2248" s="1">
        <v>45601</v>
      </c>
      <c r="B2248">
        <v>76.39</v>
      </c>
      <c r="C2248">
        <v>22006000</v>
      </c>
      <c r="D2248">
        <v>0.86599999999999999</v>
      </c>
      <c r="E2248">
        <v>83</v>
      </c>
      <c r="F2248">
        <v>2.8</v>
      </c>
      <c r="G2248">
        <v>9.69E-2</v>
      </c>
      <c r="H2248">
        <v>0</v>
      </c>
      <c r="J2248">
        <v>1</v>
      </c>
      <c r="K2248">
        <f>YEAR(NetflixData[[#This Row],[date]])</f>
        <v>2024</v>
      </c>
      <c r="L2248" t="str">
        <f>TEXT(NetflixData[[#This Row],[date]],"mmm")</f>
        <v>Nov</v>
      </c>
      <c r="M2248" t="str">
        <f>TEXT(NetflixData[[#This Row],[date]],"mmm yyyy")</f>
        <v>Nov 2024</v>
      </c>
      <c r="N2248" t="str">
        <f t="shared" si="105"/>
        <v>Trading Day</v>
      </c>
      <c r="O2248" t="str">
        <f t="shared" si="106"/>
        <v>Positive</v>
      </c>
      <c r="P2248" t="str">
        <f t="shared" si="107"/>
        <v>Neutral</v>
      </c>
    </row>
    <row r="2249" spans="1:16" x14ac:dyDescent="0.3">
      <c r="A2249" s="1">
        <v>45602</v>
      </c>
      <c r="B2249">
        <v>78.02</v>
      </c>
      <c r="C2249">
        <v>36908000</v>
      </c>
      <c r="D2249">
        <v>1.129</v>
      </c>
      <c r="E2249">
        <v>75</v>
      </c>
      <c r="F2249">
        <v>3.23</v>
      </c>
      <c r="G2249">
        <v>0.1754</v>
      </c>
      <c r="H2249">
        <v>0</v>
      </c>
      <c r="J2249">
        <v>1</v>
      </c>
      <c r="K2249">
        <f>YEAR(NetflixData[[#This Row],[date]])</f>
        <v>2024</v>
      </c>
      <c r="L2249" t="str">
        <f>TEXT(NetflixData[[#This Row],[date]],"mmm")</f>
        <v>Nov</v>
      </c>
      <c r="M2249" t="str">
        <f>TEXT(NetflixData[[#This Row],[date]],"mmm yyyy")</f>
        <v>Nov 2024</v>
      </c>
      <c r="N2249" t="str">
        <f t="shared" si="105"/>
        <v>Trading Day</v>
      </c>
      <c r="O2249" t="str">
        <f t="shared" si="106"/>
        <v>Positive</v>
      </c>
      <c r="P2249" t="str">
        <f t="shared" si="107"/>
        <v>Positive</v>
      </c>
    </row>
    <row r="2250" spans="1:16" x14ac:dyDescent="0.3">
      <c r="A2250" s="1">
        <v>45603</v>
      </c>
      <c r="B2250">
        <v>79.650000000000006</v>
      </c>
      <c r="C2250">
        <v>32951000</v>
      </c>
      <c r="D2250">
        <v>1.9410000000000001</v>
      </c>
      <c r="E2250">
        <v>74</v>
      </c>
      <c r="F2250">
        <v>2.69</v>
      </c>
      <c r="G2250">
        <v>0.1081</v>
      </c>
      <c r="H2250">
        <v>0</v>
      </c>
      <c r="J2250">
        <v>1</v>
      </c>
      <c r="K2250">
        <f>YEAR(NetflixData[[#This Row],[date]])</f>
        <v>2024</v>
      </c>
      <c r="L2250" t="str">
        <f>TEXT(NetflixData[[#This Row],[date]],"mmm")</f>
        <v>Nov</v>
      </c>
      <c r="M2250" t="str">
        <f>TEXT(NetflixData[[#This Row],[date]],"mmm yyyy")</f>
        <v>Nov 2024</v>
      </c>
      <c r="N2250" t="str">
        <f t="shared" si="105"/>
        <v>Trading Day</v>
      </c>
      <c r="O2250" t="str">
        <f t="shared" si="106"/>
        <v>Positive</v>
      </c>
      <c r="P2250" t="str">
        <f t="shared" si="107"/>
        <v>Positive</v>
      </c>
    </row>
    <row r="2251" spans="1:16" x14ac:dyDescent="0.3">
      <c r="A2251" s="1">
        <v>45604</v>
      </c>
      <c r="B2251">
        <v>79.5</v>
      </c>
      <c r="C2251">
        <v>19106000</v>
      </c>
      <c r="D2251">
        <v>-0.29099999999999998</v>
      </c>
      <c r="E2251">
        <v>84</v>
      </c>
      <c r="F2251">
        <v>2.92</v>
      </c>
      <c r="G2251">
        <v>0.1489</v>
      </c>
      <c r="H2251">
        <v>0</v>
      </c>
      <c r="J2251">
        <v>1</v>
      </c>
      <c r="K2251">
        <f>YEAR(NetflixData[[#This Row],[date]])</f>
        <v>2024</v>
      </c>
      <c r="L2251" t="str">
        <f>TEXT(NetflixData[[#This Row],[date]],"mmm")</f>
        <v>Nov</v>
      </c>
      <c r="M2251" t="str">
        <f>TEXT(NetflixData[[#This Row],[date]],"mmm yyyy")</f>
        <v>Nov 2024</v>
      </c>
      <c r="N2251" t="str">
        <f t="shared" si="105"/>
        <v>Non-Trading Day</v>
      </c>
      <c r="O2251" t="str">
        <f t="shared" si="106"/>
        <v>Negative</v>
      </c>
      <c r="P2251" t="str">
        <f t="shared" si="107"/>
        <v>Positive</v>
      </c>
    </row>
    <row r="2252" spans="1:16" x14ac:dyDescent="0.3">
      <c r="A2252" s="1">
        <v>45605</v>
      </c>
      <c r="B2252">
        <v>79.5</v>
      </c>
      <c r="C2252">
        <v>0</v>
      </c>
      <c r="D2252">
        <v>0</v>
      </c>
      <c r="E2252">
        <v>91</v>
      </c>
      <c r="F2252">
        <v>2.8</v>
      </c>
      <c r="G2252">
        <v>7.0499999999999993E-2</v>
      </c>
      <c r="H2252">
        <v>0</v>
      </c>
      <c r="J2252">
        <v>0</v>
      </c>
      <c r="K2252">
        <f>YEAR(NetflixData[[#This Row],[date]])</f>
        <v>2024</v>
      </c>
      <c r="L2252" t="str">
        <f>TEXT(NetflixData[[#This Row],[date]],"mmm")</f>
        <v>Nov</v>
      </c>
      <c r="M2252" t="str">
        <f>TEXT(NetflixData[[#This Row],[date]],"mmm yyyy")</f>
        <v>Nov 2024</v>
      </c>
      <c r="N2252" t="str">
        <f t="shared" si="105"/>
        <v>Non-Trading Day</v>
      </c>
      <c r="O2252" t="str">
        <f t="shared" si="106"/>
        <v>No Change</v>
      </c>
      <c r="P2252" t="str">
        <f t="shared" si="107"/>
        <v>Neutral</v>
      </c>
    </row>
    <row r="2253" spans="1:16" x14ac:dyDescent="0.3">
      <c r="A2253" s="1">
        <v>45606</v>
      </c>
      <c r="B2253">
        <v>79.5</v>
      </c>
      <c r="C2253">
        <v>0</v>
      </c>
      <c r="D2253">
        <v>0</v>
      </c>
      <c r="E2253">
        <v>90</v>
      </c>
      <c r="F2253">
        <v>3.21</v>
      </c>
      <c r="G2253">
        <v>0.1711</v>
      </c>
      <c r="H2253">
        <v>0</v>
      </c>
      <c r="J2253">
        <v>0</v>
      </c>
      <c r="K2253">
        <f>YEAR(NetflixData[[#This Row],[date]])</f>
        <v>2024</v>
      </c>
      <c r="L2253" t="str">
        <f>TEXT(NetflixData[[#This Row],[date]],"mmm")</f>
        <v>Nov</v>
      </c>
      <c r="M2253" t="str">
        <f>TEXT(NetflixData[[#This Row],[date]],"mmm yyyy")</f>
        <v>Nov 2024</v>
      </c>
      <c r="N2253" t="str">
        <f t="shared" si="105"/>
        <v>Trading Day</v>
      </c>
      <c r="O2253" t="str">
        <f t="shared" si="106"/>
        <v>No Change</v>
      </c>
      <c r="P2253" t="str">
        <f t="shared" si="107"/>
        <v>Positive</v>
      </c>
    </row>
    <row r="2254" spans="1:16" x14ac:dyDescent="0.3">
      <c r="A2254" s="1">
        <v>45607</v>
      </c>
      <c r="B2254">
        <v>80.540000000000006</v>
      </c>
      <c r="C2254">
        <v>23992000</v>
      </c>
      <c r="D2254">
        <v>1.1990000000000001</v>
      </c>
      <c r="E2254">
        <v>72</v>
      </c>
      <c r="F2254">
        <v>2.9</v>
      </c>
      <c r="G2254">
        <v>9.2299999999999993E-2</v>
      </c>
      <c r="H2254">
        <v>0</v>
      </c>
      <c r="J2254">
        <v>1</v>
      </c>
      <c r="K2254">
        <f>YEAR(NetflixData[[#This Row],[date]])</f>
        <v>2024</v>
      </c>
      <c r="L2254" t="str">
        <f>TEXT(NetflixData[[#This Row],[date]],"mmm")</f>
        <v>Nov</v>
      </c>
      <c r="M2254" t="str">
        <f>TEXT(NetflixData[[#This Row],[date]],"mmm yyyy")</f>
        <v>Nov 2024</v>
      </c>
      <c r="N2254" t="str">
        <f t="shared" si="105"/>
        <v>Trading Day</v>
      </c>
      <c r="O2254" t="str">
        <f t="shared" si="106"/>
        <v>Positive</v>
      </c>
      <c r="P2254" t="str">
        <f t="shared" si="107"/>
        <v>Neutral</v>
      </c>
    </row>
    <row r="2255" spans="1:16" x14ac:dyDescent="0.3">
      <c r="A2255" s="1">
        <v>45608</v>
      </c>
      <c r="B2255">
        <v>81.95</v>
      </c>
      <c r="C2255">
        <v>28141000</v>
      </c>
      <c r="D2255">
        <v>1.486</v>
      </c>
      <c r="E2255">
        <v>65</v>
      </c>
      <c r="F2255">
        <v>2.65</v>
      </c>
      <c r="G2255">
        <v>2.0400000000000001E-2</v>
      </c>
      <c r="H2255">
        <v>0</v>
      </c>
      <c r="J2255">
        <v>1</v>
      </c>
      <c r="K2255">
        <f>YEAR(NetflixData[[#This Row],[date]])</f>
        <v>2024</v>
      </c>
      <c r="L2255" t="str">
        <f>TEXT(NetflixData[[#This Row],[date]],"mmm")</f>
        <v>Nov</v>
      </c>
      <c r="M2255" t="str">
        <f>TEXT(NetflixData[[#This Row],[date]],"mmm yyyy")</f>
        <v>Nov 2024</v>
      </c>
      <c r="N2255" t="str">
        <f t="shared" si="105"/>
        <v>Trading Day</v>
      </c>
      <c r="O2255" t="str">
        <f t="shared" si="106"/>
        <v>Positive</v>
      </c>
      <c r="P2255" t="str">
        <f t="shared" si="107"/>
        <v>Neutral</v>
      </c>
    </row>
    <row r="2256" spans="1:16" x14ac:dyDescent="0.3">
      <c r="A2256" s="1">
        <v>45609</v>
      </c>
      <c r="B2256">
        <v>83.05</v>
      </c>
      <c r="C2256">
        <v>27678000</v>
      </c>
      <c r="D2256">
        <v>0.95399999999999996</v>
      </c>
      <c r="E2256">
        <v>68</v>
      </c>
      <c r="F2256">
        <v>3</v>
      </c>
      <c r="G2256">
        <v>5.7299999999999997E-2</v>
      </c>
      <c r="H2256">
        <v>0</v>
      </c>
      <c r="J2256">
        <v>1</v>
      </c>
      <c r="K2256">
        <f>YEAR(NetflixData[[#This Row],[date]])</f>
        <v>2024</v>
      </c>
      <c r="L2256" t="str">
        <f>TEXT(NetflixData[[#This Row],[date]],"mmm")</f>
        <v>Nov</v>
      </c>
      <c r="M2256" t="str">
        <f>TEXT(NetflixData[[#This Row],[date]],"mmm yyyy")</f>
        <v>Nov 2024</v>
      </c>
      <c r="N2256" t="str">
        <f t="shared" si="105"/>
        <v>Trading Day</v>
      </c>
      <c r="O2256" t="str">
        <f t="shared" si="106"/>
        <v>Positive</v>
      </c>
      <c r="P2256" t="str">
        <f t="shared" si="107"/>
        <v>Neutral</v>
      </c>
    </row>
    <row r="2257" spans="1:16" x14ac:dyDescent="0.3">
      <c r="A2257" s="1">
        <v>45610</v>
      </c>
      <c r="B2257">
        <v>83.73</v>
      </c>
      <c r="C2257">
        <v>30382000</v>
      </c>
      <c r="D2257">
        <v>0.43099999999999999</v>
      </c>
      <c r="E2257">
        <v>70</v>
      </c>
      <c r="F2257">
        <v>2.8</v>
      </c>
      <c r="G2257">
        <v>0.1331</v>
      </c>
      <c r="H2257">
        <v>0</v>
      </c>
      <c r="J2257">
        <v>1</v>
      </c>
      <c r="K2257">
        <f>YEAR(NetflixData[[#This Row],[date]])</f>
        <v>2024</v>
      </c>
      <c r="L2257" t="str">
        <f>TEXT(NetflixData[[#This Row],[date]],"mmm")</f>
        <v>Nov</v>
      </c>
      <c r="M2257" t="str">
        <f>TEXT(NetflixData[[#This Row],[date]],"mmm yyyy")</f>
        <v>Nov 2024</v>
      </c>
      <c r="N2257" t="str">
        <f t="shared" si="105"/>
        <v>Trading Day</v>
      </c>
      <c r="O2257" t="str">
        <f t="shared" si="106"/>
        <v>Positive</v>
      </c>
      <c r="P2257" t="str">
        <f t="shared" si="107"/>
        <v>Positive</v>
      </c>
    </row>
    <row r="2258" spans="1:16" x14ac:dyDescent="0.3">
      <c r="A2258" s="1">
        <v>45611</v>
      </c>
      <c r="B2258">
        <v>82.4</v>
      </c>
      <c r="C2258">
        <v>36737000</v>
      </c>
      <c r="D2258">
        <v>-0.97099999999999997</v>
      </c>
      <c r="E2258">
        <v>27</v>
      </c>
      <c r="F2258">
        <v>2.44</v>
      </c>
      <c r="G2258">
        <v>2.1899999999999999E-2</v>
      </c>
      <c r="H2258">
        <v>0</v>
      </c>
      <c r="J2258">
        <v>1</v>
      </c>
      <c r="K2258">
        <f>YEAR(NetflixData[[#This Row],[date]])</f>
        <v>2024</v>
      </c>
      <c r="L2258" t="str">
        <f>TEXT(NetflixData[[#This Row],[date]],"mmm")</f>
        <v>Nov</v>
      </c>
      <c r="M2258" t="str">
        <f>TEXT(NetflixData[[#This Row],[date]],"mmm yyyy")</f>
        <v>Nov 2024</v>
      </c>
      <c r="N2258" t="str">
        <f t="shared" si="105"/>
        <v>Non-Trading Day</v>
      </c>
      <c r="O2258" t="str">
        <f t="shared" si="106"/>
        <v>Negative</v>
      </c>
      <c r="P2258" t="str">
        <f t="shared" si="107"/>
        <v>Neutral</v>
      </c>
    </row>
    <row r="2259" spans="1:16" x14ac:dyDescent="0.3">
      <c r="A2259" s="1">
        <v>45612</v>
      </c>
      <c r="B2259">
        <v>82.4</v>
      </c>
      <c r="C2259">
        <v>0</v>
      </c>
      <c r="D2259">
        <v>0</v>
      </c>
      <c r="E2259">
        <v>9</v>
      </c>
      <c r="F2259">
        <v>1</v>
      </c>
      <c r="G2259">
        <v>-0.21340000000000001</v>
      </c>
      <c r="H2259">
        <v>0</v>
      </c>
      <c r="J2259">
        <v>0</v>
      </c>
      <c r="K2259">
        <f>YEAR(NetflixData[[#This Row],[date]])</f>
        <v>2024</v>
      </c>
      <c r="L2259" t="str">
        <f>TEXT(NetflixData[[#This Row],[date]],"mmm")</f>
        <v>Nov</v>
      </c>
      <c r="M2259" t="str">
        <f>TEXT(NetflixData[[#This Row],[date]],"mmm yyyy")</f>
        <v>Nov 2024</v>
      </c>
      <c r="N2259" t="str">
        <f t="shared" si="105"/>
        <v>Non-Trading Day</v>
      </c>
      <c r="O2259" t="str">
        <f t="shared" si="106"/>
        <v>No Change</v>
      </c>
      <c r="P2259" t="str">
        <f t="shared" si="107"/>
        <v>Negative</v>
      </c>
    </row>
    <row r="2260" spans="1:16" x14ac:dyDescent="0.3">
      <c r="A2260" s="1">
        <v>45613</v>
      </c>
      <c r="B2260">
        <v>82.4</v>
      </c>
      <c r="C2260">
        <v>0</v>
      </c>
      <c r="D2260">
        <v>0</v>
      </c>
      <c r="E2260">
        <v>2</v>
      </c>
      <c r="F2260">
        <v>3</v>
      </c>
      <c r="G2260">
        <v>-0.22020000000000001</v>
      </c>
      <c r="H2260">
        <v>0</v>
      </c>
      <c r="J2260">
        <v>0</v>
      </c>
      <c r="K2260">
        <f>YEAR(NetflixData[[#This Row],[date]])</f>
        <v>2024</v>
      </c>
      <c r="L2260" t="str">
        <f>TEXT(NetflixData[[#This Row],[date]],"mmm")</f>
        <v>Nov</v>
      </c>
      <c r="M2260" t="str">
        <f>TEXT(NetflixData[[#This Row],[date]],"mmm yyyy")</f>
        <v>Nov 2024</v>
      </c>
      <c r="N2260" t="str">
        <f t="shared" si="105"/>
        <v>Trading Day</v>
      </c>
      <c r="O2260" t="str">
        <f t="shared" si="106"/>
        <v>No Change</v>
      </c>
      <c r="P2260" t="str">
        <f t="shared" si="107"/>
        <v>Negative</v>
      </c>
    </row>
    <row r="2261" spans="1:16" x14ac:dyDescent="0.3">
      <c r="A2261" s="1">
        <v>45614</v>
      </c>
      <c r="B2261">
        <v>84.71</v>
      </c>
      <c r="C2261">
        <v>40812000</v>
      </c>
      <c r="D2261">
        <v>3.8690000000000002</v>
      </c>
      <c r="E2261">
        <v>0</v>
      </c>
      <c r="H2261">
        <v>0</v>
      </c>
      <c r="J2261">
        <v>1</v>
      </c>
      <c r="K2261">
        <f>YEAR(NetflixData[[#This Row],[date]])</f>
        <v>2024</v>
      </c>
      <c r="L2261" t="str">
        <f>TEXT(NetflixData[[#This Row],[date]],"mmm")</f>
        <v>Nov</v>
      </c>
      <c r="M2261" t="str">
        <f>TEXT(NetflixData[[#This Row],[date]],"mmm yyyy")</f>
        <v>Nov 2024</v>
      </c>
      <c r="N2261" t="str">
        <f t="shared" si="105"/>
        <v>Trading Day</v>
      </c>
      <c r="O2261" t="str">
        <f t="shared" si="106"/>
        <v>Positive</v>
      </c>
      <c r="P2261" t="str">
        <f t="shared" si="107"/>
        <v>Neutral</v>
      </c>
    </row>
    <row r="2262" spans="1:16" x14ac:dyDescent="0.3">
      <c r="A2262" s="1">
        <v>45615</v>
      </c>
      <c r="B2262">
        <v>87.13</v>
      </c>
      <c r="C2262">
        <v>38142000</v>
      </c>
      <c r="D2262">
        <v>3.7589999999999999</v>
      </c>
      <c r="E2262">
        <v>59</v>
      </c>
      <c r="F2262">
        <v>2.5099999999999998</v>
      </c>
      <c r="G2262">
        <v>3.4700000000000002E-2</v>
      </c>
      <c r="H2262">
        <v>0</v>
      </c>
      <c r="J2262">
        <v>1</v>
      </c>
      <c r="K2262">
        <f>YEAR(NetflixData[[#This Row],[date]])</f>
        <v>2024</v>
      </c>
      <c r="L2262" t="str">
        <f>TEXT(NetflixData[[#This Row],[date]],"mmm")</f>
        <v>Nov</v>
      </c>
      <c r="M2262" t="str">
        <f>TEXT(NetflixData[[#This Row],[date]],"mmm yyyy")</f>
        <v>Nov 2024</v>
      </c>
      <c r="N2262" t="str">
        <f t="shared" si="105"/>
        <v>Trading Day</v>
      </c>
      <c r="O2262" t="str">
        <f t="shared" si="106"/>
        <v>Positive</v>
      </c>
      <c r="P2262" t="str">
        <f t="shared" si="107"/>
        <v>Neutral</v>
      </c>
    </row>
    <row r="2263" spans="1:16" x14ac:dyDescent="0.3">
      <c r="A2263" s="1">
        <v>45616</v>
      </c>
      <c r="B2263">
        <v>88.39</v>
      </c>
      <c r="C2263">
        <v>40938000</v>
      </c>
      <c r="D2263">
        <v>0.44</v>
      </c>
      <c r="E2263">
        <v>68</v>
      </c>
      <c r="F2263">
        <v>2.79</v>
      </c>
      <c r="G2263">
        <v>6.2899999999999998E-2</v>
      </c>
      <c r="H2263">
        <v>0</v>
      </c>
      <c r="J2263">
        <v>1</v>
      </c>
      <c r="K2263">
        <f>YEAR(NetflixData[[#This Row],[date]])</f>
        <v>2024</v>
      </c>
      <c r="L2263" t="str">
        <f>TEXT(NetflixData[[#This Row],[date]],"mmm")</f>
        <v>Nov</v>
      </c>
      <c r="M2263" t="str">
        <f>TEXT(NetflixData[[#This Row],[date]],"mmm yyyy")</f>
        <v>Nov 2024</v>
      </c>
      <c r="N2263" t="str">
        <f t="shared" si="105"/>
        <v>Trading Day</v>
      </c>
      <c r="O2263" t="str">
        <f t="shared" si="106"/>
        <v>Positive</v>
      </c>
      <c r="P2263" t="str">
        <f t="shared" si="107"/>
        <v>Neutral</v>
      </c>
    </row>
    <row r="2264" spans="1:16" x14ac:dyDescent="0.3">
      <c r="A2264" s="1">
        <v>45617</v>
      </c>
      <c r="B2264">
        <v>89.75</v>
      </c>
      <c r="C2264">
        <v>45113000</v>
      </c>
      <c r="D2264">
        <v>1.5329999999999999</v>
      </c>
      <c r="E2264">
        <v>48</v>
      </c>
      <c r="F2264">
        <v>2.88</v>
      </c>
      <c r="G2264">
        <v>0.115</v>
      </c>
      <c r="H2264">
        <v>0</v>
      </c>
      <c r="J2264">
        <v>1</v>
      </c>
      <c r="K2264">
        <f>YEAR(NetflixData[[#This Row],[date]])</f>
        <v>2024</v>
      </c>
      <c r="L2264" t="str">
        <f>TEXT(NetflixData[[#This Row],[date]],"mmm")</f>
        <v>Nov</v>
      </c>
      <c r="M2264" t="str">
        <f>TEXT(NetflixData[[#This Row],[date]],"mmm yyyy")</f>
        <v>Nov 2024</v>
      </c>
      <c r="N2264" t="str">
        <f t="shared" si="105"/>
        <v>Trading Day</v>
      </c>
      <c r="O2264" t="str">
        <f t="shared" si="106"/>
        <v>Positive</v>
      </c>
      <c r="P2264" t="str">
        <f t="shared" si="107"/>
        <v>Positive</v>
      </c>
    </row>
    <row r="2265" spans="1:16" x14ac:dyDescent="0.3">
      <c r="A2265" s="1">
        <v>45618</v>
      </c>
      <c r="B2265">
        <v>89.78</v>
      </c>
      <c r="C2265">
        <v>32140000</v>
      </c>
      <c r="D2265">
        <v>0.2</v>
      </c>
      <c r="E2265">
        <v>70</v>
      </c>
      <c r="F2265">
        <v>3.11</v>
      </c>
      <c r="G2265">
        <v>2.41E-2</v>
      </c>
      <c r="H2265">
        <v>0</v>
      </c>
      <c r="J2265">
        <v>1</v>
      </c>
      <c r="K2265">
        <f>YEAR(NetflixData[[#This Row],[date]])</f>
        <v>2024</v>
      </c>
      <c r="L2265" t="str">
        <f>TEXT(NetflixData[[#This Row],[date]],"mmm")</f>
        <v>Nov</v>
      </c>
      <c r="M2265" t="str">
        <f>TEXT(NetflixData[[#This Row],[date]],"mmm yyyy")</f>
        <v>Nov 2024</v>
      </c>
      <c r="N2265" t="str">
        <f t="shared" si="105"/>
        <v>Non-Trading Day</v>
      </c>
      <c r="O2265" t="str">
        <f t="shared" si="106"/>
        <v>Positive</v>
      </c>
      <c r="P2265" t="str">
        <f t="shared" si="107"/>
        <v>Neutral</v>
      </c>
    </row>
    <row r="2266" spans="1:16" x14ac:dyDescent="0.3">
      <c r="A2266" s="1">
        <v>45619</v>
      </c>
      <c r="B2266">
        <v>89.78</v>
      </c>
      <c r="C2266">
        <v>0</v>
      </c>
      <c r="D2266">
        <v>0</v>
      </c>
      <c r="E2266">
        <v>66</v>
      </c>
      <c r="F2266">
        <v>2.8</v>
      </c>
      <c r="G2266">
        <v>0.14940000000000001</v>
      </c>
      <c r="H2266">
        <v>0</v>
      </c>
      <c r="J2266">
        <v>0</v>
      </c>
      <c r="K2266">
        <f>YEAR(NetflixData[[#This Row],[date]])</f>
        <v>2024</v>
      </c>
      <c r="L2266" t="str">
        <f>TEXT(NetflixData[[#This Row],[date]],"mmm")</f>
        <v>Nov</v>
      </c>
      <c r="M2266" t="str">
        <f>TEXT(NetflixData[[#This Row],[date]],"mmm yyyy")</f>
        <v>Nov 2024</v>
      </c>
      <c r="N2266" t="str">
        <f t="shared" si="105"/>
        <v>Non-Trading Day</v>
      </c>
      <c r="O2266" t="str">
        <f t="shared" si="106"/>
        <v>No Change</v>
      </c>
      <c r="P2266" t="str">
        <f t="shared" si="107"/>
        <v>Positive</v>
      </c>
    </row>
    <row r="2267" spans="1:16" x14ac:dyDescent="0.3">
      <c r="A2267" s="1">
        <v>45620</v>
      </c>
      <c r="B2267">
        <v>89.78</v>
      </c>
      <c r="C2267">
        <v>0</v>
      </c>
      <c r="D2267">
        <v>0</v>
      </c>
      <c r="E2267">
        <v>75</v>
      </c>
      <c r="F2267">
        <v>2.64</v>
      </c>
      <c r="G2267">
        <v>0.1236</v>
      </c>
      <c r="H2267">
        <v>0</v>
      </c>
      <c r="J2267">
        <v>0</v>
      </c>
      <c r="K2267">
        <f>YEAR(NetflixData[[#This Row],[date]])</f>
        <v>2024</v>
      </c>
      <c r="L2267" t="str">
        <f>TEXT(NetflixData[[#This Row],[date]],"mmm")</f>
        <v>Nov</v>
      </c>
      <c r="M2267" t="str">
        <f>TEXT(NetflixData[[#This Row],[date]],"mmm yyyy")</f>
        <v>Nov 2024</v>
      </c>
      <c r="N2267" t="str">
        <f t="shared" si="105"/>
        <v>Trading Day</v>
      </c>
      <c r="O2267" t="str">
        <f t="shared" si="106"/>
        <v>No Change</v>
      </c>
      <c r="P2267" t="str">
        <f t="shared" si="107"/>
        <v>Positive</v>
      </c>
    </row>
    <row r="2268" spans="1:16" x14ac:dyDescent="0.3">
      <c r="A2268" s="1">
        <v>45621</v>
      </c>
      <c r="B2268">
        <v>86.56</v>
      </c>
      <c r="C2268">
        <v>60142000</v>
      </c>
      <c r="D2268">
        <v>-4.0419999999999998</v>
      </c>
      <c r="E2268">
        <v>69</v>
      </c>
      <c r="F2268">
        <v>2.75</v>
      </c>
      <c r="G2268">
        <v>0.20849999999999999</v>
      </c>
      <c r="H2268">
        <v>0</v>
      </c>
      <c r="J2268">
        <v>1</v>
      </c>
      <c r="K2268">
        <f>YEAR(NetflixData[[#This Row],[date]])</f>
        <v>2024</v>
      </c>
      <c r="L2268" t="str">
        <f>TEXT(NetflixData[[#This Row],[date]],"mmm")</f>
        <v>Nov</v>
      </c>
      <c r="M2268" t="str">
        <f>TEXT(NetflixData[[#This Row],[date]],"mmm yyyy")</f>
        <v>Nov 2024</v>
      </c>
      <c r="N2268" t="str">
        <f t="shared" si="105"/>
        <v>Trading Day</v>
      </c>
      <c r="O2268" t="str">
        <f t="shared" si="106"/>
        <v>Negative</v>
      </c>
      <c r="P2268" t="str">
        <f t="shared" si="107"/>
        <v>Positive</v>
      </c>
    </row>
    <row r="2269" spans="1:16" x14ac:dyDescent="0.3">
      <c r="A2269" s="1">
        <v>45622</v>
      </c>
      <c r="B2269">
        <v>87.26</v>
      </c>
      <c r="C2269">
        <v>31383000</v>
      </c>
      <c r="D2269">
        <v>0.58899999999999997</v>
      </c>
      <c r="E2269">
        <v>61</v>
      </c>
      <c r="F2269">
        <v>3.38</v>
      </c>
      <c r="G2269">
        <v>0.14610000000000001</v>
      </c>
      <c r="H2269">
        <v>0</v>
      </c>
      <c r="J2269">
        <v>1</v>
      </c>
      <c r="K2269">
        <f>YEAR(NetflixData[[#This Row],[date]])</f>
        <v>2024</v>
      </c>
      <c r="L2269" t="str">
        <f>TEXT(NetflixData[[#This Row],[date]],"mmm")</f>
        <v>Nov</v>
      </c>
      <c r="M2269" t="str">
        <f>TEXT(NetflixData[[#This Row],[date]],"mmm yyyy")</f>
        <v>Nov 2024</v>
      </c>
      <c r="N2269" t="str">
        <f t="shared" si="105"/>
        <v>Trading Day</v>
      </c>
      <c r="O2269" t="str">
        <f t="shared" si="106"/>
        <v>Positive</v>
      </c>
      <c r="P2269" t="str">
        <f t="shared" si="107"/>
        <v>Positive</v>
      </c>
    </row>
    <row r="2270" spans="1:16" x14ac:dyDescent="0.3">
      <c r="A2270" s="1">
        <v>45623</v>
      </c>
      <c r="B2270">
        <v>87.73</v>
      </c>
      <c r="C2270">
        <v>25782000</v>
      </c>
      <c r="D2270">
        <v>0.60499999999999998</v>
      </c>
      <c r="E2270">
        <v>101</v>
      </c>
      <c r="F2270">
        <v>3.02</v>
      </c>
      <c r="G2270">
        <v>6.59E-2</v>
      </c>
      <c r="H2270">
        <v>0</v>
      </c>
      <c r="J2270">
        <v>1</v>
      </c>
      <c r="K2270">
        <f>YEAR(NetflixData[[#This Row],[date]])</f>
        <v>2024</v>
      </c>
      <c r="L2270" t="str">
        <f>TEXT(NetflixData[[#This Row],[date]],"mmm")</f>
        <v>Nov</v>
      </c>
      <c r="M2270" t="str">
        <f>TEXT(NetflixData[[#This Row],[date]],"mmm yyyy")</f>
        <v>Nov 2024</v>
      </c>
      <c r="N2270" t="str">
        <f t="shared" si="105"/>
        <v>Non-Trading Day</v>
      </c>
      <c r="O2270" t="str">
        <f t="shared" si="106"/>
        <v>Positive</v>
      </c>
      <c r="P2270" t="str">
        <f t="shared" si="107"/>
        <v>Neutral</v>
      </c>
    </row>
    <row r="2271" spans="1:16" x14ac:dyDescent="0.3">
      <c r="A2271" s="1">
        <v>45624</v>
      </c>
      <c r="B2271">
        <v>87.73</v>
      </c>
      <c r="C2271">
        <v>0</v>
      </c>
      <c r="D2271">
        <v>0</v>
      </c>
      <c r="E2271">
        <v>109</v>
      </c>
      <c r="F2271">
        <v>3.45</v>
      </c>
      <c r="G2271">
        <v>0.22459999999999999</v>
      </c>
      <c r="H2271">
        <v>0</v>
      </c>
      <c r="J2271">
        <v>0</v>
      </c>
      <c r="K2271">
        <f>YEAR(NetflixData[[#This Row],[date]])</f>
        <v>2024</v>
      </c>
      <c r="L2271" t="str">
        <f>TEXT(NetflixData[[#This Row],[date]],"mmm")</f>
        <v>Nov</v>
      </c>
      <c r="M2271" t="str">
        <f>TEXT(NetflixData[[#This Row],[date]],"mmm yyyy")</f>
        <v>Nov 2024</v>
      </c>
      <c r="N2271" t="str">
        <f t="shared" si="105"/>
        <v>Trading Day</v>
      </c>
      <c r="O2271" t="str">
        <f t="shared" si="106"/>
        <v>No Change</v>
      </c>
      <c r="P2271" t="str">
        <f t="shared" si="107"/>
        <v>Positive</v>
      </c>
    </row>
    <row r="2272" spans="1:16" x14ac:dyDescent="0.3">
      <c r="A2272" s="1">
        <v>45625</v>
      </c>
      <c r="B2272">
        <v>88.68</v>
      </c>
      <c r="C2272">
        <v>20272000</v>
      </c>
      <c r="D2272">
        <v>0.52600000000000002</v>
      </c>
      <c r="E2272">
        <v>84</v>
      </c>
      <c r="F2272">
        <v>3.08</v>
      </c>
      <c r="G2272">
        <v>0.1178</v>
      </c>
      <c r="H2272">
        <v>0</v>
      </c>
      <c r="J2272">
        <v>1</v>
      </c>
      <c r="K2272">
        <f>YEAR(NetflixData[[#This Row],[date]])</f>
        <v>2024</v>
      </c>
      <c r="L2272" t="str">
        <f>TEXT(NetflixData[[#This Row],[date]],"mmm")</f>
        <v>Nov</v>
      </c>
      <c r="M2272" t="str">
        <f>TEXT(NetflixData[[#This Row],[date]],"mmm yyyy")</f>
        <v>Nov 2024</v>
      </c>
      <c r="N2272" t="str">
        <f t="shared" si="105"/>
        <v>Non-Trading Day</v>
      </c>
      <c r="O2272" t="str">
        <f t="shared" si="106"/>
        <v>Positive</v>
      </c>
      <c r="P2272" t="str">
        <f t="shared" si="107"/>
        <v>Positive</v>
      </c>
    </row>
    <row r="2273" spans="1:16" x14ac:dyDescent="0.3">
      <c r="A2273" s="1">
        <v>45626</v>
      </c>
      <c r="B2273">
        <v>88.68</v>
      </c>
      <c r="C2273">
        <v>0</v>
      </c>
      <c r="D2273">
        <v>0</v>
      </c>
      <c r="E2273">
        <v>110</v>
      </c>
      <c r="F2273">
        <v>3.48</v>
      </c>
      <c r="G2273">
        <v>0.1963</v>
      </c>
      <c r="H2273">
        <v>0</v>
      </c>
      <c r="J2273">
        <v>0</v>
      </c>
      <c r="K2273">
        <f>YEAR(NetflixData[[#This Row],[date]])</f>
        <v>2024</v>
      </c>
      <c r="L2273" t="str">
        <f>TEXT(NetflixData[[#This Row],[date]],"mmm")</f>
        <v>Nov</v>
      </c>
      <c r="M2273" t="str">
        <f>TEXT(NetflixData[[#This Row],[date]],"mmm yyyy")</f>
        <v>Nov 2024</v>
      </c>
      <c r="N2273" t="str">
        <f t="shared" si="105"/>
        <v>Non-Trading Day</v>
      </c>
      <c r="O2273" t="str">
        <f t="shared" si="106"/>
        <v>No Change</v>
      </c>
      <c r="P2273" t="str">
        <f t="shared" si="107"/>
        <v>Positive</v>
      </c>
    </row>
    <row r="2274" spans="1:16" x14ac:dyDescent="0.3">
      <c r="A2274" s="1">
        <v>45627</v>
      </c>
      <c r="B2274">
        <v>88.68</v>
      </c>
      <c r="C2274">
        <v>0</v>
      </c>
      <c r="D2274">
        <v>0</v>
      </c>
      <c r="E2274">
        <v>122</v>
      </c>
      <c r="F2274">
        <v>3.13</v>
      </c>
      <c r="G2274">
        <v>0.14149999999999999</v>
      </c>
      <c r="H2274">
        <v>0</v>
      </c>
      <c r="J2274">
        <v>0</v>
      </c>
      <c r="K2274">
        <f>YEAR(NetflixData[[#This Row],[date]])</f>
        <v>2024</v>
      </c>
      <c r="L2274" t="str">
        <f>TEXT(NetflixData[[#This Row],[date]],"mmm")</f>
        <v>Dec</v>
      </c>
      <c r="M2274" t="str">
        <f>TEXT(NetflixData[[#This Row],[date]],"mmm yyyy")</f>
        <v>Dec 2024</v>
      </c>
      <c r="N2274" t="str">
        <f t="shared" si="105"/>
        <v>Trading Day</v>
      </c>
      <c r="O2274" t="str">
        <f t="shared" si="106"/>
        <v>No Change</v>
      </c>
      <c r="P2274" t="str">
        <f t="shared" si="107"/>
        <v>Positive</v>
      </c>
    </row>
    <row r="2275" spans="1:16" x14ac:dyDescent="0.3">
      <c r="A2275" s="1">
        <v>45628</v>
      </c>
      <c r="B2275">
        <v>89.77</v>
      </c>
      <c r="C2275">
        <v>23890000</v>
      </c>
      <c r="D2275">
        <v>1.153</v>
      </c>
      <c r="E2275">
        <v>104</v>
      </c>
      <c r="F2275">
        <v>2.88</v>
      </c>
      <c r="G2275">
        <v>0.11</v>
      </c>
      <c r="H2275">
        <v>0</v>
      </c>
      <c r="J2275">
        <v>1</v>
      </c>
      <c r="K2275">
        <f>YEAR(NetflixData[[#This Row],[date]])</f>
        <v>2024</v>
      </c>
      <c r="L2275" t="str">
        <f>TEXT(NetflixData[[#This Row],[date]],"mmm")</f>
        <v>Dec</v>
      </c>
      <c r="M2275" t="str">
        <f>TEXT(NetflixData[[#This Row],[date]],"mmm yyyy")</f>
        <v>Dec 2024</v>
      </c>
      <c r="N2275" t="str">
        <f t="shared" si="105"/>
        <v>Trading Day</v>
      </c>
      <c r="O2275" t="str">
        <f t="shared" si="106"/>
        <v>Positive</v>
      </c>
      <c r="P2275" t="str">
        <f t="shared" si="107"/>
        <v>Positive</v>
      </c>
    </row>
    <row r="2276" spans="1:16" x14ac:dyDescent="0.3">
      <c r="A2276" s="1">
        <v>45629</v>
      </c>
      <c r="B2276">
        <v>90.22</v>
      </c>
      <c r="C2276">
        <v>24016000</v>
      </c>
      <c r="D2276">
        <v>0.873</v>
      </c>
      <c r="E2276">
        <v>107</v>
      </c>
      <c r="F2276">
        <v>3.21</v>
      </c>
      <c r="G2276">
        <v>0.16239999999999999</v>
      </c>
      <c r="H2276">
        <v>0</v>
      </c>
      <c r="J2276">
        <v>1</v>
      </c>
      <c r="K2276">
        <f>YEAR(NetflixData[[#This Row],[date]])</f>
        <v>2024</v>
      </c>
      <c r="L2276" t="str">
        <f>TEXT(NetflixData[[#This Row],[date]],"mmm")</f>
        <v>Dec</v>
      </c>
      <c r="M2276" t="str">
        <f>TEXT(NetflixData[[#This Row],[date]],"mmm yyyy")</f>
        <v>Dec 2024</v>
      </c>
      <c r="N2276" t="str">
        <f t="shared" si="105"/>
        <v>Trading Day</v>
      </c>
      <c r="O2276" t="str">
        <f t="shared" si="106"/>
        <v>Positive</v>
      </c>
      <c r="P2276" t="str">
        <f t="shared" si="107"/>
        <v>Positive</v>
      </c>
    </row>
    <row r="2277" spans="1:16" x14ac:dyDescent="0.3">
      <c r="A2277" s="1">
        <v>45630</v>
      </c>
      <c r="B2277">
        <v>91.11</v>
      </c>
      <c r="C2277">
        <v>26896000</v>
      </c>
      <c r="D2277">
        <v>1.4490000000000001</v>
      </c>
      <c r="E2277">
        <v>106</v>
      </c>
      <c r="F2277">
        <v>2.66</v>
      </c>
      <c r="G2277">
        <v>9.0200000000000002E-2</v>
      </c>
      <c r="H2277">
        <v>0</v>
      </c>
      <c r="J2277">
        <v>1</v>
      </c>
      <c r="K2277">
        <f>YEAR(NetflixData[[#This Row],[date]])</f>
        <v>2024</v>
      </c>
      <c r="L2277" t="str">
        <f>TEXT(NetflixData[[#This Row],[date]],"mmm")</f>
        <v>Dec</v>
      </c>
      <c r="M2277" t="str">
        <f>TEXT(NetflixData[[#This Row],[date]],"mmm yyyy")</f>
        <v>Dec 2024</v>
      </c>
      <c r="N2277" t="str">
        <f t="shared" si="105"/>
        <v>Trading Day</v>
      </c>
      <c r="O2277" t="str">
        <f t="shared" si="106"/>
        <v>Positive</v>
      </c>
      <c r="P2277" t="str">
        <f t="shared" si="107"/>
        <v>Neutral</v>
      </c>
    </row>
    <row r="2278" spans="1:16" x14ac:dyDescent="0.3">
      <c r="A2278" s="1">
        <v>45631</v>
      </c>
      <c r="B2278">
        <v>91.79</v>
      </c>
      <c r="C2278">
        <v>28353000</v>
      </c>
      <c r="D2278">
        <v>2E-3</v>
      </c>
      <c r="E2278">
        <v>116</v>
      </c>
      <c r="F2278">
        <v>2.99</v>
      </c>
      <c r="G2278">
        <v>0.15</v>
      </c>
      <c r="H2278">
        <v>0</v>
      </c>
      <c r="J2278">
        <v>1</v>
      </c>
      <c r="K2278">
        <f>YEAR(NetflixData[[#This Row],[date]])</f>
        <v>2024</v>
      </c>
      <c r="L2278" t="str">
        <f>TEXT(NetflixData[[#This Row],[date]],"mmm")</f>
        <v>Dec</v>
      </c>
      <c r="M2278" t="str">
        <f>TEXT(NetflixData[[#This Row],[date]],"mmm yyyy")</f>
        <v>Dec 2024</v>
      </c>
      <c r="N2278" t="str">
        <f t="shared" si="105"/>
        <v>Trading Day</v>
      </c>
      <c r="O2278" t="str">
        <f t="shared" si="106"/>
        <v>Positive</v>
      </c>
      <c r="P2278" t="str">
        <f t="shared" si="107"/>
        <v>Positive</v>
      </c>
    </row>
    <row r="2279" spans="1:16" x14ac:dyDescent="0.3">
      <c r="A2279" s="1">
        <v>45632</v>
      </c>
      <c r="B2279">
        <v>93.47</v>
      </c>
      <c r="C2279">
        <v>29554000</v>
      </c>
      <c r="D2279">
        <v>2.1320000000000001</v>
      </c>
      <c r="E2279">
        <v>106</v>
      </c>
      <c r="F2279">
        <v>3.19</v>
      </c>
      <c r="G2279">
        <v>0.22520000000000001</v>
      </c>
      <c r="H2279">
        <v>0</v>
      </c>
      <c r="J2279">
        <v>1</v>
      </c>
      <c r="K2279">
        <f>YEAR(NetflixData[[#This Row],[date]])</f>
        <v>2024</v>
      </c>
      <c r="L2279" t="str">
        <f>TEXT(NetflixData[[#This Row],[date]],"mmm")</f>
        <v>Dec</v>
      </c>
      <c r="M2279" t="str">
        <f>TEXT(NetflixData[[#This Row],[date]],"mmm yyyy")</f>
        <v>Dec 2024</v>
      </c>
      <c r="N2279" t="str">
        <f t="shared" si="105"/>
        <v>Non-Trading Day</v>
      </c>
      <c r="O2279" t="str">
        <f t="shared" si="106"/>
        <v>Positive</v>
      </c>
      <c r="P2279" t="str">
        <f t="shared" si="107"/>
        <v>Positive</v>
      </c>
    </row>
    <row r="2280" spans="1:16" x14ac:dyDescent="0.3">
      <c r="A2280" s="1">
        <v>45633</v>
      </c>
      <c r="B2280">
        <v>93.47</v>
      </c>
      <c r="C2280">
        <v>0</v>
      </c>
      <c r="D2280">
        <v>0</v>
      </c>
      <c r="E2280">
        <v>143</v>
      </c>
      <c r="F2280">
        <v>3.07</v>
      </c>
      <c r="G2280">
        <v>0.20230000000000001</v>
      </c>
      <c r="H2280">
        <v>0</v>
      </c>
      <c r="J2280">
        <v>0</v>
      </c>
      <c r="K2280">
        <f>YEAR(NetflixData[[#This Row],[date]])</f>
        <v>2024</v>
      </c>
      <c r="L2280" t="str">
        <f>TEXT(NetflixData[[#This Row],[date]],"mmm")</f>
        <v>Dec</v>
      </c>
      <c r="M2280" t="str">
        <f>TEXT(NetflixData[[#This Row],[date]],"mmm yyyy")</f>
        <v>Dec 2024</v>
      </c>
      <c r="N2280" t="str">
        <f t="shared" si="105"/>
        <v>Non-Trading Day</v>
      </c>
      <c r="O2280" t="str">
        <f t="shared" si="106"/>
        <v>No Change</v>
      </c>
      <c r="P2280" t="str">
        <f t="shared" si="107"/>
        <v>Positive</v>
      </c>
    </row>
    <row r="2281" spans="1:16" x14ac:dyDescent="0.3">
      <c r="A2281" s="1">
        <v>45634</v>
      </c>
      <c r="B2281">
        <v>93.47</v>
      </c>
      <c r="C2281">
        <v>0</v>
      </c>
      <c r="D2281">
        <v>0</v>
      </c>
      <c r="E2281">
        <v>111</v>
      </c>
      <c r="F2281">
        <v>3.08</v>
      </c>
      <c r="G2281">
        <v>0.13350000000000001</v>
      </c>
      <c r="H2281">
        <v>0</v>
      </c>
      <c r="J2281">
        <v>0</v>
      </c>
      <c r="K2281">
        <f>YEAR(NetflixData[[#This Row],[date]])</f>
        <v>2024</v>
      </c>
      <c r="L2281" t="str">
        <f>TEXT(NetflixData[[#This Row],[date]],"mmm")</f>
        <v>Dec</v>
      </c>
      <c r="M2281" t="str">
        <f>TEXT(NetflixData[[#This Row],[date]],"mmm yyyy")</f>
        <v>Dec 2024</v>
      </c>
      <c r="N2281" t="str">
        <f t="shared" si="105"/>
        <v>Trading Day</v>
      </c>
      <c r="O2281" t="str">
        <f t="shared" si="106"/>
        <v>No Change</v>
      </c>
      <c r="P2281" t="str">
        <f t="shared" si="107"/>
        <v>Positive</v>
      </c>
    </row>
    <row r="2282" spans="1:16" x14ac:dyDescent="0.3">
      <c r="A2282" s="1">
        <v>45635</v>
      </c>
      <c r="B2282">
        <v>91.37</v>
      </c>
      <c r="C2282">
        <v>33501000</v>
      </c>
      <c r="D2282">
        <v>-1.542</v>
      </c>
      <c r="E2282">
        <v>97</v>
      </c>
      <c r="F2282">
        <v>2.75</v>
      </c>
      <c r="G2282">
        <v>0.12820000000000001</v>
      </c>
      <c r="H2282">
        <v>0</v>
      </c>
      <c r="J2282">
        <v>1</v>
      </c>
      <c r="K2282">
        <f>YEAR(NetflixData[[#This Row],[date]])</f>
        <v>2024</v>
      </c>
      <c r="L2282" t="str">
        <f>TEXT(NetflixData[[#This Row],[date]],"mmm")</f>
        <v>Dec</v>
      </c>
      <c r="M2282" t="str">
        <f>TEXT(NetflixData[[#This Row],[date]],"mmm yyyy")</f>
        <v>Dec 2024</v>
      </c>
      <c r="N2282" t="str">
        <f t="shared" si="105"/>
        <v>Trading Day</v>
      </c>
      <c r="O2282" t="str">
        <f t="shared" si="106"/>
        <v>Negative</v>
      </c>
      <c r="P2282" t="str">
        <f t="shared" si="107"/>
        <v>Positive</v>
      </c>
    </row>
    <row r="2283" spans="1:16" x14ac:dyDescent="0.3">
      <c r="A2283" s="1">
        <v>45636</v>
      </c>
      <c r="B2283">
        <v>91.33</v>
      </c>
      <c r="C2283">
        <v>23886000</v>
      </c>
      <c r="D2283">
        <v>-4.4999999999999998E-2</v>
      </c>
      <c r="E2283">
        <v>100</v>
      </c>
      <c r="F2283">
        <v>3.12</v>
      </c>
      <c r="G2283">
        <v>0.16919999999999999</v>
      </c>
      <c r="H2283">
        <v>0</v>
      </c>
      <c r="J2283">
        <v>1</v>
      </c>
      <c r="K2283">
        <f>YEAR(NetflixData[[#This Row],[date]])</f>
        <v>2024</v>
      </c>
      <c r="L2283" t="str">
        <f>TEXT(NetflixData[[#This Row],[date]],"mmm")</f>
        <v>Dec</v>
      </c>
      <c r="M2283" t="str">
        <f>TEXT(NetflixData[[#This Row],[date]],"mmm yyyy")</f>
        <v>Dec 2024</v>
      </c>
      <c r="N2283" t="str">
        <f t="shared" si="105"/>
        <v>Trading Day</v>
      </c>
      <c r="O2283" t="str">
        <f t="shared" si="106"/>
        <v>Negative</v>
      </c>
      <c r="P2283" t="str">
        <f t="shared" si="107"/>
        <v>Positive</v>
      </c>
    </row>
    <row r="2284" spans="1:16" x14ac:dyDescent="0.3">
      <c r="A2284" s="1">
        <v>45637</v>
      </c>
      <c r="B2284">
        <v>93.66</v>
      </c>
      <c r="C2284">
        <v>35017000</v>
      </c>
      <c r="D2284">
        <v>1.2809999999999999</v>
      </c>
      <c r="E2284">
        <v>104</v>
      </c>
      <c r="F2284">
        <v>3</v>
      </c>
      <c r="G2284">
        <v>6.6500000000000004E-2</v>
      </c>
      <c r="H2284">
        <v>0</v>
      </c>
      <c r="J2284">
        <v>1</v>
      </c>
      <c r="K2284">
        <f>YEAR(NetflixData[[#This Row],[date]])</f>
        <v>2024</v>
      </c>
      <c r="L2284" t="str">
        <f>TEXT(NetflixData[[#This Row],[date]],"mmm")</f>
        <v>Dec</v>
      </c>
      <c r="M2284" t="str">
        <f>TEXT(NetflixData[[#This Row],[date]],"mmm yyyy")</f>
        <v>Dec 2024</v>
      </c>
      <c r="N2284" t="str">
        <f t="shared" si="105"/>
        <v>Trading Day</v>
      </c>
      <c r="O2284" t="str">
        <f t="shared" si="106"/>
        <v>Positive</v>
      </c>
      <c r="P2284" t="str">
        <f t="shared" si="107"/>
        <v>Neutral</v>
      </c>
    </row>
    <row r="2285" spans="1:16" x14ac:dyDescent="0.3">
      <c r="A2285" s="1">
        <v>45638</v>
      </c>
      <c r="B2285">
        <v>92.56</v>
      </c>
      <c r="C2285">
        <v>24862000</v>
      </c>
      <c r="D2285">
        <v>-0.83599999999999997</v>
      </c>
      <c r="E2285">
        <v>96</v>
      </c>
      <c r="F2285">
        <v>3.56</v>
      </c>
      <c r="G2285">
        <v>0.21390000000000001</v>
      </c>
      <c r="H2285">
        <v>0</v>
      </c>
      <c r="J2285">
        <v>1</v>
      </c>
      <c r="K2285">
        <f>YEAR(NetflixData[[#This Row],[date]])</f>
        <v>2024</v>
      </c>
      <c r="L2285" t="str">
        <f>TEXT(NetflixData[[#This Row],[date]],"mmm")</f>
        <v>Dec</v>
      </c>
      <c r="M2285" t="str">
        <f>TEXT(NetflixData[[#This Row],[date]],"mmm yyyy")</f>
        <v>Dec 2024</v>
      </c>
      <c r="N2285" t="str">
        <f t="shared" si="105"/>
        <v>Trading Day</v>
      </c>
      <c r="O2285" t="str">
        <f t="shared" si="106"/>
        <v>Negative</v>
      </c>
      <c r="P2285" t="str">
        <f t="shared" si="107"/>
        <v>Positive</v>
      </c>
    </row>
    <row r="2286" spans="1:16" x14ac:dyDescent="0.3">
      <c r="A2286" s="1">
        <v>45639</v>
      </c>
      <c r="B2286">
        <v>91.89</v>
      </c>
      <c r="C2286">
        <v>24858000</v>
      </c>
      <c r="D2286">
        <v>0.22500000000000001</v>
      </c>
      <c r="E2286">
        <v>89</v>
      </c>
      <c r="F2286">
        <v>2.94</v>
      </c>
      <c r="G2286">
        <v>0.14860000000000001</v>
      </c>
      <c r="H2286">
        <v>0</v>
      </c>
      <c r="J2286">
        <v>1</v>
      </c>
      <c r="K2286">
        <f>YEAR(NetflixData[[#This Row],[date]])</f>
        <v>2024</v>
      </c>
      <c r="L2286" t="str">
        <f>TEXT(NetflixData[[#This Row],[date]],"mmm")</f>
        <v>Dec</v>
      </c>
      <c r="M2286" t="str">
        <f>TEXT(NetflixData[[#This Row],[date]],"mmm yyyy")</f>
        <v>Dec 2024</v>
      </c>
      <c r="N2286" t="str">
        <f t="shared" si="105"/>
        <v>Non-Trading Day</v>
      </c>
      <c r="O2286" t="str">
        <f t="shared" si="106"/>
        <v>Positive</v>
      </c>
      <c r="P2286" t="str">
        <f t="shared" si="107"/>
        <v>Positive</v>
      </c>
    </row>
    <row r="2287" spans="1:16" x14ac:dyDescent="0.3">
      <c r="A2287" s="1">
        <v>45640</v>
      </c>
      <c r="B2287">
        <v>91.89</v>
      </c>
      <c r="C2287">
        <v>0</v>
      </c>
      <c r="D2287">
        <v>0</v>
      </c>
      <c r="E2287">
        <v>117</v>
      </c>
      <c r="F2287">
        <v>3.14</v>
      </c>
      <c r="G2287">
        <v>0.2334</v>
      </c>
      <c r="H2287">
        <v>0</v>
      </c>
      <c r="J2287">
        <v>0</v>
      </c>
      <c r="K2287">
        <f>YEAR(NetflixData[[#This Row],[date]])</f>
        <v>2024</v>
      </c>
      <c r="L2287" t="str">
        <f>TEXT(NetflixData[[#This Row],[date]],"mmm")</f>
        <v>Dec</v>
      </c>
      <c r="M2287" t="str">
        <f>TEXT(NetflixData[[#This Row],[date]],"mmm yyyy")</f>
        <v>Dec 2024</v>
      </c>
      <c r="N2287" t="str">
        <f t="shared" si="105"/>
        <v>Non-Trading Day</v>
      </c>
      <c r="O2287" t="str">
        <f t="shared" si="106"/>
        <v>No Change</v>
      </c>
      <c r="P2287" t="str">
        <f t="shared" si="107"/>
        <v>Positive</v>
      </c>
    </row>
    <row r="2288" spans="1:16" x14ac:dyDescent="0.3">
      <c r="A2288" s="1">
        <v>45641</v>
      </c>
      <c r="B2288">
        <v>91.89</v>
      </c>
      <c r="C2288">
        <v>0</v>
      </c>
      <c r="D2288">
        <v>0</v>
      </c>
      <c r="E2288">
        <v>98</v>
      </c>
      <c r="F2288">
        <v>3.3</v>
      </c>
      <c r="G2288">
        <v>0.1308</v>
      </c>
      <c r="H2288">
        <v>0</v>
      </c>
      <c r="J2288">
        <v>0</v>
      </c>
      <c r="K2288">
        <f>YEAR(NetflixData[[#This Row],[date]])</f>
        <v>2024</v>
      </c>
      <c r="L2288" t="str">
        <f>TEXT(NetflixData[[#This Row],[date]],"mmm")</f>
        <v>Dec</v>
      </c>
      <c r="M2288" t="str">
        <f>TEXT(NetflixData[[#This Row],[date]],"mmm yyyy")</f>
        <v>Dec 2024</v>
      </c>
      <c r="N2288" t="str">
        <f t="shared" si="105"/>
        <v>Trading Day</v>
      </c>
      <c r="O2288" t="str">
        <f t="shared" si="106"/>
        <v>No Change</v>
      </c>
      <c r="P2288" t="str">
        <f t="shared" si="107"/>
        <v>Positive</v>
      </c>
    </row>
    <row r="2289" spans="1:16" x14ac:dyDescent="0.3">
      <c r="A2289" s="1">
        <v>45642</v>
      </c>
      <c r="B2289">
        <v>92.11</v>
      </c>
      <c r="C2289">
        <v>26749000</v>
      </c>
      <c r="D2289">
        <v>-0.31</v>
      </c>
      <c r="E2289">
        <v>106</v>
      </c>
      <c r="F2289">
        <v>3.12</v>
      </c>
      <c r="G2289">
        <v>0.17810000000000001</v>
      </c>
      <c r="H2289">
        <v>0</v>
      </c>
      <c r="J2289">
        <v>1</v>
      </c>
      <c r="K2289">
        <f>YEAR(NetflixData[[#This Row],[date]])</f>
        <v>2024</v>
      </c>
      <c r="L2289" t="str">
        <f>TEXT(NetflixData[[#This Row],[date]],"mmm")</f>
        <v>Dec</v>
      </c>
      <c r="M2289" t="str">
        <f>TEXT(NetflixData[[#This Row],[date]],"mmm yyyy")</f>
        <v>Dec 2024</v>
      </c>
      <c r="N2289" t="str">
        <f t="shared" si="105"/>
        <v>Trading Day</v>
      </c>
      <c r="O2289" t="str">
        <f t="shared" si="106"/>
        <v>Negative</v>
      </c>
      <c r="P2289" t="str">
        <f t="shared" si="107"/>
        <v>Positive</v>
      </c>
    </row>
    <row r="2290" spans="1:16" x14ac:dyDescent="0.3">
      <c r="A2290" s="1">
        <v>45643</v>
      </c>
      <c r="B2290">
        <v>91.91</v>
      </c>
      <c r="C2290">
        <v>24595000</v>
      </c>
      <c r="D2290">
        <v>-0.26200000000000001</v>
      </c>
      <c r="E2290">
        <v>102</v>
      </c>
      <c r="F2290">
        <v>3.15</v>
      </c>
      <c r="G2290">
        <v>0.1449</v>
      </c>
      <c r="H2290">
        <v>0</v>
      </c>
      <c r="J2290">
        <v>1</v>
      </c>
      <c r="K2290">
        <f>YEAR(NetflixData[[#This Row],[date]])</f>
        <v>2024</v>
      </c>
      <c r="L2290" t="str">
        <f>TEXT(NetflixData[[#This Row],[date]],"mmm")</f>
        <v>Dec</v>
      </c>
      <c r="M2290" t="str">
        <f>TEXT(NetflixData[[#This Row],[date]],"mmm yyyy")</f>
        <v>Dec 2024</v>
      </c>
      <c r="N2290" t="str">
        <f t="shared" si="105"/>
        <v>Trading Day</v>
      </c>
      <c r="O2290" t="str">
        <f t="shared" si="106"/>
        <v>Negative</v>
      </c>
      <c r="P2290" t="str">
        <f t="shared" si="107"/>
        <v>Positive</v>
      </c>
    </row>
    <row r="2291" spans="1:16" x14ac:dyDescent="0.3">
      <c r="A2291" s="1">
        <v>45644</v>
      </c>
      <c r="B2291">
        <v>88.96</v>
      </c>
      <c r="C2291">
        <v>29382000</v>
      </c>
      <c r="D2291">
        <v>-3.218</v>
      </c>
      <c r="E2291">
        <v>97</v>
      </c>
      <c r="F2291">
        <v>3.34</v>
      </c>
      <c r="G2291">
        <v>0.1673</v>
      </c>
      <c r="H2291">
        <v>0</v>
      </c>
      <c r="J2291">
        <v>1</v>
      </c>
      <c r="K2291">
        <f>YEAR(NetflixData[[#This Row],[date]])</f>
        <v>2024</v>
      </c>
      <c r="L2291" t="str">
        <f>TEXT(NetflixData[[#This Row],[date]],"mmm")</f>
        <v>Dec</v>
      </c>
      <c r="M2291" t="str">
        <f>TEXT(NetflixData[[#This Row],[date]],"mmm yyyy")</f>
        <v>Dec 2024</v>
      </c>
      <c r="N2291" t="str">
        <f t="shared" si="105"/>
        <v>Trading Day</v>
      </c>
      <c r="O2291" t="str">
        <f t="shared" si="106"/>
        <v>Negative</v>
      </c>
      <c r="P2291" t="str">
        <f t="shared" si="107"/>
        <v>Positive</v>
      </c>
    </row>
    <row r="2292" spans="1:16" x14ac:dyDescent="0.3">
      <c r="A2292" s="1">
        <v>45645</v>
      </c>
      <c r="B2292">
        <v>90.2</v>
      </c>
      <c r="C2292">
        <v>28155000</v>
      </c>
      <c r="D2292">
        <v>-0.67600000000000005</v>
      </c>
      <c r="E2292">
        <v>87</v>
      </c>
      <c r="F2292">
        <v>2.84</v>
      </c>
      <c r="G2292">
        <v>0.15759999999999999</v>
      </c>
      <c r="H2292">
        <v>0</v>
      </c>
      <c r="J2292">
        <v>1</v>
      </c>
      <c r="K2292">
        <f>YEAR(NetflixData[[#This Row],[date]])</f>
        <v>2024</v>
      </c>
      <c r="L2292" t="str">
        <f>TEXT(NetflixData[[#This Row],[date]],"mmm")</f>
        <v>Dec</v>
      </c>
      <c r="M2292" t="str">
        <f>TEXT(NetflixData[[#This Row],[date]],"mmm yyyy")</f>
        <v>Dec 2024</v>
      </c>
      <c r="N2292" t="str">
        <f t="shared" si="105"/>
        <v>Trading Day</v>
      </c>
      <c r="O2292" t="str">
        <f t="shared" si="106"/>
        <v>Negative</v>
      </c>
      <c r="P2292" t="str">
        <f t="shared" si="107"/>
        <v>Positive</v>
      </c>
    </row>
    <row r="2293" spans="1:16" x14ac:dyDescent="0.3">
      <c r="A2293" s="1">
        <v>45646</v>
      </c>
      <c r="B2293">
        <v>90.9</v>
      </c>
      <c r="C2293">
        <v>45305000</v>
      </c>
      <c r="D2293">
        <v>1.7729999999999999</v>
      </c>
      <c r="E2293">
        <v>119</v>
      </c>
      <c r="F2293">
        <v>3.45</v>
      </c>
      <c r="G2293">
        <v>0.253</v>
      </c>
      <c r="H2293">
        <v>0</v>
      </c>
      <c r="J2293">
        <v>1</v>
      </c>
      <c r="K2293">
        <f>YEAR(NetflixData[[#This Row],[date]])</f>
        <v>2024</v>
      </c>
      <c r="L2293" t="str">
        <f>TEXT(NetflixData[[#This Row],[date]],"mmm")</f>
        <v>Dec</v>
      </c>
      <c r="M2293" t="str">
        <f>TEXT(NetflixData[[#This Row],[date]],"mmm yyyy")</f>
        <v>Dec 2024</v>
      </c>
      <c r="N2293" t="str">
        <f t="shared" si="105"/>
        <v>Non-Trading Day</v>
      </c>
      <c r="O2293" t="str">
        <f t="shared" si="106"/>
        <v>Positive</v>
      </c>
      <c r="P2293" t="str">
        <f t="shared" si="107"/>
        <v>Positive</v>
      </c>
    </row>
    <row r="2294" spans="1:16" x14ac:dyDescent="0.3">
      <c r="A2294" s="1">
        <v>45647</v>
      </c>
      <c r="B2294">
        <v>90.9</v>
      </c>
      <c r="C2294">
        <v>0</v>
      </c>
      <c r="D2294">
        <v>0</v>
      </c>
      <c r="E2294">
        <v>112</v>
      </c>
      <c r="F2294">
        <v>3.39</v>
      </c>
      <c r="G2294">
        <v>0.1822</v>
      </c>
      <c r="H2294">
        <v>0</v>
      </c>
      <c r="J2294">
        <v>0</v>
      </c>
      <c r="K2294">
        <f>YEAR(NetflixData[[#This Row],[date]])</f>
        <v>2024</v>
      </c>
      <c r="L2294" t="str">
        <f>TEXT(NetflixData[[#This Row],[date]],"mmm")</f>
        <v>Dec</v>
      </c>
      <c r="M2294" t="str">
        <f>TEXT(NetflixData[[#This Row],[date]],"mmm yyyy")</f>
        <v>Dec 2024</v>
      </c>
      <c r="N2294" t="str">
        <f t="shared" si="105"/>
        <v>Non-Trading Day</v>
      </c>
      <c r="O2294" t="str">
        <f t="shared" si="106"/>
        <v>No Change</v>
      </c>
      <c r="P2294" t="str">
        <f t="shared" si="107"/>
        <v>Positive</v>
      </c>
    </row>
    <row r="2295" spans="1:16" x14ac:dyDescent="0.3">
      <c r="A2295" s="1">
        <v>45648</v>
      </c>
      <c r="B2295">
        <v>90.9</v>
      </c>
      <c r="C2295">
        <v>0</v>
      </c>
      <c r="D2295">
        <v>0</v>
      </c>
      <c r="E2295">
        <v>133</v>
      </c>
      <c r="F2295">
        <v>3.14</v>
      </c>
      <c r="G2295">
        <v>0.18459999999999999</v>
      </c>
      <c r="H2295">
        <v>0</v>
      </c>
      <c r="J2295">
        <v>0</v>
      </c>
      <c r="K2295">
        <f>YEAR(NetflixData[[#This Row],[date]])</f>
        <v>2024</v>
      </c>
      <c r="L2295" t="str">
        <f>TEXT(NetflixData[[#This Row],[date]],"mmm")</f>
        <v>Dec</v>
      </c>
      <c r="M2295" t="str">
        <f>TEXT(NetflixData[[#This Row],[date]],"mmm yyyy")</f>
        <v>Dec 2024</v>
      </c>
      <c r="N2295" t="str">
        <f t="shared" si="105"/>
        <v>Trading Day</v>
      </c>
      <c r="O2295" t="str">
        <f t="shared" si="106"/>
        <v>No Change</v>
      </c>
      <c r="P2295" t="str">
        <f t="shared" si="107"/>
        <v>Positive</v>
      </c>
    </row>
    <row r="2296" spans="1:16" x14ac:dyDescent="0.3">
      <c r="A2296" s="1">
        <v>45649</v>
      </c>
      <c r="B2296">
        <v>91.14</v>
      </c>
      <c r="C2296">
        <v>23394000</v>
      </c>
      <c r="D2296">
        <v>-0.216</v>
      </c>
      <c r="E2296">
        <v>107</v>
      </c>
      <c r="F2296">
        <v>3.18</v>
      </c>
      <c r="G2296">
        <v>0.1484</v>
      </c>
      <c r="H2296">
        <v>0</v>
      </c>
      <c r="J2296">
        <v>1</v>
      </c>
      <c r="K2296">
        <f>YEAR(NetflixData[[#This Row],[date]])</f>
        <v>2024</v>
      </c>
      <c r="L2296" t="str">
        <f>TEXT(NetflixData[[#This Row],[date]],"mmm")</f>
        <v>Dec</v>
      </c>
      <c r="M2296" t="str">
        <f>TEXT(NetflixData[[#This Row],[date]],"mmm yyyy")</f>
        <v>Dec 2024</v>
      </c>
      <c r="N2296" t="str">
        <f t="shared" si="105"/>
        <v>Trading Day</v>
      </c>
      <c r="O2296" t="str">
        <f t="shared" si="106"/>
        <v>Negative</v>
      </c>
      <c r="P2296" t="str">
        <f t="shared" si="107"/>
        <v>Positive</v>
      </c>
    </row>
    <row r="2297" spans="1:16" x14ac:dyDescent="0.3">
      <c r="A2297" s="1">
        <v>45650</v>
      </c>
      <c r="B2297">
        <v>93.21</v>
      </c>
      <c r="C2297">
        <v>23203000</v>
      </c>
      <c r="D2297">
        <v>1.871</v>
      </c>
      <c r="E2297">
        <v>106</v>
      </c>
      <c r="F2297">
        <v>3.27</v>
      </c>
      <c r="G2297">
        <v>0.19289999999999999</v>
      </c>
      <c r="H2297">
        <v>0</v>
      </c>
      <c r="J2297">
        <v>1</v>
      </c>
      <c r="K2297">
        <f>YEAR(NetflixData[[#This Row],[date]])</f>
        <v>2024</v>
      </c>
      <c r="L2297" t="str">
        <f>TEXT(NetflixData[[#This Row],[date]],"mmm")</f>
        <v>Dec</v>
      </c>
      <c r="M2297" t="str">
        <f>TEXT(NetflixData[[#This Row],[date]],"mmm yyyy")</f>
        <v>Dec 2024</v>
      </c>
      <c r="N2297" t="str">
        <f t="shared" si="105"/>
        <v>Non-Trading Day</v>
      </c>
      <c r="O2297" t="str">
        <f t="shared" si="106"/>
        <v>Positive</v>
      </c>
      <c r="P2297" t="str">
        <f t="shared" si="107"/>
        <v>Positive</v>
      </c>
    </row>
    <row r="2298" spans="1:16" x14ac:dyDescent="0.3">
      <c r="A2298" s="1">
        <v>45651</v>
      </c>
      <c r="B2298">
        <v>93.21</v>
      </c>
      <c r="C2298">
        <v>0</v>
      </c>
      <c r="D2298">
        <v>0</v>
      </c>
      <c r="E2298">
        <v>95</v>
      </c>
      <c r="F2298">
        <v>3.31</v>
      </c>
      <c r="G2298">
        <v>0.1651</v>
      </c>
      <c r="H2298">
        <v>0</v>
      </c>
      <c r="J2298">
        <v>0</v>
      </c>
      <c r="K2298">
        <f>YEAR(NetflixData[[#This Row],[date]])</f>
        <v>2024</v>
      </c>
      <c r="L2298" t="str">
        <f>TEXT(NetflixData[[#This Row],[date]],"mmm")</f>
        <v>Dec</v>
      </c>
      <c r="M2298" t="str">
        <f>TEXT(NetflixData[[#This Row],[date]],"mmm yyyy")</f>
        <v>Dec 2024</v>
      </c>
      <c r="N2298" t="str">
        <f t="shared" si="105"/>
        <v>Trading Day</v>
      </c>
      <c r="O2298" t="str">
        <f t="shared" si="106"/>
        <v>No Change</v>
      </c>
      <c r="P2298" t="str">
        <f t="shared" si="107"/>
        <v>Positive</v>
      </c>
    </row>
    <row r="2299" spans="1:16" x14ac:dyDescent="0.3">
      <c r="A2299" s="1">
        <v>45652</v>
      </c>
      <c r="B2299">
        <v>92.41</v>
      </c>
      <c r="C2299">
        <v>23403000</v>
      </c>
      <c r="D2299">
        <v>-0.45900000000000002</v>
      </c>
      <c r="E2299">
        <v>123</v>
      </c>
      <c r="F2299">
        <v>2.97</v>
      </c>
      <c r="G2299">
        <v>7.4300000000000005E-2</v>
      </c>
      <c r="H2299">
        <v>0</v>
      </c>
      <c r="J2299">
        <v>1</v>
      </c>
      <c r="K2299">
        <f>YEAR(NetflixData[[#This Row],[date]])</f>
        <v>2024</v>
      </c>
      <c r="L2299" t="str">
        <f>TEXT(NetflixData[[#This Row],[date]],"mmm")</f>
        <v>Dec</v>
      </c>
      <c r="M2299" t="str">
        <f>TEXT(NetflixData[[#This Row],[date]],"mmm yyyy")</f>
        <v>Dec 2024</v>
      </c>
      <c r="N2299" t="str">
        <f t="shared" si="105"/>
        <v>Trading Day</v>
      </c>
      <c r="O2299" t="str">
        <f t="shared" si="106"/>
        <v>Negative</v>
      </c>
      <c r="P2299" t="str">
        <f t="shared" si="107"/>
        <v>Neutral</v>
      </c>
    </row>
    <row r="2300" spans="1:16" x14ac:dyDescent="0.3">
      <c r="A2300" s="1">
        <v>45653</v>
      </c>
      <c r="B2300">
        <v>90.75</v>
      </c>
      <c r="C2300">
        <v>32262000</v>
      </c>
      <c r="D2300">
        <v>-0.92400000000000004</v>
      </c>
      <c r="E2300">
        <v>147</v>
      </c>
      <c r="F2300">
        <v>2.89</v>
      </c>
      <c r="G2300">
        <v>9.1899999999999996E-2</v>
      </c>
      <c r="H2300">
        <v>0</v>
      </c>
      <c r="J2300">
        <v>1</v>
      </c>
      <c r="K2300">
        <f>YEAR(NetflixData[[#This Row],[date]])</f>
        <v>2024</v>
      </c>
      <c r="L2300" t="str">
        <f>TEXT(NetflixData[[#This Row],[date]],"mmm")</f>
        <v>Dec</v>
      </c>
      <c r="M2300" t="str">
        <f>TEXT(NetflixData[[#This Row],[date]],"mmm yyyy")</f>
        <v>Dec 2024</v>
      </c>
      <c r="N2300" t="str">
        <f t="shared" si="105"/>
        <v>Non-Trading Day</v>
      </c>
      <c r="O2300" t="str">
        <f t="shared" si="106"/>
        <v>Negative</v>
      </c>
      <c r="P2300" t="str">
        <f t="shared" si="107"/>
        <v>Neutral</v>
      </c>
    </row>
    <row r="2301" spans="1:16" x14ac:dyDescent="0.3">
      <c r="A2301" s="1">
        <v>45654</v>
      </c>
      <c r="B2301">
        <v>90.75</v>
      </c>
      <c r="C2301">
        <v>0</v>
      </c>
      <c r="D2301">
        <v>0</v>
      </c>
      <c r="E2301">
        <v>134</v>
      </c>
      <c r="F2301">
        <v>2.79</v>
      </c>
      <c r="G2301">
        <v>0.15260000000000001</v>
      </c>
      <c r="H2301">
        <v>0</v>
      </c>
      <c r="J2301">
        <v>0</v>
      </c>
      <c r="K2301">
        <f>YEAR(NetflixData[[#This Row],[date]])</f>
        <v>2024</v>
      </c>
      <c r="L2301" t="str">
        <f>TEXT(NetflixData[[#This Row],[date]],"mmm")</f>
        <v>Dec</v>
      </c>
      <c r="M2301" t="str">
        <f>TEXT(NetflixData[[#This Row],[date]],"mmm yyyy")</f>
        <v>Dec 2024</v>
      </c>
      <c r="N2301" t="str">
        <f t="shared" si="105"/>
        <v>Non-Trading Day</v>
      </c>
      <c r="O2301" t="str">
        <f t="shared" si="106"/>
        <v>No Change</v>
      </c>
      <c r="P2301" t="str">
        <f t="shared" si="107"/>
        <v>Positive</v>
      </c>
    </row>
    <row r="2302" spans="1:16" x14ac:dyDescent="0.3">
      <c r="A2302" s="1">
        <v>45655</v>
      </c>
      <c r="B2302">
        <v>90.75</v>
      </c>
      <c r="C2302">
        <v>0</v>
      </c>
      <c r="D2302">
        <v>0</v>
      </c>
      <c r="E2302">
        <v>135</v>
      </c>
      <c r="F2302">
        <v>2.9</v>
      </c>
      <c r="G2302">
        <v>0.1055</v>
      </c>
      <c r="H2302">
        <v>0</v>
      </c>
      <c r="J2302">
        <v>0</v>
      </c>
      <c r="K2302">
        <f>YEAR(NetflixData[[#This Row],[date]])</f>
        <v>2024</v>
      </c>
      <c r="L2302" t="str">
        <f>TEXT(NetflixData[[#This Row],[date]],"mmm")</f>
        <v>Dec</v>
      </c>
      <c r="M2302" t="str">
        <f>TEXT(NetflixData[[#This Row],[date]],"mmm yyyy")</f>
        <v>Dec 2024</v>
      </c>
      <c r="N2302" t="str">
        <f t="shared" si="105"/>
        <v>Trading Day</v>
      </c>
      <c r="O2302" t="str">
        <f t="shared" si="106"/>
        <v>No Change</v>
      </c>
      <c r="P2302" t="str">
        <f t="shared" si="107"/>
        <v>Positive</v>
      </c>
    </row>
    <row r="2303" spans="1:16" x14ac:dyDescent="0.3">
      <c r="A2303" s="1">
        <v>45656</v>
      </c>
      <c r="B2303">
        <v>90.04</v>
      </c>
      <c r="C2303">
        <v>22030000</v>
      </c>
      <c r="D2303">
        <v>0.66200000000000003</v>
      </c>
      <c r="E2303">
        <v>118</v>
      </c>
      <c r="F2303">
        <v>3.36</v>
      </c>
      <c r="G2303">
        <v>0.1268</v>
      </c>
      <c r="H2303">
        <v>0</v>
      </c>
      <c r="J2303">
        <v>1</v>
      </c>
      <c r="K2303">
        <f>YEAR(NetflixData[[#This Row],[date]])</f>
        <v>2024</v>
      </c>
      <c r="L2303" t="str">
        <f>TEXT(NetflixData[[#This Row],[date]],"mmm")</f>
        <v>Dec</v>
      </c>
      <c r="M2303" t="str">
        <f>TEXT(NetflixData[[#This Row],[date]],"mmm yyyy")</f>
        <v>Dec 2024</v>
      </c>
      <c r="N2303" t="str">
        <f t="shared" si="105"/>
        <v>Trading Day</v>
      </c>
      <c r="O2303" t="str">
        <f t="shared" si="106"/>
        <v>Positive</v>
      </c>
      <c r="P2303" t="str">
        <f t="shared" si="107"/>
        <v>Positive</v>
      </c>
    </row>
    <row r="2304" spans="1:16" x14ac:dyDescent="0.3">
      <c r="A2304" s="1">
        <v>45657</v>
      </c>
      <c r="B2304">
        <v>89.13</v>
      </c>
      <c r="C2304">
        <v>18759000</v>
      </c>
      <c r="D2304">
        <v>-1.1619999999999999</v>
      </c>
      <c r="E2304">
        <v>117</v>
      </c>
      <c r="F2304">
        <v>3.34</v>
      </c>
      <c r="G2304">
        <v>0.17080000000000001</v>
      </c>
      <c r="H2304">
        <v>0</v>
      </c>
      <c r="J2304">
        <v>1</v>
      </c>
      <c r="K2304">
        <f>YEAR(NetflixData[[#This Row],[date]])</f>
        <v>2024</v>
      </c>
      <c r="L2304" t="str">
        <f>TEXT(NetflixData[[#This Row],[date]],"mmm")</f>
        <v>Dec</v>
      </c>
      <c r="M2304" t="str">
        <f>TEXT(NetflixData[[#This Row],[date]],"mmm yyyy")</f>
        <v>Dec 2024</v>
      </c>
      <c r="N2304" t="str">
        <f t="shared" si="105"/>
        <v>Non-Trading Day</v>
      </c>
      <c r="O2304" t="str">
        <f t="shared" si="106"/>
        <v>Negative</v>
      </c>
      <c r="P2304" t="str">
        <f t="shared" si="107"/>
        <v>Positive</v>
      </c>
    </row>
    <row r="2305" spans="1:16" x14ac:dyDescent="0.3">
      <c r="A2305" s="1">
        <v>45658</v>
      </c>
      <c r="B2305">
        <v>89.13</v>
      </c>
      <c r="C2305">
        <v>0</v>
      </c>
      <c r="D2305">
        <v>0</v>
      </c>
      <c r="E2305">
        <v>105</v>
      </c>
      <c r="F2305">
        <v>2.89</v>
      </c>
      <c r="G2305">
        <v>0.16239999999999999</v>
      </c>
      <c r="H2305">
        <v>0</v>
      </c>
      <c r="J2305">
        <v>0</v>
      </c>
      <c r="K2305">
        <f>YEAR(NetflixData[[#This Row],[date]])</f>
        <v>2025</v>
      </c>
      <c r="L2305" t="str">
        <f>TEXT(NetflixData[[#This Row],[date]],"mmm")</f>
        <v>Jan</v>
      </c>
      <c r="M2305" t="str">
        <f>TEXT(NetflixData[[#This Row],[date]],"mmm yyyy")</f>
        <v>Jan 2025</v>
      </c>
      <c r="N2305" t="str">
        <f t="shared" si="105"/>
        <v>Trading Day</v>
      </c>
      <c r="O2305" t="str">
        <f t="shared" si="106"/>
        <v>No Change</v>
      </c>
      <c r="P2305" t="str">
        <f t="shared" si="107"/>
        <v>Positive</v>
      </c>
    </row>
    <row r="2306" spans="1:16" x14ac:dyDescent="0.3">
      <c r="A2306" s="1">
        <v>45659</v>
      </c>
      <c r="B2306">
        <v>88.67</v>
      </c>
      <c r="C2306">
        <v>23123000</v>
      </c>
      <c r="D2306">
        <v>-0.97899999999999998</v>
      </c>
      <c r="E2306">
        <v>126</v>
      </c>
      <c r="F2306">
        <v>2.83</v>
      </c>
      <c r="G2306">
        <v>0.12740000000000001</v>
      </c>
      <c r="H2306">
        <v>0</v>
      </c>
      <c r="J2306">
        <v>1</v>
      </c>
      <c r="K2306">
        <f>YEAR(NetflixData[[#This Row],[date]])</f>
        <v>2025</v>
      </c>
      <c r="L2306" t="str">
        <f>TEXT(NetflixData[[#This Row],[date]],"mmm")</f>
        <v>Jan</v>
      </c>
      <c r="M2306" t="str">
        <f>TEXT(NetflixData[[#This Row],[date]],"mmm yyyy")</f>
        <v>Jan 2025</v>
      </c>
      <c r="N2306" t="str">
        <f t="shared" ref="N2306:N2369" si="108">IF(J2307=1,"Trading Day","Non-Trading Day")</f>
        <v>Trading Day</v>
      </c>
      <c r="O2306" t="str">
        <f t="shared" ref="O2306:O2369" si="109">IF(D2306&gt;0,"Positive",IF(D2306&lt;0,"Negative","No Change"))</f>
        <v>Negative</v>
      </c>
      <c r="P2306" t="str">
        <f t="shared" ref="P2306:P2369" si="110">IF(G2306&gt;0.1,"Positive",IF(G2306&lt;-0.1,"Negative","Neutral"))</f>
        <v>Positive</v>
      </c>
    </row>
    <row r="2307" spans="1:16" x14ac:dyDescent="0.3">
      <c r="A2307" s="1">
        <v>45660</v>
      </c>
      <c r="B2307">
        <v>88.11</v>
      </c>
      <c r="C2307">
        <v>29673000</v>
      </c>
      <c r="D2307">
        <v>-1.353</v>
      </c>
      <c r="E2307">
        <v>110</v>
      </c>
      <c r="F2307">
        <v>3.04</v>
      </c>
      <c r="G2307">
        <v>0.1593</v>
      </c>
      <c r="H2307">
        <v>0</v>
      </c>
      <c r="J2307">
        <v>1</v>
      </c>
      <c r="K2307">
        <f>YEAR(NetflixData[[#This Row],[date]])</f>
        <v>2025</v>
      </c>
      <c r="L2307" t="str">
        <f>TEXT(NetflixData[[#This Row],[date]],"mmm")</f>
        <v>Jan</v>
      </c>
      <c r="M2307" t="str">
        <f>TEXT(NetflixData[[#This Row],[date]],"mmm yyyy")</f>
        <v>Jan 2025</v>
      </c>
      <c r="N2307" t="str">
        <f t="shared" si="108"/>
        <v>Non-Trading Day</v>
      </c>
      <c r="O2307" t="str">
        <f t="shared" si="109"/>
        <v>Negative</v>
      </c>
      <c r="P2307" t="str">
        <f t="shared" si="110"/>
        <v>Positive</v>
      </c>
    </row>
    <row r="2308" spans="1:16" x14ac:dyDescent="0.3">
      <c r="A2308" s="1">
        <v>45661</v>
      </c>
      <c r="B2308">
        <v>88.11</v>
      </c>
      <c r="C2308">
        <v>0</v>
      </c>
      <c r="D2308">
        <v>0</v>
      </c>
      <c r="E2308">
        <v>176</v>
      </c>
      <c r="F2308">
        <v>2.92</v>
      </c>
      <c r="G2308">
        <v>0.15409999999999999</v>
      </c>
      <c r="H2308">
        <v>0</v>
      </c>
      <c r="J2308">
        <v>0</v>
      </c>
      <c r="K2308">
        <f>YEAR(NetflixData[[#This Row],[date]])</f>
        <v>2025</v>
      </c>
      <c r="L2308" t="str">
        <f>TEXT(NetflixData[[#This Row],[date]],"mmm")</f>
        <v>Jan</v>
      </c>
      <c r="M2308" t="str">
        <f>TEXT(NetflixData[[#This Row],[date]],"mmm yyyy")</f>
        <v>Jan 2025</v>
      </c>
      <c r="N2308" t="str">
        <f t="shared" si="108"/>
        <v>Non-Trading Day</v>
      </c>
      <c r="O2308" t="str">
        <f t="shared" si="109"/>
        <v>No Change</v>
      </c>
      <c r="P2308" t="str">
        <f t="shared" si="110"/>
        <v>Positive</v>
      </c>
    </row>
    <row r="2309" spans="1:16" x14ac:dyDescent="0.3">
      <c r="A2309" s="1">
        <v>45662</v>
      </c>
      <c r="B2309">
        <v>88.11</v>
      </c>
      <c r="C2309">
        <v>0</v>
      </c>
      <c r="D2309">
        <v>0</v>
      </c>
      <c r="E2309">
        <v>165</v>
      </c>
      <c r="F2309">
        <v>2.85</v>
      </c>
      <c r="G2309">
        <v>0.15709999999999999</v>
      </c>
      <c r="H2309">
        <v>0</v>
      </c>
      <c r="J2309">
        <v>0</v>
      </c>
      <c r="K2309">
        <f>YEAR(NetflixData[[#This Row],[date]])</f>
        <v>2025</v>
      </c>
      <c r="L2309" t="str">
        <f>TEXT(NetflixData[[#This Row],[date]],"mmm")</f>
        <v>Jan</v>
      </c>
      <c r="M2309" t="str">
        <f>TEXT(NetflixData[[#This Row],[date]],"mmm yyyy")</f>
        <v>Jan 2025</v>
      </c>
      <c r="N2309" t="str">
        <f t="shared" si="108"/>
        <v>Trading Day</v>
      </c>
      <c r="O2309" t="str">
        <f t="shared" si="109"/>
        <v>No Change</v>
      </c>
      <c r="P2309" t="str">
        <f t="shared" si="110"/>
        <v>Positive</v>
      </c>
    </row>
    <row r="2310" spans="1:16" x14ac:dyDescent="0.3">
      <c r="A2310" s="1">
        <v>45663</v>
      </c>
      <c r="B2310">
        <v>88.18</v>
      </c>
      <c r="C2310">
        <v>34577000</v>
      </c>
      <c r="D2310">
        <v>-0.78400000000000003</v>
      </c>
      <c r="E2310">
        <v>163</v>
      </c>
      <c r="F2310">
        <v>2.99</v>
      </c>
      <c r="G2310">
        <v>0.1235</v>
      </c>
      <c r="H2310">
        <v>0</v>
      </c>
      <c r="J2310">
        <v>1</v>
      </c>
      <c r="K2310">
        <f>YEAR(NetflixData[[#This Row],[date]])</f>
        <v>2025</v>
      </c>
      <c r="L2310" t="str">
        <f>TEXT(NetflixData[[#This Row],[date]],"mmm")</f>
        <v>Jan</v>
      </c>
      <c r="M2310" t="str">
        <f>TEXT(NetflixData[[#This Row],[date]],"mmm yyyy")</f>
        <v>Jan 2025</v>
      </c>
      <c r="N2310" t="str">
        <f t="shared" si="108"/>
        <v>Trading Day</v>
      </c>
      <c r="O2310" t="str">
        <f t="shared" si="109"/>
        <v>Negative</v>
      </c>
      <c r="P2310" t="str">
        <f t="shared" si="110"/>
        <v>Positive</v>
      </c>
    </row>
    <row r="2311" spans="1:16" x14ac:dyDescent="0.3">
      <c r="A2311" s="1">
        <v>45664</v>
      </c>
      <c r="B2311">
        <v>87.92</v>
      </c>
      <c r="C2311">
        <v>26498000</v>
      </c>
      <c r="D2311">
        <v>-2.1999999999999999E-2</v>
      </c>
      <c r="E2311">
        <v>115</v>
      </c>
      <c r="F2311">
        <v>2.82</v>
      </c>
      <c r="G2311">
        <v>0.1704</v>
      </c>
      <c r="H2311">
        <v>0</v>
      </c>
      <c r="J2311">
        <v>1</v>
      </c>
      <c r="K2311">
        <f>YEAR(NetflixData[[#This Row],[date]])</f>
        <v>2025</v>
      </c>
      <c r="L2311" t="str">
        <f>TEXT(NetflixData[[#This Row],[date]],"mmm")</f>
        <v>Jan</v>
      </c>
      <c r="M2311" t="str">
        <f>TEXT(NetflixData[[#This Row],[date]],"mmm yyyy")</f>
        <v>Jan 2025</v>
      </c>
      <c r="N2311" t="str">
        <f t="shared" si="108"/>
        <v>Trading Day</v>
      </c>
      <c r="O2311" t="str">
        <f t="shared" si="109"/>
        <v>Negative</v>
      </c>
      <c r="P2311" t="str">
        <f t="shared" si="110"/>
        <v>Positive</v>
      </c>
    </row>
    <row r="2312" spans="1:16" x14ac:dyDescent="0.3">
      <c r="A2312" s="1">
        <v>45665</v>
      </c>
      <c r="B2312">
        <v>87.5</v>
      </c>
      <c r="C2312">
        <v>23479000</v>
      </c>
      <c r="D2312">
        <v>-0.56799999999999995</v>
      </c>
      <c r="E2312">
        <v>118</v>
      </c>
      <c r="F2312">
        <v>3.25</v>
      </c>
      <c r="G2312">
        <v>0.14269999999999999</v>
      </c>
      <c r="H2312">
        <v>0</v>
      </c>
      <c r="J2312">
        <v>1</v>
      </c>
      <c r="K2312">
        <f>YEAR(NetflixData[[#This Row],[date]])</f>
        <v>2025</v>
      </c>
      <c r="L2312" t="str">
        <f>TEXT(NetflixData[[#This Row],[date]],"mmm")</f>
        <v>Jan</v>
      </c>
      <c r="M2312" t="str">
        <f>TEXT(NetflixData[[#This Row],[date]],"mmm yyyy")</f>
        <v>Jan 2025</v>
      </c>
      <c r="N2312" t="str">
        <f t="shared" si="108"/>
        <v>Non-Trading Day</v>
      </c>
      <c r="O2312" t="str">
        <f t="shared" si="109"/>
        <v>Negative</v>
      </c>
      <c r="P2312" t="str">
        <f t="shared" si="110"/>
        <v>Positive</v>
      </c>
    </row>
    <row r="2313" spans="1:16" x14ac:dyDescent="0.3">
      <c r="A2313" s="1">
        <v>45666</v>
      </c>
      <c r="B2313">
        <v>87.5</v>
      </c>
      <c r="C2313">
        <v>0</v>
      </c>
      <c r="D2313">
        <v>0</v>
      </c>
      <c r="E2313">
        <v>127</v>
      </c>
      <c r="F2313">
        <v>3.5</v>
      </c>
      <c r="G2313">
        <v>0.2089</v>
      </c>
      <c r="H2313">
        <v>0</v>
      </c>
      <c r="J2313">
        <v>0</v>
      </c>
      <c r="K2313">
        <f>YEAR(NetflixData[[#This Row],[date]])</f>
        <v>2025</v>
      </c>
      <c r="L2313" t="str">
        <f>TEXT(NetflixData[[#This Row],[date]],"mmm")</f>
        <v>Jan</v>
      </c>
      <c r="M2313" t="str">
        <f>TEXT(NetflixData[[#This Row],[date]],"mmm yyyy")</f>
        <v>Jan 2025</v>
      </c>
      <c r="N2313" t="str">
        <f t="shared" si="108"/>
        <v>Trading Day</v>
      </c>
      <c r="O2313" t="str">
        <f t="shared" si="109"/>
        <v>No Change</v>
      </c>
      <c r="P2313" t="str">
        <f t="shared" si="110"/>
        <v>Positive</v>
      </c>
    </row>
    <row r="2314" spans="1:16" x14ac:dyDescent="0.3">
      <c r="A2314" s="1">
        <v>45667</v>
      </c>
      <c r="B2314">
        <v>83.77</v>
      </c>
      <c r="C2314">
        <v>48033000</v>
      </c>
      <c r="D2314">
        <v>-3.3140000000000001</v>
      </c>
      <c r="E2314">
        <v>100</v>
      </c>
      <c r="F2314">
        <v>3.12</v>
      </c>
      <c r="G2314">
        <v>0.18210000000000001</v>
      </c>
      <c r="H2314">
        <v>0</v>
      </c>
      <c r="J2314">
        <v>1</v>
      </c>
      <c r="K2314">
        <f>YEAR(NetflixData[[#This Row],[date]])</f>
        <v>2025</v>
      </c>
      <c r="L2314" t="str">
        <f>TEXT(NetflixData[[#This Row],[date]],"mmm")</f>
        <v>Jan</v>
      </c>
      <c r="M2314" t="str">
        <f>TEXT(NetflixData[[#This Row],[date]],"mmm yyyy")</f>
        <v>Jan 2025</v>
      </c>
      <c r="N2314" t="str">
        <f t="shared" si="108"/>
        <v>Non-Trading Day</v>
      </c>
      <c r="O2314" t="str">
        <f t="shared" si="109"/>
        <v>Negative</v>
      </c>
      <c r="P2314" t="str">
        <f t="shared" si="110"/>
        <v>Positive</v>
      </c>
    </row>
    <row r="2315" spans="1:16" x14ac:dyDescent="0.3">
      <c r="A2315" s="1">
        <v>45668</v>
      </c>
      <c r="B2315">
        <v>83.77</v>
      </c>
      <c r="C2315">
        <v>0</v>
      </c>
      <c r="D2315">
        <v>0</v>
      </c>
      <c r="E2315">
        <v>169</v>
      </c>
      <c r="F2315">
        <v>3.24</v>
      </c>
      <c r="G2315">
        <v>0.2056</v>
      </c>
      <c r="H2315">
        <v>0</v>
      </c>
      <c r="J2315">
        <v>0</v>
      </c>
      <c r="K2315">
        <f>YEAR(NetflixData[[#This Row],[date]])</f>
        <v>2025</v>
      </c>
      <c r="L2315" t="str">
        <f>TEXT(NetflixData[[#This Row],[date]],"mmm")</f>
        <v>Jan</v>
      </c>
      <c r="M2315" t="str">
        <f>TEXT(NetflixData[[#This Row],[date]],"mmm yyyy")</f>
        <v>Jan 2025</v>
      </c>
      <c r="N2315" t="str">
        <f t="shared" si="108"/>
        <v>Non-Trading Day</v>
      </c>
      <c r="O2315" t="str">
        <f t="shared" si="109"/>
        <v>No Change</v>
      </c>
      <c r="P2315" t="str">
        <f t="shared" si="110"/>
        <v>Positive</v>
      </c>
    </row>
    <row r="2316" spans="1:16" x14ac:dyDescent="0.3">
      <c r="A2316" s="1">
        <v>45669</v>
      </c>
      <c r="B2316">
        <v>83.77</v>
      </c>
      <c r="C2316">
        <v>0</v>
      </c>
      <c r="D2316">
        <v>0</v>
      </c>
      <c r="E2316">
        <v>128</v>
      </c>
      <c r="F2316">
        <v>3.41</v>
      </c>
      <c r="G2316">
        <v>0.1623</v>
      </c>
      <c r="H2316">
        <v>0</v>
      </c>
      <c r="J2316">
        <v>0</v>
      </c>
      <c r="K2316">
        <f>YEAR(NetflixData[[#This Row],[date]])</f>
        <v>2025</v>
      </c>
      <c r="L2316" t="str">
        <f>TEXT(NetflixData[[#This Row],[date]],"mmm")</f>
        <v>Jan</v>
      </c>
      <c r="M2316" t="str">
        <f>TEXT(NetflixData[[#This Row],[date]],"mmm yyyy")</f>
        <v>Jan 2025</v>
      </c>
      <c r="N2316" t="str">
        <f t="shared" si="108"/>
        <v>Trading Day</v>
      </c>
      <c r="O2316" t="str">
        <f t="shared" si="109"/>
        <v>No Change</v>
      </c>
      <c r="P2316" t="str">
        <f t="shared" si="110"/>
        <v>Positive</v>
      </c>
    </row>
    <row r="2317" spans="1:16" x14ac:dyDescent="0.3">
      <c r="A2317" s="1">
        <v>45670</v>
      </c>
      <c r="B2317">
        <v>84.03</v>
      </c>
      <c r="C2317">
        <v>30245000</v>
      </c>
      <c r="D2317">
        <v>1.0529999999999999</v>
      </c>
      <c r="E2317">
        <v>139</v>
      </c>
      <c r="F2317">
        <v>3.38</v>
      </c>
      <c r="G2317">
        <v>0.18529999999999999</v>
      </c>
      <c r="H2317">
        <v>0</v>
      </c>
      <c r="J2317">
        <v>1</v>
      </c>
      <c r="K2317">
        <f>YEAR(NetflixData[[#This Row],[date]])</f>
        <v>2025</v>
      </c>
      <c r="L2317" t="str">
        <f>TEXT(NetflixData[[#This Row],[date]],"mmm")</f>
        <v>Jan</v>
      </c>
      <c r="M2317" t="str">
        <f>TEXT(NetflixData[[#This Row],[date]],"mmm yyyy")</f>
        <v>Jan 2025</v>
      </c>
      <c r="N2317" t="str">
        <f t="shared" si="108"/>
        <v>Trading Day</v>
      </c>
      <c r="O2317" t="str">
        <f t="shared" si="109"/>
        <v>Positive</v>
      </c>
      <c r="P2317" t="str">
        <f t="shared" si="110"/>
        <v>Positive</v>
      </c>
    </row>
    <row r="2318" spans="1:16" x14ac:dyDescent="0.3">
      <c r="A2318" s="1">
        <v>45671</v>
      </c>
      <c r="B2318">
        <v>82.84</v>
      </c>
      <c r="C2318">
        <v>30377000</v>
      </c>
      <c r="D2318">
        <v>-1.7549999999999999</v>
      </c>
      <c r="E2318">
        <v>122</v>
      </c>
      <c r="F2318">
        <v>3.21</v>
      </c>
      <c r="G2318">
        <v>0.1565</v>
      </c>
      <c r="H2318">
        <v>0</v>
      </c>
      <c r="J2318">
        <v>1</v>
      </c>
      <c r="K2318">
        <f>YEAR(NetflixData[[#This Row],[date]])</f>
        <v>2025</v>
      </c>
      <c r="L2318" t="str">
        <f>TEXT(NetflixData[[#This Row],[date]],"mmm")</f>
        <v>Jan</v>
      </c>
      <c r="M2318" t="str">
        <f>TEXT(NetflixData[[#This Row],[date]],"mmm yyyy")</f>
        <v>Jan 2025</v>
      </c>
      <c r="N2318" t="str">
        <f t="shared" si="108"/>
        <v>Trading Day</v>
      </c>
      <c r="O2318" t="str">
        <f t="shared" si="109"/>
        <v>Negative</v>
      </c>
      <c r="P2318" t="str">
        <f t="shared" si="110"/>
        <v>Positive</v>
      </c>
    </row>
    <row r="2319" spans="1:16" x14ac:dyDescent="0.3">
      <c r="A2319" s="1">
        <v>45672</v>
      </c>
      <c r="B2319">
        <v>84.83</v>
      </c>
      <c r="C2319">
        <v>31814000</v>
      </c>
      <c r="D2319">
        <v>1.413</v>
      </c>
      <c r="E2319">
        <v>110</v>
      </c>
      <c r="F2319">
        <v>2.77</v>
      </c>
      <c r="G2319">
        <v>0.1002</v>
      </c>
      <c r="H2319">
        <v>0</v>
      </c>
      <c r="J2319">
        <v>1</v>
      </c>
      <c r="K2319">
        <f>YEAR(NetflixData[[#This Row],[date]])</f>
        <v>2025</v>
      </c>
      <c r="L2319" t="str">
        <f>TEXT(NetflixData[[#This Row],[date]],"mmm")</f>
        <v>Jan</v>
      </c>
      <c r="M2319" t="str">
        <f>TEXT(NetflixData[[#This Row],[date]],"mmm yyyy")</f>
        <v>Jan 2025</v>
      </c>
      <c r="N2319" t="str">
        <f t="shared" si="108"/>
        <v>Trading Day</v>
      </c>
      <c r="O2319" t="str">
        <f t="shared" si="109"/>
        <v>Positive</v>
      </c>
      <c r="P2319" t="str">
        <f t="shared" si="110"/>
        <v>Positive</v>
      </c>
    </row>
    <row r="2320" spans="1:16" x14ac:dyDescent="0.3">
      <c r="A2320" s="1">
        <v>45673</v>
      </c>
      <c r="B2320">
        <v>84.24</v>
      </c>
      <c r="C2320">
        <v>40285000</v>
      </c>
      <c r="D2320">
        <v>-2.1589999999999998</v>
      </c>
      <c r="E2320">
        <v>135</v>
      </c>
      <c r="F2320">
        <v>3.27</v>
      </c>
      <c r="G2320">
        <v>0.20200000000000001</v>
      </c>
      <c r="H2320">
        <v>0</v>
      </c>
      <c r="J2320">
        <v>1</v>
      </c>
      <c r="K2320">
        <f>YEAR(NetflixData[[#This Row],[date]])</f>
        <v>2025</v>
      </c>
      <c r="L2320" t="str">
        <f>TEXT(NetflixData[[#This Row],[date]],"mmm")</f>
        <v>Jan</v>
      </c>
      <c r="M2320" t="str">
        <f>TEXT(NetflixData[[#This Row],[date]],"mmm yyyy")</f>
        <v>Jan 2025</v>
      </c>
      <c r="N2320" t="str">
        <f t="shared" si="108"/>
        <v>Trading Day</v>
      </c>
      <c r="O2320" t="str">
        <f t="shared" si="109"/>
        <v>Negative</v>
      </c>
      <c r="P2320" t="str">
        <f t="shared" si="110"/>
        <v>Positive</v>
      </c>
    </row>
    <row r="2321" spans="1:16" x14ac:dyDescent="0.3">
      <c r="A2321" s="1">
        <v>45674</v>
      </c>
      <c r="B2321">
        <v>85.81</v>
      </c>
      <c r="C2321">
        <v>36176000</v>
      </c>
      <c r="D2321">
        <v>-0.19700000000000001</v>
      </c>
      <c r="E2321">
        <v>121</v>
      </c>
      <c r="F2321">
        <v>2.88</v>
      </c>
      <c r="G2321">
        <v>0.16650000000000001</v>
      </c>
      <c r="H2321">
        <v>0</v>
      </c>
      <c r="J2321">
        <v>1</v>
      </c>
      <c r="K2321">
        <f>YEAR(NetflixData[[#This Row],[date]])</f>
        <v>2025</v>
      </c>
      <c r="L2321" t="str">
        <f>TEXT(NetflixData[[#This Row],[date]],"mmm")</f>
        <v>Jan</v>
      </c>
      <c r="M2321" t="str">
        <f>TEXT(NetflixData[[#This Row],[date]],"mmm yyyy")</f>
        <v>Jan 2025</v>
      </c>
      <c r="N2321" t="str">
        <f t="shared" si="108"/>
        <v>Non-Trading Day</v>
      </c>
      <c r="O2321" t="str">
        <f t="shared" si="109"/>
        <v>Negative</v>
      </c>
      <c r="P2321" t="str">
        <f t="shared" si="110"/>
        <v>Positive</v>
      </c>
    </row>
    <row r="2322" spans="1:16" x14ac:dyDescent="0.3">
      <c r="A2322" s="1">
        <v>45675</v>
      </c>
      <c r="B2322">
        <v>85.81</v>
      </c>
      <c r="C2322">
        <v>0</v>
      </c>
      <c r="D2322">
        <v>0</v>
      </c>
      <c r="E2322">
        <v>155</v>
      </c>
      <c r="F2322">
        <v>3.25</v>
      </c>
      <c r="G2322">
        <v>0.1673</v>
      </c>
      <c r="H2322">
        <v>0</v>
      </c>
      <c r="J2322">
        <v>0</v>
      </c>
      <c r="K2322">
        <f>YEAR(NetflixData[[#This Row],[date]])</f>
        <v>2025</v>
      </c>
      <c r="L2322" t="str">
        <f>TEXT(NetflixData[[#This Row],[date]],"mmm")</f>
        <v>Jan</v>
      </c>
      <c r="M2322" t="str">
        <f>TEXT(NetflixData[[#This Row],[date]],"mmm yyyy")</f>
        <v>Jan 2025</v>
      </c>
      <c r="N2322" t="str">
        <f t="shared" si="108"/>
        <v>Non-Trading Day</v>
      </c>
      <c r="O2322" t="str">
        <f t="shared" si="109"/>
        <v>No Change</v>
      </c>
      <c r="P2322" t="str">
        <f t="shared" si="110"/>
        <v>Positive</v>
      </c>
    </row>
    <row r="2323" spans="1:16" x14ac:dyDescent="0.3">
      <c r="A2323" s="1">
        <v>45676</v>
      </c>
      <c r="B2323">
        <v>85.81</v>
      </c>
      <c r="C2323">
        <v>0</v>
      </c>
      <c r="D2323">
        <v>0</v>
      </c>
      <c r="E2323">
        <v>181</v>
      </c>
      <c r="F2323">
        <v>2.98</v>
      </c>
      <c r="G2323">
        <v>0.14319999999999999</v>
      </c>
      <c r="H2323">
        <v>0</v>
      </c>
      <c r="J2323">
        <v>0</v>
      </c>
      <c r="K2323">
        <f>YEAR(NetflixData[[#This Row],[date]])</f>
        <v>2025</v>
      </c>
      <c r="L2323" t="str">
        <f>TEXT(NetflixData[[#This Row],[date]],"mmm")</f>
        <v>Jan</v>
      </c>
      <c r="M2323" t="str">
        <f>TEXT(NetflixData[[#This Row],[date]],"mmm yyyy")</f>
        <v>Jan 2025</v>
      </c>
      <c r="N2323" t="str">
        <f t="shared" si="108"/>
        <v>Non-Trading Day</v>
      </c>
      <c r="O2323" t="str">
        <f t="shared" si="109"/>
        <v>No Change</v>
      </c>
      <c r="P2323" t="str">
        <f t="shared" si="110"/>
        <v>Positive</v>
      </c>
    </row>
    <row r="2324" spans="1:16" x14ac:dyDescent="0.3">
      <c r="A2324" s="1">
        <v>45677</v>
      </c>
      <c r="B2324">
        <v>85.81</v>
      </c>
      <c r="C2324">
        <v>0</v>
      </c>
      <c r="D2324">
        <v>0</v>
      </c>
      <c r="E2324">
        <v>117</v>
      </c>
      <c r="F2324">
        <v>2.99</v>
      </c>
      <c r="G2324">
        <v>0.17230000000000001</v>
      </c>
      <c r="H2324">
        <v>0</v>
      </c>
      <c r="J2324">
        <v>0</v>
      </c>
      <c r="K2324">
        <f>YEAR(NetflixData[[#This Row],[date]])</f>
        <v>2025</v>
      </c>
      <c r="L2324" t="str">
        <f>TEXT(NetflixData[[#This Row],[date]],"mmm")</f>
        <v>Jan</v>
      </c>
      <c r="M2324" t="str">
        <f>TEXT(NetflixData[[#This Row],[date]],"mmm yyyy")</f>
        <v>Jan 2025</v>
      </c>
      <c r="N2324" t="str">
        <f t="shared" si="108"/>
        <v>Trading Day</v>
      </c>
      <c r="O2324" t="str">
        <f t="shared" si="109"/>
        <v>No Change</v>
      </c>
      <c r="P2324" t="str">
        <f t="shared" si="110"/>
        <v>Positive</v>
      </c>
    </row>
    <row r="2325" spans="1:16" x14ac:dyDescent="0.3">
      <c r="A2325" s="1">
        <v>45678</v>
      </c>
      <c r="B2325">
        <v>86.97</v>
      </c>
      <c r="C2325">
        <v>98514000</v>
      </c>
      <c r="D2325">
        <v>0.71199999999999997</v>
      </c>
      <c r="E2325">
        <v>160</v>
      </c>
      <c r="F2325">
        <v>2.79</v>
      </c>
      <c r="G2325">
        <v>0.1198</v>
      </c>
      <c r="H2325">
        <v>0</v>
      </c>
      <c r="J2325">
        <v>1</v>
      </c>
      <c r="K2325">
        <f>YEAR(NetflixData[[#This Row],[date]])</f>
        <v>2025</v>
      </c>
      <c r="L2325" t="str">
        <f>TEXT(NetflixData[[#This Row],[date]],"mmm")</f>
        <v>Jan</v>
      </c>
      <c r="M2325" t="str">
        <f>TEXT(NetflixData[[#This Row],[date]],"mmm yyyy")</f>
        <v>Jan 2025</v>
      </c>
      <c r="N2325" t="str">
        <f t="shared" si="108"/>
        <v>Trading Day</v>
      </c>
      <c r="O2325" t="str">
        <f t="shared" si="109"/>
        <v>Positive</v>
      </c>
      <c r="P2325" t="str">
        <f t="shared" si="110"/>
        <v>Positive</v>
      </c>
    </row>
    <row r="2326" spans="1:16" x14ac:dyDescent="0.3">
      <c r="A2326" s="1">
        <v>45679</v>
      </c>
      <c r="B2326">
        <v>95.4</v>
      </c>
      <c r="C2326">
        <v>142732000</v>
      </c>
      <c r="D2326">
        <v>-4.4130000000000003</v>
      </c>
      <c r="E2326">
        <v>140</v>
      </c>
      <c r="F2326">
        <v>2.61</v>
      </c>
      <c r="G2326">
        <v>9.5299999999999996E-2</v>
      </c>
      <c r="H2326">
        <v>0</v>
      </c>
      <c r="J2326">
        <v>1</v>
      </c>
      <c r="K2326">
        <f>YEAR(NetflixData[[#This Row],[date]])</f>
        <v>2025</v>
      </c>
      <c r="L2326" t="str">
        <f>TEXT(NetflixData[[#This Row],[date]],"mmm")</f>
        <v>Jan</v>
      </c>
      <c r="M2326" t="str">
        <f>TEXT(NetflixData[[#This Row],[date]],"mmm yyyy")</f>
        <v>Jan 2025</v>
      </c>
      <c r="N2326" t="str">
        <f t="shared" si="108"/>
        <v>Trading Day</v>
      </c>
      <c r="O2326" t="str">
        <f t="shared" si="109"/>
        <v>Negative</v>
      </c>
      <c r="P2326" t="str">
        <f t="shared" si="110"/>
        <v>Neutral</v>
      </c>
    </row>
    <row r="2327" spans="1:16" x14ac:dyDescent="0.3">
      <c r="A2327" s="1">
        <v>45680</v>
      </c>
      <c r="B2327">
        <v>98.49</v>
      </c>
      <c r="C2327">
        <v>77521000</v>
      </c>
      <c r="D2327">
        <v>2.8239999999999998</v>
      </c>
      <c r="E2327">
        <v>128</v>
      </c>
      <c r="F2327">
        <v>3.2</v>
      </c>
      <c r="G2327">
        <v>0.20849999999999999</v>
      </c>
      <c r="H2327">
        <v>0</v>
      </c>
      <c r="J2327">
        <v>1</v>
      </c>
      <c r="K2327">
        <f>YEAR(NetflixData[[#This Row],[date]])</f>
        <v>2025</v>
      </c>
      <c r="L2327" t="str">
        <f>TEXT(NetflixData[[#This Row],[date]],"mmm")</f>
        <v>Jan</v>
      </c>
      <c r="M2327" t="str">
        <f>TEXT(NetflixData[[#This Row],[date]],"mmm yyyy")</f>
        <v>Jan 2025</v>
      </c>
      <c r="N2327" t="str">
        <f t="shared" si="108"/>
        <v>Trading Day</v>
      </c>
      <c r="O2327" t="str">
        <f t="shared" si="109"/>
        <v>Positive</v>
      </c>
      <c r="P2327" t="str">
        <f t="shared" si="110"/>
        <v>Positive</v>
      </c>
    </row>
    <row r="2328" spans="1:16" x14ac:dyDescent="0.3">
      <c r="A2328" s="1">
        <v>45681</v>
      </c>
      <c r="B2328">
        <v>97.76</v>
      </c>
      <c r="C2328">
        <v>45504000</v>
      </c>
      <c r="D2328">
        <v>-0.69299999999999995</v>
      </c>
      <c r="E2328">
        <v>102</v>
      </c>
      <c r="F2328">
        <v>3.02</v>
      </c>
      <c r="G2328">
        <v>0.1333</v>
      </c>
      <c r="H2328">
        <v>0</v>
      </c>
      <c r="J2328">
        <v>1</v>
      </c>
      <c r="K2328">
        <f>YEAR(NetflixData[[#This Row],[date]])</f>
        <v>2025</v>
      </c>
      <c r="L2328" t="str">
        <f>TEXT(NetflixData[[#This Row],[date]],"mmm")</f>
        <v>Jan</v>
      </c>
      <c r="M2328" t="str">
        <f>TEXT(NetflixData[[#This Row],[date]],"mmm yyyy")</f>
        <v>Jan 2025</v>
      </c>
      <c r="N2328" t="str">
        <f t="shared" si="108"/>
        <v>Non-Trading Day</v>
      </c>
      <c r="O2328" t="str">
        <f t="shared" si="109"/>
        <v>Negative</v>
      </c>
      <c r="P2328" t="str">
        <f t="shared" si="110"/>
        <v>Positive</v>
      </c>
    </row>
    <row r="2329" spans="1:16" x14ac:dyDescent="0.3">
      <c r="A2329" s="1">
        <v>45682</v>
      </c>
      <c r="B2329">
        <v>97.76</v>
      </c>
      <c r="C2329">
        <v>0</v>
      </c>
      <c r="D2329">
        <v>0</v>
      </c>
      <c r="E2329">
        <v>102</v>
      </c>
      <c r="F2329">
        <v>2.92</v>
      </c>
      <c r="G2329">
        <v>0.1013</v>
      </c>
      <c r="H2329">
        <v>0</v>
      </c>
      <c r="J2329">
        <v>0</v>
      </c>
      <c r="K2329">
        <f>YEAR(NetflixData[[#This Row],[date]])</f>
        <v>2025</v>
      </c>
      <c r="L2329" t="str">
        <f>TEXT(NetflixData[[#This Row],[date]],"mmm")</f>
        <v>Jan</v>
      </c>
      <c r="M2329" t="str">
        <f>TEXT(NetflixData[[#This Row],[date]],"mmm yyyy")</f>
        <v>Jan 2025</v>
      </c>
      <c r="N2329" t="str">
        <f t="shared" si="108"/>
        <v>Non-Trading Day</v>
      </c>
      <c r="O2329" t="str">
        <f t="shared" si="109"/>
        <v>No Change</v>
      </c>
      <c r="P2329" t="str">
        <f t="shared" si="110"/>
        <v>Positive</v>
      </c>
    </row>
    <row r="2330" spans="1:16" x14ac:dyDescent="0.3">
      <c r="A2330" s="1">
        <v>45683</v>
      </c>
      <c r="B2330">
        <v>97.76</v>
      </c>
      <c r="C2330">
        <v>0</v>
      </c>
      <c r="D2330">
        <v>0</v>
      </c>
      <c r="E2330">
        <v>114</v>
      </c>
      <c r="F2330">
        <v>3.46</v>
      </c>
      <c r="G2330">
        <v>0.27600000000000002</v>
      </c>
      <c r="H2330">
        <v>0</v>
      </c>
      <c r="J2330">
        <v>0</v>
      </c>
      <c r="K2330">
        <f>YEAR(NetflixData[[#This Row],[date]])</f>
        <v>2025</v>
      </c>
      <c r="L2330" t="str">
        <f>TEXT(NetflixData[[#This Row],[date]],"mmm")</f>
        <v>Jan</v>
      </c>
      <c r="M2330" t="str">
        <f>TEXT(NetflixData[[#This Row],[date]],"mmm yyyy")</f>
        <v>Jan 2025</v>
      </c>
      <c r="N2330" t="str">
        <f t="shared" si="108"/>
        <v>Trading Day</v>
      </c>
      <c r="O2330" t="str">
        <f t="shared" si="109"/>
        <v>No Change</v>
      </c>
      <c r="P2330" t="str">
        <f t="shared" si="110"/>
        <v>Positive</v>
      </c>
    </row>
    <row r="2331" spans="1:16" x14ac:dyDescent="0.3">
      <c r="A2331" s="1">
        <v>45684</v>
      </c>
      <c r="B2331">
        <v>97.19</v>
      </c>
      <c r="C2331">
        <v>46342000</v>
      </c>
      <c r="D2331">
        <v>8.1000000000000003E-2</v>
      </c>
      <c r="E2331">
        <v>106</v>
      </c>
      <c r="F2331">
        <v>3.29</v>
      </c>
      <c r="G2331">
        <v>0.223</v>
      </c>
      <c r="H2331">
        <v>0</v>
      </c>
      <c r="J2331">
        <v>1</v>
      </c>
      <c r="K2331">
        <f>YEAR(NetflixData[[#This Row],[date]])</f>
        <v>2025</v>
      </c>
      <c r="L2331" t="str">
        <f>TEXT(NetflixData[[#This Row],[date]],"mmm")</f>
        <v>Jan</v>
      </c>
      <c r="M2331" t="str">
        <f>TEXT(NetflixData[[#This Row],[date]],"mmm yyyy")</f>
        <v>Jan 2025</v>
      </c>
      <c r="N2331" t="str">
        <f t="shared" si="108"/>
        <v>Trading Day</v>
      </c>
      <c r="O2331" t="str">
        <f t="shared" si="109"/>
        <v>Positive</v>
      </c>
      <c r="P2331" t="str">
        <f t="shared" si="110"/>
        <v>Positive</v>
      </c>
    </row>
    <row r="2332" spans="1:16" x14ac:dyDescent="0.3">
      <c r="A2332" s="1">
        <v>45685</v>
      </c>
      <c r="B2332">
        <v>97.18</v>
      </c>
      <c r="C2332">
        <v>34340000</v>
      </c>
      <c r="D2332">
        <v>0.53</v>
      </c>
      <c r="E2332">
        <v>101</v>
      </c>
      <c r="F2332">
        <v>2.86</v>
      </c>
      <c r="G2332">
        <v>6.3299999999999995E-2</v>
      </c>
      <c r="H2332">
        <v>0</v>
      </c>
      <c r="J2332">
        <v>1</v>
      </c>
      <c r="K2332">
        <f>YEAR(NetflixData[[#This Row],[date]])</f>
        <v>2025</v>
      </c>
      <c r="L2332" t="str">
        <f>TEXT(NetflixData[[#This Row],[date]],"mmm")</f>
        <v>Jan</v>
      </c>
      <c r="M2332" t="str">
        <f>TEXT(NetflixData[[#This Row],[date]],"mmm yyyy")</f>
        <v>Jan 2025</v>
      </c>
      <c r="N2332" t="str">
        <f t="shared" si="108"/>
        <v>Trading Day</v>
      </c>
      <c r="O2332" t="str">
        <f t="shared" si="109"/>
        <v>Positive</v>
      </c>
      <c r="P2332" t="str">
        <f t="shared" si="110"/>
        <v>Neutral</v>
      </c>
    </row>
    <row r="2333" spans="1:16" x14ac:dyDescent="0.3">
      <c r="A2333" s="1">
        <v>45686</v>
      </c>
      <c r="B2333">
        <v>97.82</v>
      </c>
      <c r="C2333">
        <v>29307000</v>
      </c>
      <c r="D2333">
        <v>-0.189</v>
      </c>
      <c r="E2333">
        <v>109</v>
      </c>
      <c r="F2333">
        <v>3</v>
      </c>
      <c r="G2333">
        <v>0.1011</v>
      </c>
      <c r="H2333">
        <v>0</v>
      </c>
      <c r="J2333">
        <v>1</v>
      </c>
      <c r="K2333">
        <f>YEAR(NetflixData[[#This Row],[date]])</f>
        <v>2025</v>
      </c>
      <c r="L2333" t="str">
        <f>TEXT(NetflixData[[#This Row],[date]],"mmm")</f>
        <v>Jan</v>
      </c>
      <c r="M2333" t="str">
        <f>TEXT(NetflixData[[#This Row],[date]],"mmm yyyy")</f>
        <v>Jan 2025</v>
      </c>
      <c r="N2333" t="str">
        <f t="shared" si="108"/>
        <v>Trading Day</v>
      </c>
      <c r="O2333" t="str">
        <f t="shared" si="109"/>
        <v>Negative</v>
      </c>
      <c r="P2333" t="str">
        <f t="shared" si="110"/>
        <v>Positive</v>
      </c>
    </row>
    <row r="2334" spans="1:16" x14ac:dyDescent="0.3">
      <c r="A2334" s="1">
        <v>45687</v>
      </c>
      <c r="B2334">
        <v>97.32</v>
      </c>
      <c r="C2334">
        <v>38678000</v>
      </c>
      <c r="D2334">
        <v>-1.369</v>
      </c>
      <c r="E2334">
        <v>103</v>
      </c>
      <c r="F2334">
        <v>3.1</v>
      </c>
      <c r="G2334">
        <v>0.24740000000000001</v>
      </c>
      <c r="H2334">
        <v>0</v>
      </c>
      <c r="J2334">
        <v>1</v>
      </c>
      <c r="K2334">
        <f>YEAR(NetflixData[[#This Row],[date]])</f>
        <v>2025</v>
      </c>
      <c r="L2334" t="str">
        <f>TEXT(NetflixData[[#This Row],[date]],"mmm")</f>
        <v>Jan</v>
      </c>
      <c r="M2334" t="str">
        <f>TEXT(NetflixData[[#This Row],[date]],"mmm yyyy")</f>
        <v>Jan 2025</v>
      </c>
      <c r="N2334" t="str">
        <f t="shared" si="108"/>
        <v>Trading Day</v>
      </c>
      <c r="O2334" t="str">
        <f t="shared" si="109"/>
        <v>Negative</v>
      </c>
      <c r="P2334" t="str">
        <f t="shared" si="110"/>
        <v>Positive</v>
      </c>
    </row>
    <row r="2335" spans="1:16" x14ac:dyDescent="0.3">
      <c r="A2335" s="1">
        <v>45688</v>
      </c>
      <c r="B2335">
        <v>97.68</v>
      </c>
      <c r="C2335">
        <v>36151000</v>
      </c>
      <c r="D2335">
        <v>0.28299999999999997</v>
      </c>
      <c r="E2335">
        <v>96</v>
      </c>
      <c r="F2335">
        <v>3.06</v>
      </c>
      <c r="G2335">
        <v>0.1595</v>
      </c>
      <c r="H2335">
        <v>0</v>
      </c>
      <c r="J2335">
        <v>1</v>
      </c>
      <c r="K2335">
        <f>YEAR(NetflixData[[#This Row],[date]])</f>
        <v>2025</v>
      </c>
      <c r="L2335" t="str">
        <f>TEXT(NetflixData[[#This Row],[date]],"mmm")</f>
        <v>Jan</v>
      </c>
      <c r="M2335" t="str">
        <f>TEXT(NetflixData[[#This Row],[date]],"mmm yyyy")</f>
        <v>Jan 2025</v>
      </c>
      <c r="N2335" t="str">
        <f t="shared" si="108"/>
        <v>Non-Trading Day</v>
      </c>
      <c r="O2335" t="str">
        <f t="shared" si="109"/>
        <v>Positive</v>
      </c>
      <c r="P2335" t="str">
        <f t="shared" si="110"/>
        <v>Positive</v>
      </c>
    </row>
    <row r="2336" spans="1:16" x14ac:dyDescent="0.3">
      <c r="A2336" s="1">
        <v>45689</v>
      </c>
      <c r="B2336">
        <v>97.68</v>
      </c>
      <c r="C2336">
        <v>0</v>
      </c>
      <c r="D2336">
        <v>0</v>
      </c>
      <c r="E2336">
        <v>126</v>
      </c>
      <c r="F2336">
        <v>3.1</v>
      </c>
      <c r="G2336">
        <v>0.1638</v>
      </c>
      <c r="H2336">
        <v>0</v>
      </c>
      <c r="J2336">
        <v>0</v>
      </c>
      <c r="K2336">
        <f>YEAR(NetflixData[[#This Row],[date]])</f>
        <v>2025</v>
      </c>
      <c r="L2336" t="str">
        <f>TEXT(NetflixData[[#This Row],[date]],"mmm")</f>
        <v>Feb</v>
      </c>
      <c r="M2336" t="str">
        <f>TEXT(NetflixData[[#This Row],[date]],"mmm yyyy")</f>
        <v>Feb 2025</v>
      </c>
      <c r="N2336" t="str">
        <f t="shared" si="108"/>
        <v>Non-Trading Day</v>
      </c>
      <c r="O2336" t="str">
        <f t="shared" si="109"/>
        <v>No Change</v>
      </c>
      <c r="P2336" t="str">
        <f t="shared" si="110"/>
        <v>Positive</v>
      </c>
    </row>
    <row r="2337" spans="1:16" x14ac:dyDescent="0.3">
      <c r="A2337" s="1">
        <v>45690</v>
      </c>
      <c r="B2337">
        <v>97.68</v>
      </c>
      <c r="C2337">
        <v>0</v>
      </c>
      <c r="D2337">
        <v>0</v>
      </c>
      <c r="E2337">
        <v>114</v>
      </c>
      <c r="F2337">
        <v>3.04</v>
      </c>
      <c r="G2337">
        <v>0.1396</v>
      </c>
      <c r="H2337">
        <v>0</v>
      </c>
      <c r="J2337">
        <v>0</v>
      </c>
      <c r="K2337">
        <f>YEAR(NetflixData[[#This Row],[date]])</f>
        <v>2025</v>
      </c>
      <c r="L2337" t="str">
        <f>TEXT(NetflixData[[#This Row],[date]],"mmm")</f>
        <v>Feb</v>
      </c>
      <c r="M2337" t="str">
        <f>TEXT(NetflixData[[#This Row],[date]],"mmm yyyy")</f>
        <v>Feb 2025</v>
      </c>
      <c r="N2337" t="str">
        <f t="shared" si="108"/>
        <v>Trading Day</v>
      </c>
      <c r="O2337" t="str">
        <f t="shared" si="109"/>
        <v>No Change</v>
      </c>
      <c r="P2337" t="str">
        <f t="shared" si="110"/>
        <v>Positive</v>
      </c>
    </row>
    <row r="2338" spans="1:16" x14ac:dyDescent="0.3">
      <c r="A2338" s="1">
        <v>45691</v>
      </c>
      <c r="B2338">
        <v>97.89</v>
      </c>
      <c r="C2338">
        <v>37242000</v>
      </c>
      <c r="D2338">
        <v>0.61</v>
      </c>
      <c r="E2338">
        <v>94</v>
      </c>
      <c r="F2338">
        <v>3.18</v>
      </c>
      <c r="G2338">
        <v>0.17860000000000001</v>
      </c>
      <c r="H2338">
        <v>0</v>
      </c>
      <c r="J2338">
        <v>1</v>
      </c>
      <c r="K2338">
        <f>YEAR(NetflixData[[#This Row],[date]])</f>
        <v>2025</v>
      </c>
      <c r="L2338" t="str">
        <f>TEXT(NetflixData[[#This Row],[date]],"mmm")</f>
        <v>Feb</v>
      </c>
      <c r="M2338" t="str">
        <f>TEXT(NetflixData[[#This Row],[date]],"mmm yyyy")</f>
        <v>Feb 2025</v>
      </c>
      <c r="N2338" t="str">
        <f t="shared" si="108"/>
        <v>Trading Day</v>
      </c>
      <c r="O2338" t="str">
        <f t="shared" si="109"/>
        <v>Positive</v>
      </c>
      <c r="P2338" t="str">
        <f t="shared" si="110"/>
        <v>Positive</v>
      </c>
    </row>
    <row r="2339" spans="1:16" x14ac:dyDescent="0.3">
      <c r="A2339" s="1">
        <v>45692</v>
      </c>
      <c r="B2339">
        <v>99.49</v>
      </c>
      <c r="C2339">
        <v>60001000</v>
      </c>
      <c r="D2339">
        <v>1.4690000000000001</v>
      </c>
      <c r="E2339">
        <v>102</v>
      </c>
      <c r="F2339">
        <v>3.21</v>
      </c>
      <c r="G2339">
        <v>0.16209999999999999</v>
      </c>
      <c r="H2339">
        <v>0</v>
      </c>
      <c r="J2339">
        <v>1</v>
      </c>
      <c r="K2339">
        <f>YEAR(NetflixData[[#This Row],[date]])</f>
        <v>2025</v>
      </c>
      <c r="L2339" t="str">
        <f>TEXT(NetflixData[[#This Row],[date]],"mmm")</f>
        <v>Feb</v>
      </c>
      <c r="M2339" t="str">
        <f>TEXT(NetflixData[[#This Row],[date]],"mmm yyyy")</f>
        <v>Feb 2025</v>
      </c>
      <c r="N2339" t="str">
        <f t="shared" si="108"/>
        <v>Trading Day</v>
      </c>
      <c r="O2339" t="str">
        <f t="shared" si="109"/>
        <v>Positive</v>
      </c>
      <c r="P2339" t="str">
        <f t="shared" si="110"/>
        <v>Positive</v>
      </c>
    </row>
    <row r="2340" spans="1:16" x14ac:dyDescent="0.3">
      <c r="A2340" s="1">
        <v>45693</v>
      </c>
      <c r="B2340">
        <v>101.11</v>
      </c>
      <c r="C2340">
        <v>39934000</v>
      </c>
      <c r="D2340">
        <v>2.367</v>
      </c>
      <c r="E2340">
        <v>106</v>
      </c>
      <c r="F2340">
        <v>3.1</v>
      </c>
      <c r="G2340">
        <v>0.20760000000000001</v>
      </c>
      <c r="H2340">
        <v>0</v>
      </c>
      <c r="J2340">
        <v>1</v>
      </c>
      <c r="K2340">
        <f>YEAR(NetflixData[[#This Row],[date]])</f>
        <v>2025</v>
      </c>
      <c r="L2340" t="str">
        <f>TEXT(NetflixData[[#This Row],[date]],"mmm")</f>
        <v>Feb</v>
      </c>
      <c r="M2340" t="str">
        <f>TEXT(NetflixData[[#This Row],[date]],"mmm yyyy")</f>
        <v>Feb 2025</v>
      </c>
      <c r="N2340" t="str">
        <f t="shared" si="108"/>
        <v>Trading Day</v>
      </c>
      <c r="O2340" t="str">
        <f t="shared" si="109"/>
        <v>Positive</v>
      </c>
      <c r="P2340" t="str">
        <f t="shared" si="110"/>
        <v>Positive</v>
      </c>
    </row>
    <row r="2341" spans="1:16" x14ac:dyDescent="0.3">
      <c r="A2341" s="1">
        <v>45694</v>
      </c>
      <c r="B2341">
        <v>101.57</v>
      </c>
      <c r="C2341">
        <v>31343000</v>
      </c>
      <c r="D2341">
        <v>0.77500000000000002</v>
      </c>
      <c r="E2341">
        <v>116</v>
      </c>
      <c r="F2341">
        <v>3.16</v>
      </c>
      <c r="G2341">
        <v>0.186</v>
      </c>
      <c r="H2341">
        <v>0</v>
      </c>
      <c r="J2341">
        <v>1</v>
      </c>
      <c r="K2341">
        <f>YEAR(NetflixData[[#This Row],[date]])</f>
        <v>2025</v>
      </c>
      <c r="L2341" t="str">
        <f>TEXT(NetflixData[[#This Row],[date]],"mmm")</f>
        <v>Feb</v>
      </c>
      <c r="M2341" t="str">
        <f>TEXT(NetflixData[[#This Row],[date]],"mmm yyyy")</f>
        <v>Feb 2025</v>
      </c>
      <c r="N2341" t="str">
        <f t="shared" si="108"/>
        <v>Trading Day</v>
      </c>
      <c r="O2341" t="str">
        <f t="shared" si="109"/>
        <v>Positive</v>
      </c>
      <c r="P2341" t="str">
        <f t="shared" si="110"/>
        <v>Positive</v>
      </c>
    </row>
    <row r="2342" spans="1:16" x14ac:dyDescent="0.3">
      <c r="A2342" s="1">
        <v>45695</v>
      </c>
      <c r="B2342">
        <v>101.39</v>
      </c>
      <c r="C2342">
        <v>32129000</v>
      </c>
      <c r="D2342">
        <v>-0.30199999999999999</v>
      </c>
      <c r="E2342">
        <v>147</v>
      </c>
      <c r="F2342">
        <v>3.18</v>
      </c>
      <c r="G2342">
        <v>0.1263</v>
      </c>
      <c r="H2342">
        <v>0</v>
      </c>
      <c r="J2342">
        <v>1</v>
      </c>
      <c r="K2342">
        <f>YEAR(NetflixData[[#This Row],[date]])</f>
        <v>2025</v>
      </c>
      <c r="L2342" t="str">
        <f>TEXT(NetflixData[[#This Row],[date]],"mmm")</f>
        <v>Feb</v>
      </c>
      <c r="M2342" t="str">
        <f>TEXT(NetflixData[[#This Row],[date]],"mmm yyyy")</f>
        <v>Feb 2025</v>
      </c>
      <c r="N2342" t="str">
        <f t="shared" si="108"/>
        <v>Non-Trading Day</v>
      </c>
      <c r="O2342" t="str">
        <f t="shared" si="109"/>
        <v>Negative</v>
      </c>
      <c r="P2342" t="str">
        <f t="shared" si="110"/>
        <v>Positive</v>
      </c>
    </row>
    <row r="2343" spans="1:16" x14ac:dyDescent="0.3">
      <c r="A2343" s="1">
        <v>45696</v>
      </c>
      <c r="B2343">
        <v>101.39</v>
      </c>
      <c r="C2343">
        <v>0</v>
      </c>
      <c r="D2343">
        <v>0</v>
      </c>
      <c r="E2343">
        <v>108</v>
      </c>
      <c r="F2343">
        <v>3.12</v>
      </c>
      <c r="G2343">
        <v>0.15210000000000001</v>
      </c>
      <c r="H2343">
        <v>0</v>
      </c>
      <c r="J2343">
        <v>0</v>
      </c>
      <c r="K2343">
        <f>YEAR(NetflixData[[#This Row],[date]])</f>
        <v>2025</v>
      </c>
      <c r="L2343" t="str">
        <f>TEXT(NetflixData[[#This Row],[date]],"mmm")</f>
        <v>Feb</v>
      </c>
      <c r="M2343" t="str">
        <f>TEXT(NetflixData[[#This Row],[date]],"mmm yyyy")</f>
        <v>Feb 2025</v>
      </c>
      <c r="N2343" t="str">
        <f t="shared" si="108"/>
        <v>Non-Trading Day</v>
      </c>
      <c r="O2343" t="str">
        <f t="shared" si="109"/>
        <v>No Change</v>
      </c>
      <c r="P2343" t="str">
        <f t="shared" si="110"/>
        <v>Positive</v>
      </c>
    </row>
    <row r="2344" spans="1:16" x14ac:dyDescent="0.3">
      <c r="A2344" s="1">
        <v>45697</v>
      </c>
      <c r="B2344">
        <v>101.39</v>
      </c>
      <c r="C2344">
        <v>0</v>
      </c>
      <c r="D2344">
        <v>0</v>
      </c>
      <c r="E2344">
        <v>127</v>
      </c>
      <c r="F2344">
        <v>3.04</v>
      </c>
      <c r="G2344">
        <v>0.12280000000000001</v>
      </c>
      <c r="H2344">
        <v>0</v>
      </c>
      <c r="J2344">
        <v>0</v>
      </c>
      <c r="K2344">
        <f>YEAR(NetflixData[[#This Row],[date]])</f>
        <v>2025</v>
      </c>
      <c r="L2344" t="str">
        <f>TEXT(NetflixData[[#This Row],[date]],"mmm")</f>
        <v>Feb</v>
      </c>
      <c r="M2344" t="str">
        <f>TEXT(NetflixData[[#This Row],[date]],"mmm yyyy")</f>
        <v>Feb 2025</v>
      </c>
      <c r="N2344" t="str">
        <f t="shared" si="108"/>
        <v>Trading Day</v>
      </c>
      <c r="O2344" t="str">
        <f t="shared" si="109"/>
        <v>No Change</v>
      </c>
      <c r="P2344" t="str">
        <f t="shared" si="110"/>
        <v>Positive</v>
      </c>
    </row>
    <row r="2345" spans="1:16" x14ac:dyDescent="0.3">
      <c r="A2345" s="1">
        <v>45698</v>
      </c>
      <c r="B2345">
        <v>102.76</v>
      </c>
      <c r="C2345">
        <v>32966000</v>
      </c>
      <c r="D2345">
        <v>0.44500000000000001</v>
      </c>
      <c r="E2345">
        <v>96</v>
      </c>
      <c r="F2345">
        <v>3.35</v>
      </c>
      <c r="G2345">
        <v>0.19339999999999999</v>
      </c>
      <c r="H2345">
        <v>0</v>
      </c>
      <c r="J2345">
        <v>1</v>
      </c>
      <c r="K2345">
        <f>YEAR(NetflixData[[#This Row],[date]])</f>
        <v>2025</v>
      </c>
      <c r="L2345" t="str">
        <f>TEXT(NetflixData[[#This Row],[date]],"mmm")</f>
        <v>Feb</v>
      </c>
      <c r="M2345" t="str">
        <f>TEXT(NetflixData[[#This Row],[date]],"mmm yyyy")</f>
        <v>Feb 2025</v>
      </c>
      <c r="N2345" t="str">
        <f t="shared" si="108"/>
        <v>Trading Day</v>
      </c>
      <c r="O2345" t="str">
        <f t="shared" si="109"/>
        <v>Positive</v>
      </c>
      <c r="P2345" t="str">
        <f t="shared" si="110"/>
        <v>Positive</v>
      </c>
    </row>
    <row r="2346" spans="1:16" x14ac:dyDescent="0.3">
      <c r="A2346" s="1">
        <v>45699</v>
      </c>
      <c r="B2346">
        <v>100.81</v>
      </c>
      <c r="C2346">
        <v>33318000</v>
      </c>
      <c r="D2346">
        <v>-1.2450000000000001</v>
      </c>
      <c r="E2346">
        <v>81</v>
      </c>
      <c r="F2346">
        <v>3.12</v>
      </c>
      <c r="G2346">
        <v>0.19889999999999999</v>
      </c>
      <c r="H2346">
        <v>0</v>
      </c>
      <c r="J2346">
        <v>1</v>
      </c>
      <c r="K2346">
        <f>YEAR(NetflixData[[#This Row],[date]])</f>
        <v>2025</v>
      </c>
      <c r="L2346" t="str">
        <f>TEXT(NetflixData[[#This Row],[date]],"mmm")</f>
        <v>Feb</v>
      </c>
      <c r="M2346" t="str">
        <f>TEXT(NetflixData[[#This Row],[date]],"mmm yyyy")</f>
        <v>Feb 2025</v>
      </c>
      <c r="N2346" t="str">
        <f t="shared" si="108"/>
        <v>Trading Day</v>
      </c>
      <c r="O2346" t="str">
        <f t="shared" si="109"/>
        <v>Negative</v>
      </c>
      <c r="P2346" t="str">
        <f t="shared" si="110"/>
        <v>Positive</v>
      </c>
    </row>
    <row r="2347" spans="1:16" x14ac:dyDescent="0.3">
      <c r="A2347" s="1">
        <v>45700</v>
      </c>
      <c r="B2347">
        <v>102.73</v>
      </c>
      <c r="C2347">
        <v>33890000</v>
      </c>
      <c r="D2347">
        <v>2.17</v>
      </c>
      <c r="E2347">
        <v>93</v>
      </c>
      <c r="F2347">
        <v>3.53</v>
      </c>
      <c r="G2347">
        <v>0.25940000000000002</v>
      </c>
      <c r="H2347">
        <v>0</v>
      </c>
      <c r="J2347">
        <v>1</v>
      </c>
      <c r="K2347">
        <f>YEAR(NetflixData[[#This Row],[date]])</f>
        <v>2025</v>
      </c>
      <c r="L2347" t="str">
        <f>TEXT(NetflixData[[#This Row],[date]],"mmm")</f>
        <v>Feb</v>
      </c>
      <c r="M2347" t="str">
        <f>TEXT(NetflixData[[#This Row],[date]],"mmm yyyy")</f>
        <v>Feb 2025</v>
      </c>
      <c r="N2347" t="str">
        <f t="shared" si="108"/>
        <v>Trading Day</v>
      </c>
      <c r="O2347" t="str">
        <f t="shared" si="109"/>
        <v>Positive</v>
      </c>
      <c r="P2347" t="str">
        <f t="shared" si="110"/>
        <v>Positive</v>
      </c>
    </row>
    <row r="2348" spans="1:16" x14ac:dyDescent="0.3">
      <c r="A2348" s="1">
        <v>45701</v>
      </c>
      <c r="B2348">
        <v>104.37</v>
      </c>
      <c r="C2348">
        <v>34761000</v>
      </c>
      <c r="D2348">
        <v>1.6619999999999999</v>
      </c>
      <c r="E2348">
        <v>104</v>
      </c>
      <c r="F2348">
        <v>3.1</v>
      </c>
      <c r="G2348">
        <v>0.19270000000000001</v>
      </c>
      <c r="H2348">
        <v>0</v>
      </c>
      <c r="J2348">
        <v>1</v>
      </c>
      <c r="K2348">
        <f>YEAR(NetflixData[[#This Row],[date]])</f>
        <v>2025</v>
      </c>
      <c r="L2348" t="str">
        <f>TEXT(NetflixData[[#This Row],[date]],"mmm")</f>
        <v>Feb</v>
      </c>
      <c r="M2348" t="str">
        <f>TEXT(NetflixData[[#This Row],[date]],"mmm yyyy")</f>
        <v>Feb 2025</v>
      </c>
      <c r="N2348" t="str">
        <f t="shared" si="108"/>
        <v>Trading Day</v>
      </c>
      <c r="O2348" t="str">
        <f t="shared" si="109"/>
        <v>Positive</v>
      </c>
      <c r="P2348" t="str">
        <f t="shared" si="110"/>
        <v>Positive</v>
      </c>
    </row>
    <row r="2349" spans="1:16" x14ac:dyDescent="0.3">
      <c r="A2349" s="1">
        <v>45702</v>
      </c>
      <c r="B2349">
        <v>105.86</v>
      </c>
      <c r="C2349">
        <v>31454000</v>
      </c>
      <c r="D2349">
        <v>1.306</v>
      </c>
      <c r="E2349">
        <v>99</v>
      </c>
      <c r="F2349">
        <v>3.02</v>
      </c>
      <c r="G2349">
        <v>0.2233</v>
      </c>
      <c r="H2349">
        <v>0</v>
      </c>
      <c r="J2349">
        <v>1</v>
      </c>
      <c r="K2349">
        <f>YEAR(NetflixData[[#This Row],[date]])</f>
        <v>2025</v>
      </c>
      <c r="L2349" t="str">
        <f>TEXT(NetflixData[[#This Row],[date]],"mmm")</f>
        <v>Feb</v>
      </c>
      <c r="M2349" t="str">
        <f>TEXT(NetflixData[[#This Row],[date]],"mmm yyyy")</f>
        <v>Feb 2025</v>
      </c>
      <c r="N2349" t="str">
        <f t="shared" si="108"/>
        <v>Non-Trading Day</v>
      </c>
      <c r="O2349" t="str">
        <f t="shared" si="109"/>
        <v>Positive</v>
      </c>
      <c r="P2349" t="str">
        <f t="shared" si="110"/>
        <v>Positive</v>
      </c>
    </row>
    <row r="2350" spans="1:16" x14ac:dyDescent="0.3">
      <c r="A2350" s="1">
        <v>45703</v>
      </c>
      <c r="B2350">
        <v>105.86</v>
      </c>
      <c r="C2350">
        <v>0</v>
      </c>
      <c r="D2350">
        <v>0</v>
      </c>
      <c r="E2350">
        <v>124</v>
      </c>
      <c r="F2350">
        <v>3.14</v>
      </c>
      <c r="G2350">
        <v>0.2354</v>
      </c>
      <c r="H2350">
        <v>0</v>
      </c>
      <c r="J2350">
        <v>0</v>
      </c>
      <c r="K2350">
        <f>YEAR(NetflixData[[#This Row],[date]])</f>
        <v>2025</v>
      </c>
      <c r="L2350" t="str">
        <f>TEXT(NetflixData[[#This Row],[date]],"mmm")</f>
        <v>Feb</v>
      </c>
      <c r="M2350" t="str">
        <f>TEXT(NetflixData[[#This Row],[date]],"mmm yyyy")</f>
        <v>Feb 2025</v>
      </c>
      <c r="N2350" t="str">
        <f t="shared" si="108"/>
        <v>Non-Trading Day</v>
      </c>
      <c r="O2350" t="str">
        <f t="shared" si="109"/>
        <v>No Change</v>
      </c>
      <c r="P2350" t="str">
        <f t="shared" si="110"/>
        <v>Positive</v>
      </c>
    </row>
    <row r="2351" spans="1:16" x14ac:dyDescent="0.3">
      <c r="A2351" s="1">
        <v>45704</v>
      </c>
      <c r="B2351">
        <v>105.86</v>
      </c>
      <c r="C2351">
        <v>0</v>
      </c>
      <c r="D2351">
        <v>0</v>
      </c>
      <c r="E2351">
        <v>123</v>
      </c>
      <c r="F2351">
        <v>3.34</v>
      </c>
      <c r="G2351">
        <v>0.1691</v>
      </c>
      <c r="H2351">
        <v>0</v>
      </c>
      <c r="J2351">
        <v>0</v>
      </c>
      <c r="K2351">
        <f>YEAR(NetflixData[[#This Row],[date]])</f>
        <v>2025</v>
      </c>
      <c r="L2351" t="str">
        <f>TEXT(NetflixData[[#This Row],[date]],"mmm")</f>
        <v>Feb</v>
      </c>
      <c r="M2351" t="str">
        <f>TEXT(NetflixData[[#This Row],[date]],"mmm yyyy")</f>
        <v>Feb 2025</v>
      </c>
      <c r="N2351" t="str">
        <f t="shared" si="108"/>
        <v>Non-Trading Day</v>
      </c>
      <c r="O2351" t="str">
        <f t="shared" si="109"/>
        <v>No Change</v>
      </c>
      <c r="P2351" t="str">
        <f t="shared" si="110"/>
        <v>Positive</v>
      </c>
    </row>
    <row r="2352" spans="1:16" x14ac:dyDescent="0.3">
      <c r="A2352" s="1">
        <v>45705</v>
      </c>
      <c r="B2352">
        <v>105.86</v>
      </c>
      <c r="C2352">
        <v>0</v>
      </c>
      <c r="D2352">
        <v>0</v>
      </c>
      <c r="E2352">
        <v>92</v>
      </c>
      <c r="F2352">
        <v>3.21</v>
      </c>
      <c r="G2352">
        <v>0.18609999999999999</v>
      </c>
      <c r="H2352">
        <v>0</v>
      </c>
      <c r="J2352">
        <v>0</v>
      </c>
      <c r="K2352">
        <f>YEAR(NetflixData[[#This Row],[date]])</f>
        <v>2025</v>
      </c>
      <c r="L2352" t="str">
        <f>TEXT(NetflixData[[#This Row],[date]],"mmm")</f>
        <v>Feb</v>
      </c>
      <c r="M2352" t="str">
        <f>TEXT(NetflixData[[#This Row],[date]],"mmm yyyy")</f>
        <v>Feb 2025</v>
      </c>
      <c r="N2352" t="str">
        <f t="shared" si="108"/>
        <v>Trading Day</v>
      </c>
      <c r="O2352" t="str">
        <f t="shared" si="109"/>
        <v>No Change</v>
      </c>
      <c r="P2352" t="str">
        <f t="shared" si="110"/>
        <v>Positive</v>
      </c>
    </row>
    <row r="2353" spans="1:16" x14ac:dyDescent="0.3">
      <c r="A2353" s="1">
        <v>45706</v>
      </c>
      <c r="B2353">
        <v>103.58</v>
      </c>
      <c r="C2353">
        <v>42293000</v>
      </c>
      <c r="D2353">
        <v>-2.278</v>
      </c>
      <c r="E2353">
        <v>79</v>
      </c>
      <c r="F2353">
        <v>2.76</v>
      </c>
      <c r="G2353">
        <v>0.20860000000000001</v>
      </c>
      <c r="H2353">
        <v>0</v>
      </c>
      <c r="J2353">
        <v>1</v>
      </c>
      <c r="K2353">
        <f>YEAR(NetflixData[[#This Row],[date]])</f>
        <v>2025</v>
      </c>
      <c r="L2353" t="str">
        <f>TEXT(NetflixData[[#This Row],[date]],"mmm")</f>
        <v>Feb</v>
      </c>
      <c r="M2353" t="str">
        <f>TEXT(NetflixData[[#This Row],[date]],"mmm yyyy")</f>
        <v>Feb 2025</v>
      </c>
      <c r="N2353" t="str">
        <f t="shared" si="108"/>
        <v>Trading Day</v>
      </c>
      <c r="O2353" t="str">
        <f t="shared" si="109"/>
        <v>Negative</v>
      </c>
      <c r="P2353" t="str">
        <f t="shared" si="110"/>
        <v>Positive</v>
      </c>
    </row>
    <row r="2354" spans="1:16" x14ac:dyDescent="0.3">
      <c r="A2354" s="1">
        <v>45707</v>
      </c>
      <c r="B2354">
        <v>104.33</v>
      </c>
      <c r="C2354">
        <v>26000000</v>
      </c>
      <c r="D2354">
        <v>0.78700000000000003</v>
      </c>
      <c r="E2354">
        <v>101</v>
      </c>
      <c r="F2354">
        <v>3.09</v>
      </c>
      <c r="G2354">
        <v>0.1222</v>
      </c>
      <c r="H2354">
        <v>0</v>
      </c>
      <c r="J2354">
        <v>1</v>
      </c>
      <c r="K2354">
        <f>YEAR(NetflixData[[#This Row],[date]])</f>
        <v>2025</v>
      </c>
      <c r="L2354" t="str">
        <f>TEXT(NetflixData[[#This Row],[date]],"mmm")</f>
        <v>Feb</v>
      </c>
      <c r="M2354" t="str">
        <f>TEXT(NetflixData[[#This Row],[date]],"mmm yyyy")</f>
        <v>Feb 2025</v>
      </c>
      <c r="N2354" t="str">
        <f t="shared" si="108"/>
        <v>Trading Day</v>
      </c>
      <c r="O2354" t="str">
        <f t="shared" si="109"/>
        <v>Positive</v>
      </c>
      <c r="P2354" t="str">
        <f t="shared" si="110"/>
        <v>Positive</v>
      </c>
    </row>
    <row r="2355" spans="1:16" x14ac:dyDescent="0.3">
      <c r="A2355" s="1">
        <v>45708</v>
      </c>
      <c r="B2355">
        <v>102.45</v>
      </c>
      <c r="C2355">
        <v>31118000</v>
      </c>
      <c r="D2355">
        <v>-1.6759999999999999</v>
      </c>
      <c r="E2355">
        <v>88</v>
      </c>
      <c r="F2355">
        <v>3.16</v>
      </c>
      <c r="G2355">
        <v>0.24690000000000001</v>
      </c>
      <c r="H2355">
        <v>0</v>
      </c>
      <c r="J2355">
        <v>1</v>
      </c>
      <c r="K2355">
        <f>YEAR(NetflixData[[#This Row],[date]])</f>
        <v>2025</v>
      </c>
      <c r="L2355" t="str">
        <f>TEXT(NetflixData[[#This Row],[date]],"mmm")</f>
        <v>Feb</v>
      </c>
      <c r="M2355" t="str">
        <f>TEXT(NetflixData[[#This Row],[date]],"mmm yyyy")</f>
        <v>Feb 2025</v>
      </c>
      <c r="N2355" t="str">
        <f t="shared" si="108"/>
        <v>Trading Day</v>
      </c>
      <c r="O2355" t="str">
        <f t="shared" si="109"/>
        <v>Negative</v>
      </c>
      <c r="P2355" t="str">
        <f t="shared" si="110"/>
        <v>Positive</v>
      </c>
    </row>
    <row r="2356" spans="1:16" x14ac:dyDescent="0.3">
      <c r="A2356" s="1">
        <v>45709</v>
      </c>
      <c r="B2356">
        <v>100.32</v>
      </c>
      <c r="C2356">
        <v>37387000</v>
      </c>
      <c r="D2356">
        <v>-2.552</v>
      </c>
      <c r="E2356">
        <v>91</v>
      </c>
      <c r="F2356">
        <v>3.13</v>
      </c>
      <c r="G2356">
        <v>0.18090000000000001</v>
      </c>
      <c r="H2356">
        <v>0</v>
      </c>
      <c r="J2356">
        <v>1</v>
      </c>
      <c r="K2356">
        <f>YEAR(NetflixData[[#This Row],[date]])</f>
        <v>2025</v>
      </c>
      <c r="L2356" t="str">
        <f>TEXT(NetflixData[[#This Row],[date]],"mmm")</f>
        <v>Feb</v>
      </c>
      <c r="M2356" t="str">
        <f>TEXT(NetflixData[[#This Row],[date]],"mmm yyyy")</f>
        <v>Feb 2025</v>
      </c>
      <c r="N2356" t="str">
        <f t="shared" si="108"/>
        <v>Non-Trading Day</v>
      </c>
      <c r="O2356" t="str">
        <f t="shared" si="109"/>
        <v>Negative</v>
      </c>
      <c r="P2356" t="str">
        <f t="shared" si="110"/>
        <v>Positive</v>
      </c>
    </row>
    <row r="2357" spans="1:16" x14ac:dyDescent="0.3">
      <c r="A2357" s="1">
        <v>45710</v>
      </c>
      <c r="B2357">
        <v>100.32</v>
      </c>
      <c r="C2357">
        <v>0</v>
      </c>
      <c r="D2357">
        <v>0</v>
      </c>
      <c r="E2357">
        <v>94</v>
      </c>
      <c r="F2357">
        <v>3.18</v>
      </c>
      <c r="G2357">
        <v>0.26379999999999998</v>
      </c>
      <c r="H2357">
        <v>0</v>
      </c>
      <c r="J2357">
        <v>0</v>
      </c>
      <c r="K2357">
        <f>YEAR(NetflixData[[#This Row],[date]])</f>
        <v>2025</v>
      </c>
      <c r="L2357" t="str">
        <f>TEXT(NetflixData[[#This Row],[date]],"mmm")</f>
        <v>Feb</v>
      </c>
      <c r="M2357" t="str">
        <f>TEXT(NetflixData[[#This Row],[date]],"mmm yyyy")</f>
        <v>Feb 2025</v>
      </c>
      <c r="N2357" t="str">
        <f t="shared" si="108"/>
        <v>Non-Trading Day</v>
      </c>
      <c r="O2357" t="str">
        <f t="shared" si="109"/>
        <v>No Change</v>
      </c>
      <c r="P2357" t="str">
        <f t="shared" si="110"/>
        <v>Positive</v>
      </c>
    </row>
    <row r="2358" spans="1:16" x14ac:dyDescent="0.3">
      <c r="A2358" s="1">
        <v>45711</v>
      </c>
      <c r="B2358">
        <v>100.32</v>
      </c>
      <c r="C2358">
        <v>0</v>
      </c>
      <c r="D2358">
        <v>0</v>
      </c>
      <c r="E2358">
        <v>107</v>
      </c>
      <c r="F2358">
        <v>3.27</v>
      </c>
      <c r="G2358">
        <v>0.1148</v>
      </c>
      <c r="H2358">
        <v>0</v>
      </c>
      <c r="J2358">
        <v>0</v>
      </c>
      <c r="K2358">
        <f>YEAR(NetflixData[[#This Row],[date]])</f>
        <v>2025</v>
      </c>
      <c r="L2358" t="str">
        <f>TEXT(NetflixData[[#This Row],[date]],"mmm")</f>
        <v>Feb</v>
      </c>
      <c r="M2358" t="str">
        <f>TEXT(NetflixData[[#This Row],[date]],"mmm yyyy")</f>
        <v>Feb 2025</v>
      </c>
      <c r="N2358" t="str">
        <f t="shared" si="108"/>
        <v>Trading Day</v>
      </c>
      <c r="O2358" t="str">
        <f t="shared" si="109"/>
        <v>No Change</v>
      </c>
      <c r="P2358" t="str">
        <f t="shared" si="110"/>
        <v>Positive</v>
      </c>
    </row>
    <row r="2359" spans="1:16" x14ac:dyDescent="0.3">
      <c r="A2359" s="1">
        <v>45712</v>
      </c>
      <c r="B2359">
        <v>98.85</v>
      </c>
      <c r="C2359">
        <v>44262000</v>
      </c>
      <c r="D2359">
        <v>-1.9379999999999999</v>
      </c>
      <c r="E2359">
        <v>63</v>
      </c>
      <c r="F2359">
        <v>3.19</v>
      </c>
      <c r="G2359">
        <v>0.24210000000000001</v>
      </c>
      <c r="H2359">
        <v>0</v>
      </c>
      <c r="J2359">
        <v>1</v>
      </c>
      <c r="K2359">
        <f>YEAR(NetflixData[[#This Row],[date]])</f>
        <v>2025</v>
      </c>
      <c r="L2359" t="str">
        <f>TEXT(NetflixData[[#This Row],[date]],"mmm")</f>
        <v>Feb</v>
      </c>
      <c r="M2359" t="str">
        <f>TEXT(NetflixData[[#This Row],[date]],"mmm yyyy")</f>
        <v>Feb 2025</v>
      </c>
      <c r="N2359" t="str">
        <f t="shared" si="108"/>
        <v>Trading Day</v>
      </c>
      <c r="O2359" t="str">
        <f t="shared" si="109"/>
        <v>Negative</v>
      </c>
      <c r="P2359" t="str">
        <f t="shared" si="110"/>
        <v>Positive</v>
      </c>
    </row>
    <row r="2360" spans="1:16" x14ac:dyDescent="0.3">
      <c r="A2360" s="1">
        <v>45713</v>
      </c>
      <c r="B2360">
        <v>97.72</v>
      </c>
      <c r="C2360">
        <v>47383000</v>
      </c>
      <c r="D2360">
        <v>-1.2290000000000001</v>
      </c>
      <c r="E2360">
        <v>96</v>
      </c>
      <c r="F2360">
        <v>2.9</v>
      </c>
      <c r="G2360">
        <v>0.12180000000000001</v>
      </c>
      <c r="H2360">
        <v>0</v>
      </c>
      <c r="J2360">
        <v>1</v>
      </c>
      <c r="K2360">
        <f>YEAR(NetflixData[[#This Row],[date]])</f>
        <v>2025</v>
      </c>
      <c r="L2360" t="str">
        <f>TEXT(NetflixData[[#This Row],[date]],"mmm")</f>
        <v>Feb</v>
      </c>
      <c r="M2360" t="str">
        <f>TEXT(NetflixData[[#This Row],[date]],"mmm yyyy")</f>
        <v>Feb 2025</v>
      </c>
      <c r="N2360" t="str">
        <f t="shared" si="108"/>
        <v>Trading Day</v>
      </c>
      <c r="O2360" t="str">
        <f t="shared" si="109"/>
        <v>Negative</v>
      </c>
      <c r="P2360" t="str">
        <f t="shared" si="110"/>
        <v>Positive</v>
      </c>
    </row>
    <row r="2361" spans="1:16" x14ac:dyDescent="0.3">
      <c r="A2361" s="1">
        <v>45714</v>
      </c>
      <c r="B2361">
        <v>99.01</v>
      </c>
      <c r="C2361">
        <v>33972000</v>
      </c>
      <c r="D2361">
        <v>1.2749999999999999</v>
      </c>
      <c r="E2361">
        <v>92</v>
      </c>
      <c r="F2361">
        <v>3.26</v>
      </c>
      <c r="G2361">
        <v>0.21959999999999999</v>
      </c>
      <c r="H2361">
        <v>0</v>
      </c>
      <c r="J2361">
        <v>1</v>
      </c>
      <c r="K2361">
        <f>YEAR(NetflixData[[#This Row],[date]])</f>
        <v>2025</v>
      </c>
      <c r="L2361" t="str">
        <f>TEXT(NetflixData[[#This Row],[date]],"mmm")</f>
        <v>Feb</v>
      </c>
      <c r="M2361" t="str">
        <f>TEXT(NetflixData[[#This Row],[date]],"mmm yyyy")</f>
        <v>Feb 2025</v>
      </c>
      <c r="N2361" t="str">
        <f t="shared" si="108"/>
        <v>Trading Day</v>
      </c>
      <c r="O2361" t="str">
        <f t="shared" si="109"/>
        <v>Positive</v>
      </c>
      <c r="P2361" t="str">
        <f t="shared" si="110"/>
        <v>Positive</v>
      </c>
    </row>
    <row r="2362" spans="1:16" x14ac:dyDescent="0.3">
      <c r="A2362" s="1">
        <v>45715</v>
      </c>
      <c r="B2362">
        <v>96.31</v>
      </c>
      <c r="C2362">
        <v>37666000</v>
      </c>
      <c r="D2362">
        <v>-3.2090000000000001</v>
      </c>
      <c r="E2362">
        <v>94</v>
      </c>
      <c r="F2362">
        <v>3.31</v>
      </c>
      <c r="G2362">
        <v>0.1661</v>
      </c>
      <c r="H2362">
        <v>0</v>
      </c>
      <c r="J2362">
        <v>1</v>
      </c>
      <c r="K2362">
        <f>YEAR(NetflixData[[#This Row],[date]])</f>
        <v>2025</v>
      </c>
      <c r="L2362" t="str">
        <f>TEXT(NetflixData[[#This Row],[date]],"mmm")</f>
        <v>Feb</v>
      </c>
      <c r="M2362" t="str">
        <f>TEXT(NetflixData[[#This Row],[date]],"mmm yyyy")</f>
        <v>Feb 2025</v>
      </c>
      <c r="N2362" t="str">
        <f t="shared" si="108"/>
        <v>Trading Day</v>
      </c>
      <c r="O2362" t="str">
        <f t="shared" si="109"/>
        <v>Negative</v>
      </c>
      <c r="P2362" t="str">
        <f t="shared" si="110"/>
        <v>Positive</v>
      </c>
    </row>
    <row r="2363" spans="1:16" x14ac:dyDescent="0.3">
      <c r="A2363" s="1">
        <v>45716</v>
      </c>
      <c r="B2363">
        <v>98.06</v>
      </c>
      <c r="C2363">
        <v>47174000</v>
      </c>
      <c r="D2363">
        <v>1.135</v>
      </c>
      <c r="E2363">
        <v>99</v>
      </c>
      <c r="F2363">
        <v>3.13</v>
      </c>
      <c r="G2363">
        <v>0.19089999999999999</v>
      </c>
      <c r="H2363">
        <v>0</v>
      </c>
      <c r="J2363">
        <v>1</v>
      </c>
      <c r="K2363">
        <f>YEAR(NetflixData[[#This Row],[date]])</f>
        <v>2025</v>
      </c>
      <c r="L2363" t="str">
        <f>TEXT(NetflixData[[#This Row],[date]],"mmm")</f>
        <v>Feb</v>
      </c>
      <c r="M2363" t="str">
        <f>TEXT(NetflixData[[#This Row],[date]],"mmm yyyy")</f>
        <v>Feb 2025</v>
      </c>
      <c r="N2363" t="str">
        <f t="shared" si="108"/>
        <v>Non-Trading Day</v>
      </c>
      <c r="O2363" t="str">
        <f t="shared" si="109"/>
        <v>Positive</v>
      </c>
      <c r="P2363" t="str">
        <f t="shared" si="110"/>
        <v>Positive</v>
      </c>
    </row>
    <row r="2364" spans="1:16" x14ac:dyDescent="0.3">
      <c r="A2364" s="1">
        <v>45717</v>
      </c>
      <c r="B2364">
        <v>98.06</v>
      </c>
      <c r="C2364">
        <v>0</v>
      </c>
      <c r="D2364">
        <v>0</v>
      </c>
      <c r="E2364">
        <v>108</v>
      </c>
      <c r="F2364">
        <v>3.25</v>
      </c>
      <c r="G2364">
        <v>0.15820000000000001</v>
      </c>
      <c r="H2364">
        <v>0</v>
      </c>
      <c r="J2364">
        <v>0</v>
      </c>
      <c r="K2364">
        <f>YEAR(NetflixData[[#This Row],[date]])</f>
        <v>2025</v>
      </c>
      <c r="L2364" t="str">
        <f>TEXT(NetflixData[[#This Row],[date]],"mmm")</f>
        <v>Mar</v>
      </c>
      <c r="M2364" t="str">
        <f>TEXT(NetflixData[[#This Row],[date]],"mmm yyyy")</f>
        <v>Mar 2025</v>
      </c>
      <c r="N2364" t="str">
        <f t="shared" si="108"/>
        <v>Non-Trading Day</v>
      </c>
      <c r="O2364" t="str">
        <f t="shared" si="109"/>
        <v>No Change</v>
      </c>
      <c r="P2364" t="str">
        <f t="shared" si="110"/>
        <v>Positive</v>
      </c>
    </row>
    <row r="2365" spans="1:16" x14ac:dyDescent="0.3">
      <c r="A2365" s="1">
        <v>45718</v>
      </c>
      <c r="B2365">
        <v>98.06</v>
      </c>
      <c r="C2365">
        <v>0</v>
      </c>
      <c r="D2365">
        <v>0</v>
      </c>
      <c r="E2365">
        <v>103</v>
      </c>
      <c r="F2365">
        <v>3.02</v>
      </c>
      <c r="G2365">
        <v>0.18290000000000001</v>
      </c>
      <c r="H2365">
        <v>0</v>
      </c>
      <c r="J2365">
        <v>0</v>
      </c>
      <c r="K2365">
        <f>YEAR(NetflixData[[#This Row],[date]])</f>
        <v>2025</v>
      </c>
      <c r="L2365" t="str">
        <f>TEXT(NetflixData[[#This Row],[date]],"mmm")</f>
        <v>Mar</v>
      </c>
      <c r="M2365" t="str">
        <f>TEXT(NetflixData[[#This Row],[date]],"mmm yyyy")</f>
        <v>Mar 2025</v>
      </c>
      <c r="N2365" t="str">
        <f t="shared" si="108"/>
        <v>Trading Day</v>
      </c>
      <c r="O2365" t="str">
        <f t="shared" si="109"/>
        <v>No Change</v>
      </c>
      <c r="P2365" t="str">
        <f t="shared" si="110"/>
        <v>Positive</v>
      </c>
    </row>
    <row r="2366" spans="1:16" x14ac:dyDescent="0.3">
      <c r="A2366" s="1">
        <v>45719</v>
      </c>
      <c r="B2366">
        <v>97.37</v>
      </c>
      <c r="C2366">
        <v>39074000</v>
      </c>
      <c r="D2366">
        <v>-0.94599999999999995</v>
      </c>
      <c r="E2366">
        <v>83</v>
      </c>
      <c r="F2366">
        <v>3.13</v>
      </c>
      <c r="G2366">
        <v>0.20530000000000001</v>
      </c>
      <c r="H2366">
        <v>0</v>
      </c>
      <c r="J2366">
        <v>1</v>
      </c>
      <c r="K2366">
        <f>YEAR(NetflixData[[#This Row],[date]])</f>
        <v>2025</v>
      </c>
      <c r="L2366" t="str">
        <f>TEXT(NetflixData[[#This Row],[date]],"mmm")</f>
        <v>Mar</v>
      </c>
      <c r="M2366" t="str">
        <f>TEXT(NetflixData[[#This Row],[date]],"mmm yyyy")</f>
        <v>Mar 2025</v>
      </c>
      <c r="N2366" t="str">
        <f t="shared" si="108"/>
        <v>Trading Day</v>
      </c>
      <c r="O2366" t="str">
        <f t="shared" si="109"/>
        <v>Negative</v>
      </c>
      <c r="P2366" t="str">
        <f t="shared" si="110"/>
        <v>Positive</v>
      </c>
    </row>
    <row r="2367" spans="1:16" x14ac:dyDescent="0.3">
      <c r="A2367" s="1">
        <v>45720</v>
      </c>
      <c r="B2367">
        <v>97.26</v>
      </c>
      <c r="C2367">
        <v>43928000</v>
      </c>
      <c r="D2367">
        <v>0.1</v>
      </c>
      <c r="E2367">
        <v>73</v>
      </c>
      <c r="F2367">
        <v>2.85</v>
      </c>
      <c r="G2367">
        <v>0.18310000000000001</v>
      </c>
      <c r="H2367">
        <v>0</v>
      </c>
      <c r="J2367">
        <v>1</v>
      </c>
      <c r="K2367">
        <f>YEAR(NetflixData[[#This Row],[date]])</f>
        <v>2025</v>
      </c>
      <c r="L2367" t="str">
        <f>TEXT(NetflixData[[#This Row],[date]],"mmm")</f>
        <v>Mar</v>
      </c>
      <c r="M2367" t="str">
        <f>TEXT(NetflixData[[#This Row],[date]],"mmm yyyy")</f>
        <v>Mar 2025</v>
      </c>
      <c r="N2367" t="str">
        <f t="shared" si="108"/>
        <v>Trading Day</v>
      </c>
      <c r="O2367" t="str">
        <f t="shared" si="109"/>
        <v>Positive</v>
      </c>
      <c r="P2367" t="str">
        <f t="shared" si="110"/>
        <v>Positive</v>
      </c>
    </row>
    <row r="2368" spans="1:16" x14ac:dyDescent="0.3">
      <c r="A2368" s="1">
        <v>45721</v>
      </c>
      <c r="B2368">
        <v>99.09</v>
      </c>
      <c r="C2368">
        <v>38079000</v>
      </c>
      <c r="D2368">
        <v>1.7769999999999999</v>
      </c>
      <c r="E2368">
        <v>85</v>
      </c>
      <c r="F2368">
        <v>3.07</v>
      </c>
      <c r="G2368">
        <v>6.8900000000000003E-2</v>
      </c>
      <c r="H2368">
        <v>0</v>
      </c>
      <c r="J2368">
        <v>1</v>
      </c>
      <c r="K2368">
        <f>YEAR(NetflixData[[#This Row],[date]])</f>
        <v>2025</v>
      </c>
      <c r="L2368" t="str">
        <f>TEXT(NetflixData[[#This Row],[date]],"mmm")</f>
        <v>Mar</v>
      </c>
      <c r="M2368" t="str">
        <f>TEXT(NetflixData[[#This Row],[date]],"mmm yyyy")</f>
        <v>Mar 2025</v>
      </c>
      <c r="N2368" t="str">
        <f t="shared" si="108"/>
        <v>Trading Day</v>
      </c>
      <c r="O2368" t="str">
        <f t="shared" si="109"/>
        <v>Positive</v>
      </c>
      <c r="P2368" t="str">
        <f t="shared" si="110"/>
        <v>Neutral</v>
      </c>
    </row>
    <row r="2369" spans="1:16" x14ac:dyDescent="0.3">
      <c r="A2369" s="1">
        <v>45722</v>
      </c>
      <c r="B2369">
        <v>90.64</v>
      </c>
      <c r="C2369">
        <v>78526000</v>
      </c>
      <c r="D2369">
        <v>-6.8479999999999999</v>
      </c>
      <c r="E2369">
        <v>96</v>
      </c>
      <c r="F2369">
        <v>3.16</v>
      </c>
      <c r="G2369">
        <v>0.20169999999999999</v>
      </c>
      <c r="H2369">
        <v>0</v>
      </c>
      <c r="J2369">
        <v>1</v>
      </c>
      <c r="K2369">
        <f>YEAR(NetflixData[[#This Row],[date]])</f>
        <v>2025</v>
      </c>
      <c r="L2369" t="str">
        <f>TEXT(NetflixData[[#This Row],[date]],"mmm")</f>
        <v>Mar</v>
      </c>
      <c r="M2369" t="str">
        <f>TEXT(NetflixData[[#This Row],[date]],"mmm yyyy")</f>
        <v>Mar 2025</v>
      </c>
      <c r="N2369" t="str">
        <f t="shared" si="108"/>
        <v>Trading Day</v>
      </c>
      <c r="O2369" t="str">
        <f t="shared" si="109"/>
        <v>Negative</v>
      </c>
      <c r="P2369" t="str">
        <f t="shared" si="110"/>
        <v>Positive</v>
      </c>
    </row>
    <row r="2370" spans="1:16" x14ac:dyDescent="0.3">
      <c r="A2370" s="1">
        <v>45723</v>
      </c>
      <c r="B2370">
        <v>89.11</v>
      </c>
      <c r="C2370">
        <v>77375000</v>
      </c>
      <c r="D2370">
        <v>-0.72699999999999998</v>
      </c>
      <c r="E2370">
        <v>80</v>
      </c>
      <c r="F2370">
        <v>3.11</v>
      </c>
      <c r="G2370">
        <v>0.1789</v>
      </c>
      <c r="H2370">
        <v>0</v>
      </c>
      <c r="J2370">
        <v>1</v>
      </c>
      <c r="K2370">
        <f>YEAR(NetflixData[[#This Row],[date]])</f>
        <v>2025</v>
      </c>
      <c r="L2370" t="str">
        <f>TEXT(NetflixData[[#This Row],[date]],"mmm")</f>
        <v>Mar</v>
      </c>
      <c r="M2370" t="str">
        <f>TEXT(NetflixData[[#This Row],[date]],"mmm yyyy")</f>
        <v>Mar 2025</v>
      </c>
      <c r="N2370" t="str">
        <f t="shared" ref="N2370:N2433" si="111">IF(J2371=1,"Trading Day","Non-Trading Day")</f>
        <v>Non-Trading Day</v>
      </c>
      <c r="O2370" t="str">
        <f t="shared" ref="O2370:O2433" si="112">IF(D2370&gt;0,"Positive",IF(D2370&lt;0,"Negative","No Change"))</f>
        <v>Negative</v>
      </c>
      <c r="P2370" t="str">
        <f t="shared" ref="P2370:P2433" si="113">IF(G2370&gt;0.1,"Positive",IF(G2370&lt;-0.1,"Negative","Neutral"))</f>
        <v>Positive</v>
      </c>
    </row>
    <row r="2371" spans="1:16" x14ac:dyDescent="0.3">
      <c r="A2371" s="1">
        <v>45724</v>
      </c>
      <c r="B2371">
        <v>89.11</v>
      </c>
      <c r="C2371">
        <v>0</v>
      </c>
      <c r="D2371">
        <v>0</v>
      </c>
      <c r="E2371">
        <v>100</v>
      </c>
      <c r="F2371">
        <v>3.35</v>
      </c>
      <c r="G2371">
        <v>0.25309999999999999</v>
      </c>
      <c r="H2371">
        <v>0</v>
      </c>
      <c r="J2371">
        <v>0</v>
      </c>
      <c r="K2371">
        <f>YEAR(NetflixData[[#This Row],[date]])</f>
        <v>2025</v>
      </c>
      <c r="L2371" t="str">
        <f>TEXT(NetflixData[[#This Row],[date]],"mmm")</f>
        <v>Mar</v>
      </c>
      <c r="M2371" t="str">
        <f>TEXT(NetflixData[[#This Row],[date]],"mmm yyyy")</f>
        <v>Mar 2025</v>
      </c>
      <c r="N2371" t="str">
        <f t="shared" si="111"/>
        <v>Non-Trading Day</v>
      </c>
      <c r="O2371" t="str">
        <f t="shared" si="112"/>
        <v>No Change</v>
      </c>
      <c r="P2371" t="str">
        <f t="shared" si="113"/>
        <v>Positive</v>
      </c>
    </row>
    <row r="2372" spans="1:16" x14ac:dyDescent="0.3">
      <c r="A2372" s="1">
        <v>45725</v>
      </c>
      <c r="B2372">
        <v>89.11</v>
      </c>
      <c r="C2372">
        <v>0</v>
      </c>
      <c r="D2372">
        <v>0</v>
      </c>
      <c r="E2372">
        <v>86</v>
      </c>
      <c r="F2372">
        <v>3.41</v>
      </c>
      <c r="G2372">
        <v>0.20899999999999999</v>
      </c>
      <c r="H2372">
        <v>0</v>
      </c>
      <c r="J2372">
        <v>0</v>
      </c>
      <c r="K2372">
        <f>YEAR(NetflixData[[#This Row],[date]])</f>
        <v>2025</v>
      </c>
      <c r="L2372" t="str">
        <f>TEXT(NetflixData[[#This Row],[date]],"mmm")</f>
        <v>Mar</v>
      </c>
      <c r="M2372" t="str">
        <f>TEXT(NetflixData[[#This Row],[date]],"mmm yyyy")</f>
        <v>Mar 2025</v>
      </c>
      <c r="N2372" t="str">
        <f t="shared" si="111"/>
        <v>Trading Day</v>
      </c>
      <c r="O2372" t="str">
        <f t="shared" si="112"/>
        <v>No Change</v>
      </c>
      <c r="P2372" t="str">
        <f t="shared" si="113"/>
        <v>Positive</v>
      </c>
    </row>
    <row r="2373" spans="1:16" x14ac:dyDescent="0.3">
      <c r="A2373" s="1">
        <v>45726</v>
      </c>
      <c r="B2373">
        <v>86.67</v>
      </c>
      <c r="C2373">
        <v>69953000</v>
      </c>
      <c r="D2373">
        <v>-0.95899999999999996</v>
      </c>
      <c r="E2373">
        <v>75</v>
      </c>
      <c r="F2373">
        <v>3.01</v>
      </c>
      <c r="G2373">
        <v>0.1095</v>
      </c>
      <c r="H2373">
        <v>0</v>
      </c>
      <c r="J2373">
        <v>1</v>
      </c>
      <c r="K2373">
        <f>YEAR(NetflixData[[#This Row],[date]])</f>
        <v>2025</v>
      </c>
      <c r="L2373" t="str">
        <f>TEXT(NetflixData[[#This Row],[date]],"mmm")</f>
        <v>Mar</v>
      </c>
      <c r="M2373" t="str">
        <f>TEXT(NetflixData[[#This Row],[date]],"mmm yyyy")</f>
        <v>Mar 2025</v>
      </c>
      <c r="N2373" t="str">
        <f t="shared" si="111"/>
        <v>Trading Day</v>
      </c>
      <c r="O2373" t="str">
        <f t="shared" si="112"/>
        <v>Negative</v>
      </c>
      <c r="P2373" t="str">
        <f t="shared" si="113"/>
        <v>Positive</v>
      </c>
    </row>
    <row r="2374" spans="1:16" x14ac:dyDescent="0.3">
      <c r="A2374" s="1">
        <v>45727</v>
      </c>
      <c r="B2374">
        <v>89.51</v>
      </c>
      <c r="C2374">
        <v>73989000</v>
      </c>
      <c r="D2374">
        <v>3.1920000000000002</v>
      </c>
      <c r="E2374">
        <v>85</v>
      </c>
      <c r="F2374">
        <v>2.98</v>
      </c>
      <c r="G2374">
        <v>0.15479999999999999</v>
      </c>
      <c r="H2374">
        <v>0</v>
      </c>
      <c r="J2374">
        <v>1</v>
      </c>
      <c r="K2374">
        <f>YEAR(NetflixData[[#This Row],[date]])</f>
        <v>2025</v>
      </c>
      <c r="L2374" t="str">
        <f>TEXT(NetflixData[[#This Row],[date]],"mmm")</f>
        <v>Mar</v>
      </c>
      <c r="M2374" t="str">
        <f>TEXT(NetflixData[[#This Row],[date]],"mmm yyyy")</f>
        <v>Mar 2025</v>
      </c>
      <c r="N2374" t="str">
        <f t="shared" si="111"/>
        <v>Trading Day</v>
      </c>
      <c r="O2374" t="str">
        <f t="shared" si="112"/>
        <v>Positive</v>
      </c>
      <c r="P2374" t="str">
        <f t="shared" si="113"/>
        <v>Positive</v>
      </c>
    </row>
    <row r="2375" spans="1:16" x14ac:dyDescent="0.3">
      <c r="A2375" s="1">
        <v>45728</v>
      </c>
      <c r="B2375">
        <v>91.97</v>
      </c>
      <c r="C2375">
        <v>68658000</v>
      </c>
      <c r="D2375">
        <v>0.55500000000000005</v>
      </c>
      <c r="E2375">
        <v>89</v>
      </c>
      <c r="F2375">
        <v>3.3</v>
      </c>
      <c r="G2375">
        <v>0.2107</v>
      </c>
      <c r="H2375">
        <v>0</v>
      </c>
      <c r="J2375">
        <v>1</v>
      </c>
      <c r="K2375">
        <f>YEAR(NetflixData[[#This Row],[date]])</f>
        <v>2025</v>
      </c>
      <c r="L2375" t="str">
        <f>TEXT(NetflixData[[#This Row],[date]],"mmm")</f>
        <v>Mar</v>
      </c>
      <c r="M2375" t="str">
        <f>TEXT(NetflixData[[#This Row],[date]],"mmm yyyy")</f>
        <v>Mar 2025</v>
      </c>
      <c r="N2375" t="str">
        <f t="shared" si="111"/>
        <v>Trading Day</v>
      </c>
      <c r="O2375" t="str">
        <f t="shared" si="112"/>
        <v>Positive</v>
      </c>
      <c r="P2375" t="str">
        <f t="shared" si="113"/>
        <v>Positive</v>
      </c>
    </row>
    <row r="2376" spans="1:16" x14ac:dyDescent="0.3">
      <c r="A2376" s="1">
        <v>45729</v>
      </c>
      <c r="B2376">
        <v>89.02</v>
      </c>
      <c r="C2376">
        <v>50017000</v>
      </c>
      <c r="D2376">
        <v>-2.5009999999999999</v>
      </c>
      <c r="E2376">
        <v>79</v>
      </c>
      <c r="F2376">
        <v>3.53</v>
      </c>
      <c r="G2376">
        <v>0.25230000000000002</v>
      </c>
      <c r="H2376">
        <v>0</v>
      </c>
      <c r="J2376">
        <v>1</v>
      </c>
      <c r="K2376">
        <f>YEAR(NetflixData[[#This Row],[date]])</f>
        <v>2025</v>
      </c>
      <c r="L2376" t="str">
        <f>TEXT(NetflixData[[#This Row],[date]],"mmm")</f>
        <v>Mar</v>
      </c>
      <c r="M2376" t="str">
        <f>TEXT(NetflixData[[#This Row],[date]],"mmm yyyy")</f>
        <v>Mar 2025</v>
      </c>
      <c r="N2376" t="str">
        <f t="shared" si="111"/>
        <v>Trading Day</v>
      </c>
      <c r="O2376" t="str">
        <f t="shared" si="112"/>
        <v>Negative</v>
      </c>
      <c r="P2376" t="str">
        <f t="shared" si="113"/>
        <v>Positive</v>
      </c>
    </row>
    <row r="2377" spans="1:16" x14ac:dyDescent="0.3">
      <c r="A2377" s="1">
        <v>45730</v>
      </c>
      <c r="B2377">
        <v>91.8</v>
      </c>
      <c r="C2377">
        <v>52007000</v>
      </c>
      <c r="D2377">
        <v>1.835</v>
      </c>
      <c r="E2377">
        <v>75</v>
      </c>
      <c r="F2377">
        <v>3.12</v>
      </c>
      <c r="G2377">
        <v>0.17580000000000001</v>
      </c>
      <c r="H2377">
        <v>0</v>
      </c>
      <c r="J2377">
        <v>1</v>
      </c>
      <c r="K2377">
        <f>YEAR(NetflixData[[#This Row],[date]])</f>
        <v>2025</v>
      </c>
      <c r="L2377" t="str">
        <f>TEXT(NetflixData[[#This Row],[date]],"mmm")</f>
        <v>Mar</v>
      </c>
      <c r="M2377" t="str">
        <f>TEXT(NetflixData[[#This Row],[date]],"mmm yyyy")</f>
        <v>Mar 2025</v>
      </c>
      <c r="N2377" t="str">
        <f t="shared" si="111"/>
        <v>Non-Trading Day</v>
      </c>
      <c r="O2377" t="str">
        <f t="shared" si="112"/>
        <v>Positive</v>
      </c>
      <c r="P2377" t="str">
        <f t="shared" si="113"/>
        <v>Positive</v>
      </c>
    </row>
    <row r="2378" spans="1:16" x14ac:dyDescent="0.3">
      <c r="A2378" s="1">
        <v>45731</v>
      </c>
      <c r="B2378">
        <v>91.8</v>
      </c>
      <c r="C2378">
        <v>0</v>
      </c>
      <c r="D2378">
        <v>0</v>
      </c>
      <c r="E2378">
        <v>100</v>
      </c>
      <c r="F2378">
        <v>3.16</v>
      </c>
      <c r="G2378">
        <v>0.16350000000000001</v>
      </c>
      <c r="H2378">
        <v>0</v>
      </c>
      <c r="J2378">
        <v>0</v>
      </c>
      <c r="K2378">
        <f>YEAR(NetflixData[[#This Row],[date]])</f>
        <v>2025</v>
      </c>
      <c r="L2378" t="str">
        <f>TEXT(NetflixData[[#This Row],[date]],"mmm")</f>
        <v>Mar</v>
      </c>
      <c r="M2378" t="str">
        <f>TEXT(NetflixData[[#This Row],[date]],"mmm yyyy")</f>
        <v>Mar 2025</v>
      </c>
      <c r="N2378" t="str">
        <f t="shared" si="111"/>
        <v>Non-Trading Day</v>
      </c>
      <c r="O2378" t="str">
        <f t="shared" si="112"/>
        <v>No Change</v>
      </c>
      <c r="P2378" t="str">
        <f t="shared" si="113"/>
        <v>Positive</v>
      </c>
    </row>
    <row r="2379" spans="1:16" x14ac:dyDescent="0.3">
      <c r="A2379" s="1">
        <v>45732</v>
      </c>
      <c r="B2379">
        <v>91.8</v>
      </c>
      <c r="C2379">
        <v>0</v>
      </c>
      <c r="D2379">
        <v>0</v>
      </c>
      <c r="E2379">
        <v>99</v>
      </c>
      <c r="F2379">
        <v>3.14</v>
      </c>
      <c r="G2379">
        <v>0.1825</v>
      </c>
      <c r="H2379">
        <v>0</v>
      </c>
      <c r="J2379">
        <v>0</v>
      </c>
      <c r="K2379">
        <f>YEAR(NetflixData[[#This Row],[date]])</f>
        <v>2025</v>
      </c>
      <c r="L2379" t="str">
        <f>TEXT(NetflixData[[#This Row],[date]],"mmm")</f>
        <v>Mar</v>
      </c>
      <c r="M2379" t="str">
        <f>TEXT(NetflixData[[#This Row],[date]],"mmm yyyy")</f>
        <v>Mar 2025</v>
      </c>
      <c r="N2379" t="str">
        <f t="shared" si="111"/>
        <v>Trading Day</v>
      </c>
      <c r="O2379" t="str">
        <f t="shared" si="112"/>
        <v>No Change</v>
      </c>
      <c r="P2379" t="str">
        <f t="shared" si="113"/>
        <v>Positive</v>
      </c>
    </row>
    <row r="2380" spans="1:16" x14ac:dyDescent="0.3">
      <c r="A2380" s="1">
        <v>45733</v>
      </c>
      <c r="B2380">
        <v>95</v>
      </c>
      <c r="C2380">
        <v>75431000</v>
      </c>
      <c r="D2380">
        <v>1.071</v>
      </c>
      <c r="E2380">
        <v>66</v>
      </c>
      <c r="F2380">
        <v>3.39</v>
      </c>
      <c r="G2380">
        <v>0.20039999999999999</v>
      </c>
      <c r="H2380">
        <v>0</v>
      </c>
      <c r="J2380">
        <v>1</v>
      </c>
      <c r="K2380">
        <f>YEAR(NetflixData[[#This Row],[date]])</f>
        <v>2025</v>
      </c>
      <c r="L2380" t="str">
        <f>TEXT(NetflixData[[#This Row],[date]],"mmm")</f>
        <v>Mar</v>
      </c>
      <c r="M2380" t="str">
        <f>TEXT(NetflixData[[#This Row],[date]],"mmm yyyy")</f>
        <v>Mar 2025</v>
      </c>
      <c r="N2380" t="str">
        <f t="shared" si="111"/>
        <v>Trading Day</v>
      </c>
      <c r="O2380" t="str">
        <f t="shared" si="112"/>
        <v>Positive</v>
      </c>
      <c r="P2380" t="str">
        <f t="shared" si="113"/>
        <v>Positive</v>
      </c>
    </row>
    <row r="2381" spans="1:16" x14ac:dyDescent="0.3">
      <c r="A2381" s="1">
        <v>45734</v>
      </c>
      <c r="B2381">
        <v>93</v>
      </c>
      <c r="C2381">
        <v>60094000</v>
      </c>
      <c r="D2381">
        <v>-1.0660000000000001</v>
      </c>
      <c r="E2381">
        <v>68</v>
      </c>
      <c r="F2381">
        <v>2.75</v>
      </c>
      <c r="G2381">
        <v>0.1893</v>
      </c>
      <c r="H2381">
        <v>0</v>
      </c>
      <c r="J2381">
        <v>1</v>
      </c>
      <c r="K2381">
        <f>YEAR(NetflixData[[#This Row],[date]])</f>
        <v>2025</v>
      </c>
      <c r="L2381" t="str">
        <f>TEXT(NetflixData[[#This Row],[date]],"mmm")</f>
        <v>Mar</v>
      </c>
      <c r="M2381" t="str">
        <f>TEXT(NetflixData[[#This Row],[date]],"mmm yyyy")</f>
        <v>Mar 2025</v>
      </c>
      <c r="N2381" t="str">
        <f t="shared" si="111"/>
        <v>Trading Day</v>
      </c>
      <c r="O2381" t="str">
        <f t="shared" si="112"/>
        <v>Negative</v>
      </c>
      <c r="P2381" t="str">
        <f t="shared" si="113"/>
        <v>Positive</v>
      </c>
    </row>
    <row r="2382" spans="1:16" x14ac:dyDescent="0.3">
      <c r="A2382" s="1">
        <v>45735</v>
      </c>
      <c r="B2382">
        <v>95.95</v>
      </c>
      <c r="C2382">
        <v>66624000</v>
      </c>
      <c r="D2382">
        <v>2.5350000000000001</v>
      </c>
      <c r="E2382">
        <v>79</v>
      </c>
      <c r="F2382">
        <v>3.05</v>
      </c>
      <c r="G2382">
        <v>0.2009</v>
      </c>
      <c r="H2382">
        <v>0</v>
      </c>
      <c r="J2382">
        <v>1</v>
      </c>
      <c r="K2382">
        <f>YEAR(NetflixData[[#This Row],[date]])</f>
        <v>2025</v>
      </c>
      <c r="L2382" t="str">
        <f>TEXT(NetflixData[[#This Row],[date]],"mmm")</f>
        <v>Mar</v>
      </c>
      <c r="M2382" t="str">
        <f>TEXT(NetflixData[[#This Row],[date]],"mmm yyyy")</f>
        <v>Mar 2025</v>
      </c>
      <c r="N2382" t="str">
        <f t="shared" si="111"/>
        <v>Trading Day</v>
      </c>
      <c r="O2382" t="str">
        <f t="shared" si="112"/>
        <v>Positive</v>
      </c>
      <c r="P2382" t="str">
        <f t="shared" si="113"/>
        <v>Positive</v>
      </c>
    </row>
    <row r="2383" spans="1:16" x14ac:dyDescent="0.3">
      <c r="A2383" s="1">
        <v>45736</v>
      </c>
      <c r="B2383">
        <v>95.08</v>
      </c>
      <c r="C2383">
        <v>44663000</v>
      </c>
      <c r="D2383">
        <v>8.6999999999999994E-2</v>
      </c>
      <c r="E2383">
        <v>0</v>
      </c>
      <c r="H2383">
        <v>0</v>
      </c>
      <c r="J2383">
        <v>1</v>
      </c>
      <c r="K2383">
        <f>YEAR(NetflixData[[#This Row],[date]])</f>
        <v>2025</v>
      </c>
      <c r="L2383" t="str">
        <f>TEXT(NetflixData[[#This Row],[date]],"mmm")</f>
        <v>Mar</v>
      </c>
      <c r="M2383" t="str">
        <f>TEXT(NetflixData[[#This Row],[date]],"mmm yyyy")</f>
        <v>Mar 2025</v>
      </c>
      <c r="N2383" t="str">
        <f t="shared" si="111"/>
        <v>Trading Day</v>
      </c>
      <c r="O2383" t="str">
        <f t="shared" si="112"/>
        <v>Positive</v>
      </c>
      <c r="P2383" t="str">
        <f t="shared" si="113"/>
        <v>Neutral</v>
      </c>
    </row>
    <row r="2384" spans="1:16" x14ac:dyDescent="0.3">
      <c r="A2384" s="1">
        <v>45737</v>
      </c>
      <c r="B2384">
        <v>96.03</v>
      </c>
      <c r="C2384">
        <v>59054000</v>
      </c>
      <c r="D2384">
        <v>1.9810000000000001</v>
      </c>
      <c r="E2384">
        <v>78</v>
      </c>
      <c r="F2384">
        <v>2.86</v>
      </c>
      <c r="G2384">
        <v>0.10829999999999999</v>
      </c>
      <c r="H2384">
        <v>0</v>
      </c>
      <c r="J2384">
        <v>1</v>
      </c>
      <c r="K2384">
        <f>YEAR(NetflixData[[#This Row],[date]])</f>
        <v>2025</v>
      </c>
      <c r="L2384" t="str">
        <f>TEXT(NetflixData[[#This Row],[date]],"mmm")</f>
        <v>Mar</v>
      </c>
      <c r="M2384" t="str">
        <f>TEXT(NetflixData[[#This Row],[date]],"mmm yyyy")</f>
        <v>Mar 2025</v>
      </c>
      <c r="N2384" t="str">
        <f t="shared" si="111"/>
        <v>Non-Trading Day</v>
      </c>
      <c r="O2384" t="str">
        <f t="shared" si="112"/>
        <v>Positive</v>
      </c>
      <c r="P2384" t="str">
        <f t="shared" si="113"/>
        <v>Positive</v>
      </c>
    </row>
    <row r="2385" spans="1:16" x14ac:dyDescent="0.3">
      <c r="A2385" s="1">
        <v>45738</v>
      </c>
      <c r="B2385">
        <v>96.03</v>
      </c>
      <c r="C2385">
        <v>0</v>
      </c>
      <c r="D2385">
        <v>0</v>
      </c>
      <c r="E2385">
        <v>103</v>
      </c>
      <c r="F2385">
        <v>2.92</v>
      </c>
      <c r="G2385">
        <v>0.16520000000000001</v>
      </c>
      <c r="H2385">
        <v>0</v>
      </c>
      <c r="J2385">
        <v>0</v>
      </c>
      <c r="K2385">
        <f>YEAR(NetflixData[[#This Row],[date]])</f>
        <v>2025</v>
      </c>
      <c r="L2385" t="str">
        <f>TEXT(NetflixData[[#This Row],[date]],"mmm")</f>
        <v>Mar</v>
      </c>
      <c r="M2385" t="str">
        <f>TEXT(NetflixData[[#This Row],[date]],"mmm yyyy")</f>
        <v>Mar 2025</v>
      </c>
      <c r="N2385" t="str">
        <f t="shared" si="111"/>
        <v>Non-Trading Day</v>
      </c>
      <c r="O2385" t="str">
        <f t="shared" si="112"/>
        <v>No Change</v>
      </c>
      <c r="P2385" t="str">
        <f t="shared" si="113"/>
        <v>Positive</v>
      </c>
    </row>
    <row r="2386" spans="1:16" x14ac:dyDescent="0.3">
      <c r="A2386" s="1">
        <v>45739</v>
      </c>
      <c r="B2386">
        <v>96.03</v>
      </c>
      <c r="C2386">
        <v>0</v>
      </c>
      <c r="D2386">
        <v>0</v>
      </c>
      <c r="E2386">
        <v>88</v>
      </c>
      <c r="F2386">
        <v>3.06</v>
      </c>
      <c r="G2386">
        <v>0.19689999999999999</v>
      </c>
      <c r="H2386">
        <v>0</v>
      </c>
      <c r="J2386">
        <v>0</v>
      </c>
      <c r="K2386">
        <f>YEAR(NetflixData[[#This Row],[date]])</f>
        <v>2025</v>
      </c>
      <c r="L2386" t="str">
        <f>TEXT(NetflixData[[#This Row],[date]],"mmm")</f>
        <v>Mar</v>
      </c>
      <c r="M2386" t="str">
        <f>TEXT(NetflixData[[#This Row],[date]],"mmm yyyy")</f>
        <v>Mar 2025</v>
      </c>
      <c r="N2386" t="str">
        <f t="shared" si="111"/>
        <v>Trading Day</v>
      </c>
      <c r="O2386" t="str">
        <f t="shared" si="112"/>
        <v>No Change</v>
      </c>
      <c r="P2386" t="str">
        <f t="shared" si="113"/>
        <v>Positive</v>
      </c>
    </row>
    <row r="2387" spans="1:16" x14ac:dyDescent="0.3">
      <c r="A2387" s="1">
        <v>45740</v>
      </c>
      <c r="B2387">
        <v>97.2</v>
      </c>
      <c r="C2387">
        <v>46779000</v>
      </c>
      <c r="D2387">
        <v>0.23899999999999999</v>
      </c>
      <c r="E2387">
        <v>88</v>
      </c>
      <c r="F2387">
        <v>3.15</v>
      </c>
      <c r="G2387">
        <v>0.21779999999999999</v>
      </c>
      <c r="H2387">
        <v>0</v>
      </c>
      <c r="J2387">
        <v>1</v>
      </c>
      <c r="K2387">
        <f>YEAR(NetflixData[[#This Row],[date]])</f>
        <v>2025</v>
      </c>
      <c r="L2387" t="str">
        <f>TEXT(NetflixData[[#This Row],[date]],"mmm")</f>
        <v>Mar</v>
      </c>
      <c r="M2387" t="str">
        <f>TEXT(NetflixData[[#This Row],[date]],"mmm yyyy")</f>
        <v>Mar 2025</v>
      </c>
      <c r="N2387" t="str">
        <f t="shared" si="111"/>
        <v>Trading Day</v>
      </c>
      <c r="O2387" t="str">
        <f t="shared" si="112"/>
        <v>Positive</v>
      </c>
      <c r="P2387" t="str">
        <f t="shared" si="113"/>
        <v>Positive</v>
      </c>
    </row>
    <row r="2388" spans="1:16" x14ac:dyDescent="0.3">
      <c r="A2388" s="1">
        <v>45741</v>
      </c>
      <c r="B2388">
        <v>99.73</v>
      </c>
      <c r="C2388">
        <v>37822000</v>
      </c>
      <c r="D2388">
        <v>1.9530000000000001</v>
      </c>
      <c r="E2388">
        <v>94</v>
      </c>
      <c r="F2388">
        <v>2.67</v>
      </c>
      <c r="G2388">
        <v>7.4499999999999997E-2</v>
      </c>
      <c r="H2388">
        <v>0</v>
      </c>
      <c r="J2388">
        <v>1</v>
      </c>
      <c r="K2388">
        <f>YEAR(NetflixData[[#This Row],[date]])</f>
        <v>2025</v>
      </c>
      <c r="L2388" t="str">
        <f>TEXT(NetflixData[[#This Row],[date]],"mmm")</f>
        <v>Mar</v>
      </c>
      <c r="M2388" t="str">
        <f>TEXT(NetflixData[[#This Row],[date]],"mmm yyyy")</f>
        <v>Mar 2025</v>
      </c>
      <c r="N2388" t="str">
        <f t="shared" si="111"/>
        <v>Trading Day</v>
      </c>
      <c r="O2388" t="str">
        <f t="shared" si="112"/>
        <v>Positive</v>
      </c>
      <c r="P2388" t="str">
        <f t="shared" si="113"/>
        <v>Neutral</v>
      </c>
    </row>
    <row r="2389" spans="1:16" x14ac:dyDescent="0.3">
      <c r="A2389" s="1">
        <v>45742</v>
      </c>
      <c r="B2389">
        <v>97.07</v>
      </c>
      <c r="C2389">
        <v>35274000</v>
      </c>
      <c r="D2389">
        <v>-2.33</v>
      </c>
      <c r="E2389">
        <v>81</v>
      </c>
      <c r="F2389">
        <v>3.23</v>
      </c>
      <c r="G2389">
        <v>0.16589999999999999</v>
      </c>
      <c r="H2389">
        <v>0</v>
      </c>
      <c r="J2389">
        <v>1</v>
      </c>
      <c r="K2389">
        <f>YEAR(NetflixData[[#This Row],[date]])</f>
        <v>2025</v>
      </c>
      <c r="L2389" t="str">
        <f>TEXT(NetflixData[[#This Row],[date]],"mmm")</f>
        <v>Mar</v>
      </c>
      <c r="M2389" t="str">
        <f>TEXT(NetflixData[[#This Row],[date]],"mmm yyyy")</f>
        <v>Mar 2025</v>
      </c>
      <c r="N2389" t="str">
        <f t="shared" si="111"/>
        <v>Trading Day</v>
      </c>
      <c r="O2389" t="str">
        <f t="shared" si="112"/>
        <v>Negative</v>
      </c>
      <c r="P2389" t="str">
        <f t="shared" si="113"/>
        <v>Positive</v>
      </c>
    </row>
    <row r="2390" spans="1:16" x14ac:dyDescent="0.3">
      <c r="A2390" s="1">
        <v>45743</v>
      </c>
      <c r="B2390">
        <v>97.67</v>
      </c>
      <c r="C2390">
        <v>30472000</v>
      </c>
      <c r="D2390">
        <v>0.25700000000000001</v>
      </c>
      <c r="E2390">
        <v>69</v>
      </c>
      <c r="F2390">
        <v>3.19</v>
      </c>
      <c r="G2390">
        <v>0.1414</v>
      </c>
      <c r="H2390">
        <v>0</v>
      </c>
      <c r="J2390">
        <v>1</v>
      </c>
      <c r="K2390">
        <f>YEAR(NetflixData[[#This Row],[date]])</f>
        <v>2025</v>
      </c>
      <c r="L2390" t="str">
        <f>TEXT(NetflixData[[#This Row],[date]],"mmm")</f>
        <v>Mar</v>
      </c>
      <c r="M2390" t="str">
        <f>TEXT(NetflixData[[#This Row],[date]],"mmm yyyy")</f>
        <v>Mar 2025</v>
      </c>
      <c r="N2390" t="str">
        <f t="shared" si="111"/>
        <v>Trading Day</v>
      </c>
      <c r="O2390" t="str">
        <f t="shared" si="112"/>
        <v>Positive</v>
      </c>
      <c r="P2390" t="str">
        <f t="shared" si="113"/>
        <v>Positive</v>
      </c>
    </row>
    <row r="2391" spans="1:16" x14ac:dyDescent="0.3">
      <c r="A2391" s="1">
        <v>45744</v>
      </c>
      <c r="B2391">
        <v>93.39</v>
      </c>
      <c r="C2391">
        <v>44227000</v>
      </c>
      <c r="D2391">
        <v>-3.9249999999999998</v>
      </c>
      <c r="E2391">
        <v>82</v>
      </c>
      <c r="F2391">
        <v>3.55</v>
      </c>
      <c r="G2391">
        <v>0.25180000000000002</v>
      </c>
      <c r="H2391">
        <v>0</v>
      </c>
      <c r="J2391">
        <v>1</v>
      </c>
      <c r="K2391">
        <f>YEAR(NetflixData[[#This Row],[date]])</f>
        <v>2025</v>
      </c>
      <c r="L2391" t="str">
        <f>TEXT(NetflixData[[#This Row],[date]],"mmm")</f>
        <v>Mar</v>
      </c>
      <c r="M2391" t="str">
        <f>TEXT(NetflixData[[#This Row],[date]],"mmm yyyy")</f>
        <v>Mar 2025</v>
      </c>
      <c r="N2391" t="str">
        <f t="shared" si="111"/>
        <v>Non-Trading Day</v>
      </c>
      <c r="O2391" t="str">
        <f t="shared" si="112"/>
        <v>Negative</v>
      </c>
      <c r="P2391" t="str">
        <f t="shared" si="113"/>
        <v>Positive</v>
      </c>
    </row>
    <row r="2392" spans="1:16" x14ac:dyDescent="0.3">
      <c r="A2392" s="1">
        <v>45745</v>
      </c>
      <c r="B2392">
        <v>93.39</v>
      </c>
      <c r="C2392">
        <v>0</v>
      </c>
      <c r="D2392">
        <v>0</v>
      </c>
      <c r="E2392">
        <v>68</v>
      </c>
      <c r="F2392">
        <v>2.76</v>
      </c>
      <c r="G2392">
        <v>0.17169999999999999</v>
      </c>
      <c r="H2392">
        <v>0</v>
      </c>
      <c r="J2392">
        <v>0</v>
      </c>
      <c r="K2392">
        <f>YEAR(NetflixData[[#This Row],[date]])</f>
        <v>2025</v>
      </c>
      <c r="L2392" t="str">
        <f>TEXT(NetflixData[[#This Row],[date]],"mmm")</f>
        <v>Mar</v>
      </c>
      <c r="M2392" t="str">
        <f>TEXT(NetflixData[[#This Row],[date]],"mmm yyyy")</f>
        <v>Mar 2025</v>
      </c>
      <c r="N2392" t="str">
        <f t="shared" si="111"/>
        <v>Non-Trading Day</v>
      </c>
      <c r="O2392" t="str">
        <f t="shared" si="112"/>
        <v>No Change</v>
      </c>
      <c r="P2392" t="str">
        <f t="shared" si="113"/>
        <v>Positive</v>
      </c>
    </row>
    <row r="2393" spans="1:16" x14ac:dyDescent="0.3">
      <c r="A2393" s="1">
        <v>45746</v>
      </c>
      <c r="B2393">
        <v>93.39</v>
      </c>
      <c r="C2393">
        <v>0</v>
      </c>
      <c r="D2393">
        <v>0</v>
      </c>
      <c r="E2393">
        <v>80</v>
      </c>
      <c r="F2393">
        <v>2.96</v>
      </c>
      <c r="G2393">
        <v>0.24590000000000001</v>
      </c>
      <c r="H2393">
        <v>0</v>
      </c>
      <c r="J2393">
        <v>0</v>
      </c>
      <c r="K2393">
        <f>YEAR(NetflixData[[#This Row],[date]])</f>
        <v>2025</v>
      </c>
      <c r="L2393" t="str">
        <f>TEXT(NetflixData[[#This Row],[date]],"mmm")</f>
        <v>Mar</v>
      </c>
      <c r="M2393" t="str">
        <f>TEXT(NetflixData[[#This Row],[date]],"mmm yyyy")</f>
        <v>Mar 2025</v>
      </c>
      <c r="N2393" t="str">
        <f t="shared" si="111"/>
        <v>Trading Day</v>
      </c>
      <c r="O2393" t="str">
        <f t="shared" si="112"/>
        <v>No Change</v>
      </c>
      <c r="P2393" t="str">
        <f t="shared" si="113"/>
        <v>Positive</v>
      </c>
    </row>
    <row r="2394" spans="1:16" x14ac:dyDescent="0.3">
      <c r="A2394" s="1">
        <v>45747</v>
      </c>
      <c r="B2394">
        <v>93.25</v>
      </c>
      <c r="C2394">
        <v>46341000</v>
      </c>
      <c r="D2394">
        <v>1.304</v>
      </c>
      <c r="E2394">
        <v>69</v>
      </c>
      <c r="F2394">
        <v>2.84</v>
      </c>
      <c r="G2394">
        <v>0.16370000000000001</v>
      </c>
      <c r="H2394">
        <v>0</v>
      </c>
      <c r="J2394">
        <v>1</v>
      </c>
      <c r="K2394">
        <f>YEAR(NetflixData[[#This Row],[date]])</f>
        <v>2025</v>
      </c>
      <c r="L2394" t="str">
        <f>TEXT(NetflixData[[#This Row],[date]],"mmm")</f>
        <v>Mar</v>
      </c>
      <c r="M2394" t="str">
        <f>TEXT(NetflixData[[#This Row],[date]],"mmm yyyy")</f>
        <v>Mar 2025</v>
      </c>
      <c r="N2394" t="str">
        <f t="shared" si="111"/>
        <v>Trading Day</v>
      </c>
      <c r="O2394" t="str">
        <f t="shared" si="112"/>
        <v>Positive</v>
      </c>
      <c r="P2394" t="str">
        <f t="shared" si="113"/>
        <v>Positive</v>
      </c>
    </row>
    <row r="2395" spans="1:16" x14ac:dyDescent="0.3">
      <c r="A2395" s="1">
        <v>45748</v>
      </c>
      <c r="B2395">
        <v>92.84</v>
      </c>
      <c r="C2395">
        <v>35200000</v>
      </c>
      <c r="D2395">
        <v>9.5000000000000001E-2</v>
      </c>
      <c r="E2395">
        <v>92</v>
      </c>
      <c r="F2395">
        <v>3.45</v>
      </c>
      <c r="G2395">
        <v>0.17960000000000001</v>
      </c>
      <c r="H2395">
        <v>0</v>
      </c>
      <c r="J2395">
        <v>1</v>
      </c>
      <c r="K2395">
        <f>YEAR(NetflixData[[#This Row],[date]])</f>
        <v>2025</v>
      </c>
      <c r="L2395" t="str">
        <f>TEXT(NetflixData[[#This Row],[date]],"mmm")</f>
        <v>Apr</v>
      </c>
      <c r="M2395" t="str">
        <f>TEXT(NetflixData[[#This Row],[date]],"mmm yyyy")</f>
        <v>Apr 2025</v>
      </c>
      <c r="N2395" t="str">
        <f t="shared" si="111"/>
        <v>Trading Day</v>
      </c>
      <c r="O2395" t="str">
        <f t="shared" si="112"/>
        <v>Positive</v>
      </c>
      <c r="P2395" t="str">
        <f t="shared" si="113"/>
        <v>Positive</v>
      </c>
    </row>
    <row r="2396" spans="1:16" x14ac:dyDescent="0.3">
      <c r="A2396" s="1">
        <v>45749</v>
      </c>
      <c r="B2396">
        <v>93.55</v>
      </c>
      <c r="C2396">
        <v>32569000</v>
      </c>
      <c r="D2396">
        <v>1.3560000000000001</v>
      </c>
      <c r="E2396">
        <v>60</v>
      </c>
      <c r="F2396">
        <v>2.97</v>
      </c>
      <c r="G2396">
        <v>0.18770000000000001</v>
      </c>
      <c r="H2396">
        <v>0</v>
      </c>
      <c r="J2396">
        <v>1</v>
      </c>
      <c r="K2396">
        <f>YEAR(NetflixData[[#This Row],[date]])</f>
        <v>2025</v>
      </c>
      <c r="L2396" t="str">
        <f>TEXT(NetflixData[[#This Row],[date]],"mmm")</f>
        <v>Apr</v>
      </c>
      <c r="M2396" t="str">
        <f>TEXT(NetflixData[[#This Row],[date]],"mmm yyyy")</f>
        <v>Apr 2025</v>
      </c>
      <c r="N2396" t="str">
        <f t="shared" si="111"/>
        <v>Trading Day</v>
      </c>
      <c r="O2396" t="str">
        <f t="shared" si="112"/>
        <v>Positive</v>
      </c>
      <c r="P2396" t="str">
        <f t="shared" si="113"/>
        <v>Positive</v>
      </c>
    </row>
    <row r="2397" spans="1:16" x14ac:dyDescent="0.3">
      <c r="A2397" s="1">
        <v>45750</v>
      </c>
      <c r="B2397">
        <v>91.71</v>
      </c>
      <c r="C2397">
        <v>58646000</v>
      </c>
      <c r="D2397">
        <v>1.6910000000000001</v>
      </c>
      <c r="E2397">
        <v>81</v>
      </c>
      <c r="F2397">
        <v>2.93</v>
      </c>
      <c r="G2397">
        <v>0.20150000000000001</v>
      </c>
      <c r="H2397">
        <v>0</v>
      </c>
      <c r="J2397">
        <v>1</v>
      </c>
      <c r="K2397">
        <f>YEAR(NetflixData[[#This Row],[date]])</f>
        <v>2025</v>
      </c>
      <c r="L2397" t="str">
        <f>TEXT(NetflixData[[#This Row],[date]],"mmm")</f>
        <v>Apr</v>
      </c>
      <c r="M2397" t="str">
        <f>TEXT(NetflixData[[#This Row],[date]],"mmm yyyy")</f>
        <v>Apr 2025</v>
      </c>
      <c r="N2397" t="str">
        <f t="shared" si="111"/>
        <v>Trading Day</v>
      </c>
      <c r="O2397" t="str">
        <f t="shared" si="112"/>
        <v>Positive</v>
      </c>
      <c r="P2397" t="str">
        <f t="shared" si="113"/>
        <v>Positive</v>
      </c>
    </row>
    <row r="2398" spans="1:16" x14ac:dyDescent="0.3">
      <c r="A2398" s="1">
        <v>45751</v>
      </c>
      <c r="B2398">
        <v>85.59</v>
      </c>
      <c r="C2398">
        <v>67988000</v>
      </c>
      <c r="D2398">
        <v>-4.5330000000000004</v>
      </c>
      <c r="E2398">
        <v>83</v>
      </c>
      <c r="F2398">
        <v>3.23</v>
      </c>
      <c r="G2398">
        <v>0.22320000000000001</v>
      </c>
      <c r="H2398">
        <v>0</v>
      </c>
      <c r="J2398">
        <v>1</v>
      </c>
      <c r="K2398">
        <f>YEAR(NetflixData[[#This Row],[date]])</f>
        <v>2025</v>
      </c>
      <c r="L2398" t="str">
        <f>TEXT(NetflixData[[#This Row],[date]],"mmm")</f>
        <v>Apr</v>
      </c>
      <c r="M2398" t="str">
        <f>TEXT(NetflixData[[#This Row],[date]],"mmm yyyy")</f>
        <v>Apr 2025</v>
      </c>
      <c r="N2398" t="str">
        <f t="shared" si="111"/>
        <v>Non-Trading Day</v>
      </c>
      <c r="O2398" t="str">
        <f t="shared" si="112"/>
        <v>Negative</v>
      </c>
      <c r="P2398" t="str">
        <f t="shared" si="113"/>
        <v>Positive</v>
      </c>
    </row>
    <row r="2399" spans="1:16" x14ac:dyDescent="0.3">
      <c r="A2399" s="1">
        <v>45752</v>
      </c>
      <c r="B2399">
        <v>85.59</v>
      </c>
      <c r="C2399">
        <v>0</v>
      </c>
      <c r="D2399">
        <v>0</v>
      </c>
      <c r="E2399">
        <v>81</v>
      </c>
      <c r="F2399">
        <v>3.3</v>
      </c>
      <c r="G2399">
        <v>0.25169999999999998</v>
      </c>
      <c r="H2399">
        <v>0</v>
      </c>
      <c r="J2399">
        <v>0</v>
      </c>
      <c r="K2399">
        <f>YEAR(NetflixData[[#This Row],[date]])</f>
        <v>2025</v>
      </c>
      <c r="L2399" t="str">
        <f>TEXT(NetflixData[[#This Row],[date]],"mmm")</f>
        <v>Apr</v>
      </c>
      <c r="M2399" t="str">
        <f>TEXT(NetflixData[[#This Row],[date]],"mmm yyyy")</f>
        <v>Apr 2025</v>
      </c>
      <c r="N2399" t="str">
        <f t="shared" si="111"/>
        <v>Non-Trading Day</v>
      </c>
      <c r="O2399" t="str">
        <f t="shared" si="112"/>
        <v>No Change</v>
      </c>
      <c r="P2399" t="str">
        <f t="shared" si="113"/>
        <v>Positive</v>
      </c>
    </row>
    <row r="2400" spans="1:16" x14ac:dyDescent="0.3">
      <c r="A2400" s="1">
        <v>45753</v>
      </c>
      <c r="B2400">
        <v>85.59</v>
      </c>
      <c r="C2400">
        <v>0</v>
      </c>
      <c r="D2400">
        <v>0</v>
      </c>
      <c r="E2400">
        <v>89</v>
      </c>
      <c r="F2400">
        <v>3.29</v>
      </c>
      <c r="G2400">
        <v>0.18360000000000001</v>
      </c>
      <c r="H2400">
        <v>0</v>
      </c>
      <c r="J2400">
        <v>0</v>
      </c>
      <c r="K2400">
        <f>YEAR(NetflixData[[#This Row],[date]])</f>
        <v>2025</v>
      </c>
      <c r="L2400" t="str">
        <f>TEXT(NetflixData[[#This Row],[date]],"mmm")</f>
        <v>Apr</v>
      </c>
      <c r="M2400" t="str">
        <f>TEXT(NetflixData[[#This Row],[date]],"mmm yyyy")</f>
        <v>Apr 2025</v>
      </c>
      <c r="N2400" t="str">
        <f t="shared" si="111"/>
        <v>Trading Day</v>
      </c>
      <c r="O2400" t="str">
        <f t="shared" si="112"/>
        <v>No Change</v>
      </c>
      <c r="P2400" t="str">
        <f t="shared" si="113"/>
        <v>Positive</v>
      </c>
    </row>
    <row r="2401" spans="1:16" x14ac:dyDescent="0.3">
      <c r="A2401" s="1">
        <v>45754</v>
      </c>
      <c r="B2401">
        <v>86.78</v>
      </c>
      <c r="C2401">
        <v>66568000</v>
      </c>
      <c r="D2401">
        <v>4.8289999999999997</v>
      </c>
      <c r="E2401">
        <v>90</v>
      </c>
      <c r="F2401">
        <v>3.07</v>
      </c>
      <c r="G2401">
        <v>0.15290000000000001</v>
      </c>
      <c r="H2401">
        <v>0</v>
      </c>
      <c r="J2401">
        <v>1</v>
      </c>
      <c r="K2401">
        <f>YEAR(NetflixData[[#This Row],[date]])</f>
        <v>2025</v>
      </c>
      <c r="L2401" t="str">
        <f>TEXT(NetflixData[[#This Row],[date]],"mmm")</f>
        <v>Apr</v>
      </c>
      <c r="M2401" t="str">
        <f>TEXT(NetflixData[[#This Row],[date]],"mmm yyyy")</f>
        <v>Apr 2025</v>
      </c>
      <c r="N2401" t="str">
        <f t="shared" si="111"/>
        <v>Trading Day</v>
      </c>
      <c r="O2401" t="str">
        <f t="shared" si="112"/>
        <v>Positive</v>
      </c>
      <c r="P2401" t="str">
        <f t="shared" si="113"/>
        <v>Positive</v>
      </c>
    </row>
    <row r="2402" spans="1:16" x14ac:dyDescent="0.3">
      <c r="A2402" s="1">
        <v>45755</v>
      </c>
      <c r="B2402">
        <v>87.04</v>
      </c>
      <c r="C2402">
        <v>56254000</v>
      </c>
      <c r="D2402">
        <v>-4.6070000000000002</v>
      </c>
      <c r="E2402">
        <v>66</v>
      </c>
      <c r="F2402">
        <v>2.68</v>
      </c>
      <c r="G2402">
        <v>0.18740000000000001</v>
      </c>
      <c r="H2402">
        <v>0</v>
      </c>
      <c r="J2402">
        <v>1</v>
      </c>
      <c r="K2402">
        <f>YEAR(NetflixData[[#This Row],[date]])</f>
        <v>2025</v>
      </c>
      <c r="L2402" t="str">
        <f>TEXT(NetflixData[[#This Row],[date]],"mmm")</f>
        <v>Apr</v>
      </c>
      <c r="M2402" t="str">
        <f>TEXT(NetflixData[[#This Row],[date]],"mmm yyyy")</f>
        <v>Apr 2025</v>
      </c>
      <c r="N2402" t="str">
        <f t="shared" si="111"/>
        <v>Trading Day</v>
      </c>
      <c r="O2402" t="str">
        <f t="shared" si="112"/>
        <v>Negative</v>
      </c>
      <c r="P2402" t="str">
        <f t="shared" si="113"/>
        <v>Positive</v>
      </c>
    </row>
    <row r="2403" spans="1:16" x14ac:dyDescent="0.3">
      <c r="A2403" s="1">
        <v>45756</v>
      </c>
      <c r="B2403">
        <v>94.55</v>
      </c>
      <c r="C2403">
        <v>74980000</v>
      </c>
      <c r="D2403">
        <v>10.461</v>
      </c>
      <c r="E2403">
        <v>75</v>
      </c>
      <c r="F2403">
        <v>3.21</v>
      </c>
      <c r="G2403">
        <v>0.1444</v>
      </c>
      <c r="H2403">
        <v>0</v>
      </c>
      <c r="J2403">
        <v>1</v>
      </c>
      <c r="K2403">
        <f>YEAR(NetflixData[[#This Row],[date]])</f>
        <v>2025</v>
      </c>
      <c r="L2403" t="str">
        <f>TEXT(NetflixData[[#This Row],[date]],"mmm")</f>
        <v>Apr</v>
      </c>
      <c r="M2403" t="str">
        <f>TEXT(NetflixData[[#This Row],[date]],"mmm yyyy")</f>
        <v>Apr 2025</v>
      </c>
      <c r="N2403" t="str">
        <f t="shared" si="111"/>
        <v>Trading Day</v>
      </c>
      <c r="O2403" t="str">
        <f t="shared" si="112"/>
        <v>Positive</v>
      </c>
      <c r="P2403" t="str">
        <f t="shared" si="113"/>
        <v>Positive</v>
      </c>
    </row>
    <row r="2404" spans="1:16" x14ac:dyDescent="0.3">
      <c r="A2404" s="1">
        <v>45757</v>
      </c>
      <c r="B2404">
        <v>92.12</v>
      </c>
      <c r="C2404">
        <v>51298000</v>
      </c>
      <c r="D2404">
        <v>-1.1559999999999999</v>
      </c>
      <c r="E2404">
        <v>81</v>
      </c>
      <c r="F2404">
        <v>3.38</v>
      </c>
      <c r="G2404">
        <v>0.28989999999999999</v>
      </c>
      <c r="H2404">
        <v>0</v>
      </c>
      <c r="J2404">
        <v>1</v>
      </c>
      <c r="K2404">
        <f>YEAR(NetflixData[[#This Row],[date]])</f>
        <v>2025</v>
      </c>
      <c r="L2404" t="str">
        <f>TEXT(NetflixData[[#This Row],[date]],"mmm")</f>
        <v>Apr</v>
      </c>
      <c r="M2404" t="str">
        <f>TEXT(NetflixData[[#This Row],[date]],"mmm yyyy")</f>
        <v>Apr 2025</v>
      </c>
      <c r="N2404" t="str">
        <f t="shared" si="111"/>
        <v>Trading Day</v>
      </c>
      <c r="O2404" t="str">
        <f t="shared" si="112"/>
        <v>Negative</v>
      </c>
      <c r="P2404" t="str">
        <f t="shared" si="113"/>
        <v>Positive</v>
      </c>
    </row>
    <row r="2405" spans="1:16" x14ac:dyDescent="0.3">
      <c r="A2405" s="1">
        <v>45758</v>
      </c>
      <c r="B2405">
        <v>91.83</v>
      </c>
      <c r="C2405">
        <v>40736000</v>
      </c>
      <c r="D2405">
        <v>-0.186</v>
      </c>
      <c r="E2405">
        <v>60</v>
      </c>
      <c r="F2405">
        <v>2.85</v>
      </c>
      <c r="G2405">
        <v>0.1195</v>
      </c>
      <c r="H2405">
        <v>0</v>
      </c>
      <c r="J2405">
        <v>1</v>
      </c>
      <c r="K2405">
        <f>YEAR(NetflixData[[#This Row],[date]])</f>
        <v>2025</v>
      </c>
      <c r="L2405" t="str">
        <f>TEXT(NetflixData[[#This Row],[date]],"mmm")</f>
        <v>Apr</v>
      </c>
      <c r="M2405" t="str">
        <f>TEXT(NetflixData[[#This Row],[date]],"mmm yyyy")</f>
        <v>Apr 2025</v>
      </c>
      <c r="N2405" t="str">
        <f t="shared" si="111"/>
        <v>Non-Trading Day</v>
      </c>
      <c r="O2405" t="str">
        <f t="shared" si="112"/>
        <v>Negative</v>
      </c>
      <c r="P2405" t="str">
        <f t="shared" si="113"/>
        <v>Positive</v>
      </c>
    </row>
    <row r="2406" spans="1:16" x14ac:dyDescent="0.3">
      <c r="A2406" s="1">
        <v>45759</v>
      </c>
      <c r="B2406">
        <v>91.83</v>
      </c>
      <c r="C2406">
        <v>0</v>
      </c>
      <c r="D2406">
        <v>0</v>
      </c>
      <c r="E2406">
        <v>72</v>
      </c>
      <c r="F2406">
        <v>3.36</v>
      </c>
      <c r="G2406">
        <v>0.26950000000000002</v>
      </c>
      <c r="H2406">
        <v>0</v>
      </c>
      <c r="J2406">
        <v>0</v>
      </c>
      <c r="K2406">
        <f>YEAR(NetflixData[[#This Row],[date]])</f>
        <v>2025</v>
      </c>
      <c r="L2406" t="str">
        <f>TEXT(NetflixData[[#This Row],[date]],"mmm")</f>
        <v>Apr</v>
      </c>
      <c r="M2406" t="str">
        <f>TEXT(NetflixData[[#This Row],[date]],"mmm yyyy")</f>
        <v>Apr 2025</v>
      </c>
      <c r="N2406" t="str">
        <f t="shared" si="111"/>
        <v>Non-Trading Day</v>
      </c>
      <c r="O2406" t="str">
        <f t="shared" si="112"/>
        <v>No Change</v>
      </c>
      <c r="P2406" t="str">
        <f t="shared" si="113"/>
        <v>Positive</v>
      </c>
    </row>
    <row r="2407" spans="1:16" x14ac:dyDescent="0.3">
      <c r="A2407" s="1">
        <v>45760</v>
      </c>
      <c r="B2407">
        <v>91.83</v>
      </c>
      <c r="C2407">
        <v>0</v>
      </c>
      <c r="D2407">
        <v>0</v>
      </c>
      <c r="E2407">
        <v>71</v>
      </c>
      <c r="F2407">
        <v>3</v>
      </c>
      <c r="G2407">
        <v>0.13669999999999999</v>
      </c>
      <c r="H2407">
        <v>0</v>
      </c>
      <c r="J2407">
        <v>0</v>
      </c>
      <c r="K2407">
        <f>YEAR(NetflixData[[#This Row],[date]])</f>
        <v>2025</v>
      </c>
      <c r="L2407" t="str">
        <f>TEXT(NetflixData[[#This Row],[date]],"mmm")</f>
        <v>Apr</v>
      </c>
      <c r="M2407" t="str">
        <f>TEXT(NetflixData[[#This Row],[date]],"mmm yyyy")</f>
        <v>Apr 2025</v>
      </c>
      <c r="N2407" t="str">
        <f t="shared" si="111"/>
        <v>Trading Day</v>
      </c>
      <c r="O2407" t="str">
        <f t="shared" si="112"/>
        <v>No Change</v>
      </c>
      <c r="P2407" t="str">
        <f t="shared" si="113"/>
        <v>Positive</v>
      </c>
    </row>
    <row r="2408" spans="1:16" x14ac:dyDescent="0.3">
      <c r="A2408" s="1">
        <v>45761</v>
      </c>
      <c r="B2408">
        <v>93.13</v>
      </c>
      <c r="C2408">
        <v>40359000</v>
      </c>
      <c r="D2408">
        <v>-0.152</v>
      </c>
      <c r="E2408">
        <v>62</v>
      </c>
      <c r="F2408">
        <v>2.68</v>
      </c>
      <c r="G2408">
        <v>0.1656</v>
      </c>
      <c r="H2408">
        <v>0</v>
      </c>
      <c r="J2408">
        <v>1</v>
      </c>
      <c r="K2408">
        <f>YEAR(NetflixData[[#This Row],[date]])</f>
        <v>2025</v>
      </c>
      <c r="L2408" t="str">
        <f>TEXT(NetflixData[[#This Row],[date]],"mmm")</f>
        <v>Apr</v>
      </c>
      <c r="M2408" t="str">
        <f>TEXT(NetflixData[[#This Row],[date]],"mmm yyyy")</f>
        <v>Apr 2025</v>
      </c>
      <c r="N2408" t="str">
        <f t="shared" si="111"/>
        <v>Trading Day</v>
      </c>
      <c r="O2408" t="str">
        <f t="shared" si="112"/>
        <v>Negative</v>
      </c>
      <c r="P2408" t="str">
        <f t="shared" si="113"/>
        <v>Positive</v>
      </c>
    </row>
    <row r="2409" spans="1:16" x14ac:dyDescent="0.3">
      <c r="A2409" s="1">
        <v>45762</v>
      </c>
      <c r="B2409">
        <v>97.63</v>
      </c>
      <c r="C2409">
        <v>77120000</v>
      </c>
      <c r="D2409">
        <v>2.766</v>
      </c>
      <c r="E2409">
        <v>48</v>
      </c>
      <c r="F2409">
        <v>2.77</v>
      </c>
      <c r="G2409">
        <v>0.16889999999999999</v>
      </c>
      <c r="H2409">
        <v>0</v>
      </c>
      <c r="J2409">
        <v>1</v>
      </c>
      <c r="K2409">
        <f>YEAR(NetflixData[[#This Row],[date]])</f>
        <v>2025</v>
      </c>
      <c r="L2409" t="str">
        <f>TEXT(NetflixData[[#This Row],[date]],"mmm")</f>
        <v>Apr</v>
      </c>
      <c r="M2409" t="str">
        <f>TEXT(NetflixData[[#This Row],[date]],"mmm yyyy")</f>
        <v>Apr 2025</v>
      </c>
      <c r="N2409" t="str">
        <f t="shared" si="111"/>
        <v>Trading Day</v>
      </c>
      <c r="O2409" t="str">
        <f t="shared" si="112"/>
        <v>Positive</v>
      </c>
      <c r="P2409" t="str">
        <f t="shared" si="113"/>
        <v>Positive</v>
      </c>
    </row>
    <row r="2410" spans="1:16" x14ac:dyDescent="0.3">
      <c r="A2410" s="1">
        <v>45763</v>
      </c>
      <c r="B2410">
        <v>96.16</v>
      </c>
      <c r="C2410">
        <v>60661000</v>
      </c>
      <c r="D2410">
        <v>-1.5009999999999999</v>
      </c>
      <c r="E2410">
        <v>69</v>
      </c>
      <c r="F2410">
        <v>3.1</v>
      </c>
      <c r="G2410">
        <v>0.19270000000000001</v>
      </c>
      <c r="H2410">
        <v>0</v>
      </c>
      <c r="J2410">
        <v>1</v>
      </c>
      <c r="K2410">
        <f>YEAR(NetflixData[[#This Row],[date]])</f>
        <v>2025</v>
      </c>
      <c r="L2410" t="str">
        <f>TEXT(NetflixData[[#This Row],[date]],"mmm")</f>
        <v>Apr</v>
      </c>
      <c r="M2410" t="str">
        <f>TEXT(NetflixData[[#This Row],[date]],"mmm yyyy")</f>
        <v>Apr 2025</v>
      </c>
      <c r="N2410" t="str">
        <f t="shared" si="111"/>
        <v>Trading Day</v>
      </c>
      <c r="O2410" t="str">
        <f t="shared" si="112"/>
        <v>Negative</v>
      </c>
      <c r="P2410" t="str">
        <f t="shared" si="113"/>
        <v>Positive</v>
      </c>
    </row>
    <row r="2411" spans="1:16" x14ac:dyDescent="0.3">
      <c r="A2411" s="1">
        <v>45764</v>
      </c>
      <c r="B2411">
        <v>97.3</v>
      </c>
      <c r="C2411">
        <v>88937000</v>
      </c>
      <c r="D2411">
        <v>0.41599999999999998</v>
      </c>
      <c r="E2411">
        <v>69</v>
      </c>
      <c r="F2411">
        <v>3.04</v>
      </c>
      <c r="G2411">
        <v>0.1767</v>
      </c>
      <c r="H2411">
        <v>0</v>
      </c>
      <c r="J2411">
        <v>1</v>
      </c>
      <c r="K2411">
        <f>YEAR(NetflixData[[#This Row],[date]])</f>
        <v>2025</v>
      </c>
      <c r="L2411" t="str">
        <f>TEXT(NetflixData[[#This Row],[date]],"mmm")</f>
        <v>Apr</v>
      </c>
      <c r="M2411" t="str">
        <f>TEXT(NetflixData[[#This Row],[date]],"mmm yyyy")</f>
        <v>Apr 2025</v>
      </c>
      <c r="N2411" t="str">
        <f t="shared" si="111"/>
        <v>Non-Trading Day</v>
      </c>
      <c r="O2411" t="str">
        <f t="shared" si="112"/>
        <v>Positive</v>
      </c>
      <c r="P2411" t="str">
        <f t="shared" si="113"/>
        <v>Positive</v>
      </c>
    </row>
    <row r="2412" spans="1:16" x14ac:dyDescent="0.3">
      <c r="A2412" s="1">
        <v>45765</v>
      </c>
      <c r="B2412">
        <v>97.3</v>
      </c>
      <c r="C2412">
        <v>0</v>
      </c>
      <c r="D2412">
        <v>0</v>
      </c>
      <c r="E2412">
        <v>66</v>
      </c>
      <c r="F2412">
        <v>3.42</v>
      </c>
      <c r="G2412">
        <v>0.26350000000000001</v>
      </c>
      <c r="H2412">
        <v>0</v>
      </c>
      <c r="J2412">
        <v>0</v>
      </c>
      <c r="K2412">
        <f>YEAR(NetflixData[[#This Row],[date]])</f>
        <v>2025</v>
      </c>
      <c r="L2412" t="str">
        <f>TEXT(NetflixData[[#This Row],[date]],"mmm")</f>
        <v>Apr</v>
      </c>
      <c r="M2412" t="str">
        <f>TEXT(NetflixData[[#This Row],[date]],"mmm yyyy")</f>
        <v>Apr 2025</v>
      </c>
      <c r="N2412" t="str">
        <f t="shared" si="111"/>
        <v>Non-Trading Day</v>
      </c>
      <c r="O2412" t="str">
        <f t="shared" si="112"/>
        <v>No Change</v>
      </c>
      <c r="P2412" t="str">
        <f t="shared" si="113"/>
        <v>Positive</v>
      </c>
    </row>
    <row r="2413" spans="1:16" x14ac:dyDescent="0.3">
      <c r="A2413" s="1">
        <v>45766</v>
      </c>
      <c r="B2413">
        <v>97.3</v>
      </c>
      <c r="C2413">
        <v>0</v>
      </c>
      <c r="D2413">
        <v>0</v>
      </c>
      <c r="E2413">
        <v>77</v>
      </c>
      <c r="F2413">
        <v>3.42</v>
      </c>
      <c r="G2413">
        <v>0.246</v>
      </c>
      <c r="H2413">
        <v>0</v>
      </c>
      <c r="J2413">
        <v>0</v>
      </c>
      <c r="K2413">
        <f>YEAR(NetflixData[[#This Row],[date]])</f>
        <v>2025</v>
      </c>
      <c r="L2413" t="str">
        <f>TEXT(NetflixData[[#This Row],[date]],"mmm")</f>
        <v>Apr</v>
      </c>
      <c r="M2413" t="str">
        <f>TEXT(NetflixData[[#This Row],[date]],"mmm yyyy")</f>
        <v>Apr 2025</v>
      </c>
      <c r="N2413" t="str">
        <f t="shared" si="111"/>
        <v>Non-Trading Day</v>
      </c>
      <c r="O2413" t="str">
        <f t="shared" si="112"/>
        <v>No Change</v>
      </c>
      <c r="P2413" t="str">
        <f t="shared" si="113"/>
        <v>Positive</v>
      </c>
    </row>
    <row r="2414" spans="1:16" x14ac:dyDescent="0.3">
      <c r="A2414" s="1">
        <v>45767</v>
      </c>
      <c r="B2414">
        <v>97.3</v>
      </c>
      <c r="C2414">
        <v>0</v>
      </c>
      <c r="D2414">
        <v>0</v>
      </c>
      <c r="E2414">
        <v>77</v>
      </c>
      <c r="F2414">
        <v>3.04</v>
      </c>
      <c r="G2414">
        <v>0.1464</v>
      </c>
      <c r="H2414">
        <v>0</v>
      </c>
      <c r="J2414">
        <v>0</v>
      </c>
      <c r="K2414">
        <f>YEAR(NetflixData[[#This Row],[date]])</f>
        <v>2025</v>
      </c>
      <c r="L2414" t="str">
        <f>TEXT(NetflixData[[#This Row],[date]],"mmm")</f>
        <v>Apr</v>
      </c>
      <c r="M2414" t="str">
        <f>TEXT(NetflixData[[#This Row],[date]],"mmm yyyy")</f>
        <v>Apr 2025</v>
      </c>
      <c r="N2414" t="str">
        <f t="shared" si="111"/>
        <v>Trading Day</v>
      </c>
      <c r="O2414" t="str">
        <f t="shared" si="112"/>
        <v>No Change</v>
      </c>
      <c r="P2414" t="str">
        <f t="shared" si="113"/>
        <v>Positive</v>
      </c>
    </row>
    <row r="2415" spans="1:16" x14ac:dyDescent="0.3">
      <c r="A2415" s="1">
        <v>45768</v>
      </c>
      <c r="B2415">
        <v>98.79</v>
      </c>
      <c r="C2415">
        <v>97757000</v>
      </c>
      <c r="D2415">
        <v>0.35699999999999998</v>
      </c>
      <c r="E2415">
        <v>77</v>
      </c>
      <c r="F2415">
        <v>2.94</v>
      </c>
      <c r="G2415">
        <v>0.1358</v>
      </c>
      <c r="H2415">
        <v>0</v>
      </c>
      <c r="J2415">
        <v>1</v>
      </c>
      <c r="K2415">
        <f>YEAR(NetflixData[[#This Row],[date]])</f>
        <v>2025</v>
      </c>
      <c r="L2415" t="str">
        <f>TEXT(NetflixData[[#This Row],[date]],"mmm")</f>
        <v>Apr</v>
      </c>
      <c r="M2415" t="str">
        <f>TEXT(NetflixData[[#This Row],[date]],"mmm yyyy")</f>
        <v>Apr 2025</v>
      </c>
      <c r="N2415" t="str">
        <f t="shared" si="111"/>
        <v>Trading Day</v>
      </c>
      <c r="O2415" t="str">
        <f t="shared" si="112"/>
        <v>Positive</v>
      </c>
      <c r="P2415" t="str">
        <f t="shared" si="113"/>
        <v>Positive</v>
      </c>
    </row>
    <row r="2416" spans="1:16" x14ac:dyDescent="0.3">
      <c r="A2416" s="1">
        <v>45769</v>
      </c>
      <c r="B2416">
        <v>104.03</v>
      </c>
      <c r="C2416">
        <v>93689000</v>
      </c>
      <c r="D2416">
        <v>3.4860000000000002</v>
      </c>
      <c r="E2416">
        <v>88</v>
      </c>
      <c r="F2416">
        <v>3.22</v>
      </c>
      <c r="G2416">
        <v>0.2084</v>
      </c>
      <c r="H2416">
        <v>0</v>
      </c>
      <c r="J2416">
        <v>1</v>
      </c>
      <c r="K2416">
        <f>YEAR(NetflixData[[#This Row],[date]])</f>
        <v>2025</v>
      </c>
      <c r="L2416" t="str">
        <f>TEXT(NetflixData[[#This Row],[date]],"mmm")</f>
        <v>Apr</v>
      </c>
      <c r="M2416" t="str">
        <f>TEXT(NetflixData[[#This Row],[date]],"mmm yyyy")</f>
        <v>Apr 2025</v>
      </c>
      <c r="N2416" t="str">
        <f t="shared" si="111"/>
        <v>Trading Day</v>
      </c>
      <c r="O2416" t="str">
        <f t="shared" si="112"/>
        <v>Positive</v>
      </c>
      <c r="P2416" t="str">
        <f t="shared" si="113"/>
        <v>Positive</v>
      </c>
    </row>
    <row r="2417" spans="1:16" x14ac:dyDescent="0.3">
      <c r="A2417" s="1">
        <v>45770</v>
      </c>
      <c r="B2417">
        <v>104.96</v>
      </c>
      <c r="C2417">
        <v>64719000</v>
      </c>
      <c r="D2417">
        <v>0.22600000000000001</v>
      </c>
      <c r="E2417">
        <v>60</v>
      </c>
      <c r="F2417">
        <v>3.05</v>
      </c>
      <c r="G2417">
        <v>0.15509999999999999</v>
      </c>
      <c r="H2417">
        <v>0</v>
      </c>
      <c r="J2417">
        <v>1</v>
      </c>
      <c r="K2417">
        <f>YEAR(NetflixData[[#This Row],[date]])</f>
        <v>2025</v>
      </c>
      <c r="L2417" t="str">
        <f>TEXT(NetflixData[[#This Row],[date]],"mmm")</f>
        <v>Apr</v>
      </c>
      <c r="M2417" t="str">
        <f>TEXT(NetflixData[[#This Row],[date]],"mmm yyyy")</f>
        <v>Apr 2025</v>
      </c>
      <c r="N2417" t="str">
        <f t="shared" si="111"/>
        <v>Trading Day</v>
      </c>
      <c r="O2417" t="str">
        <f t="shared" si="112"/>
        <v>Positive</v>
      </c>
      <c r="P2417" t="str">
        <f t="shared" si="113"/>
        <v>Positive</v>
      </c>
    </row>
    <row r="2418" spans="1:16" x14ac:dyDescent="0.3">
      <c r="A2418" s="1">
        <v>45771</v>
      </c>
      <c r="B2418">
        <v>109.69</v>
      </c>
      <c r="C2418">
        <v>63819000</v>
      </c>
      <c r="D2418">
        <v>4.6630000000000003</v>
      </c>
      <c r="E2418">
        <v>72</v>
      </c>
      <c r="F2418">
        <v>3.1</v>
      </c>
      <c r="G2418">
        <v>0.13189999999999999</v>
      </c>
      <c r="H2418">
        <v>0</v>
      </c>
      <c r="J2418">
        <v>1</v>
      </c>
      <c r="K2418">
        <f>YEAR(NetflixData[[#This Row],[date]])</f>
        <v>2025</v>
      </c>
      <c r="L2418" t="str">
        <f>TEXT(NetflixData[[#This Row],[date]],"mmm")</f>
        <v>Apr</v>
      </c>
      <c r="M2418" t="str">
        <f>TEXT(NetflixData[[#This Row],[date]],"mmm yyyy")</f>
        <v>Apr 2025</v>
      </c>
      <c r="N2418" t="str">
        <f t="shared" si="111"/>
        <v>Trading Day</v>
      </c>
      <c r="O2418" t="str">
        <f t="shared" si="112"/>
        <v>Positive</v>
      </c>
      <c r="P2418" t="str">
        <f t="shared" si="113"/>
        <v>Positive</v>
      </c>
    </row>
    <row r="2419" spans="1:16" x14ac:dyDescent="0.3">
      <c r="A2419" s="1">
        <v>45772</v>
      </c>
      <c r="B2419">
        <v>110.15</v>
      </c>
      <c r="C2419">
        <v>39500000</v>
      </c>
      <c r="D2419">
        <v>0.40899999999999997</v>
      </c>
      <c r="E2419">
        <v>68</v>
      </c>
      <c r="F2419">
        <v>3.35</v>
      </c>
      <c r="G2419">
        <v>0.21920000000000001</v>
      </c>
      <c r="H2419">
        <v>0</v>
      </c>
      <c r="J2419">
        <v>1</v>
      </c>
      <c r="K2419">
        <f>YEAR(NetflixData[[#This Row],[date]])</f>
        <v>2025</v>
      </c>
      <c r="L2419" t="str">
        <f>TEXT(NetflixData[[#This Row],[date]],"mmm")</f>
        <v>Apr</v>
      </c>
      <c r="M2419" t="str">
        <f>TEXT(NetflixData[[#This Row],[date]],"mmm yyyy")</f>
        <v>Apr 2025</v>
      </c>
      <c r="N2419" t="str">
        <f t="shared" si="111"/>
        <v>Non-Trading Day</v>
      </c>
      <c r="O2419" t="str">
        <f t="shared" si="112"/>
        <v>Positive</v>
      </c>
      <c r="P2419" t="str">
        <f t="shared" si="113"/>
        <v>Positive</v>
      </c>
    </row>
    <row r="2420" spans="1:16" x14ac:dyDescent="0.3">
      <c r="A2420" s="1">
        <v>45773</v>
      </c>
      <c r="B2420">
        <v>110.15</v>
      </c>
      <c r="C2420">
        <v>0</v>
      </c>
      <c r="D2420">
        <v>0</v>
      </c>
      <c r="E2420">
        <v>70</v>
      </c>
      <c r="F2420">
        <v>3.11</v>
      </c>
      <c r="G2420">
        <v>5.04E-2</v>
      </c>
      <c r="H2420">
        <v>0</v>
      </c>
      <c r="J2420">
        <v>0</v>
      </c>
      <c r="K2420">
        <f>YEAR(NetflixData[[#This Row],[date]])</f>
        <v>2025</v>
      </c>
      <c r="L2420" t="str">
        <f>TEXT(NetflixData[[#This Row],[date]],"mmm")</f>
        <v>Apr</v>
      </c>
      <c r="M2420" t="str">
        <f>TEXT(NetflixData[[#This Row],[date]],"mmm yyyy")</f>
        <v>Apr 2025</v>
      </c>
      <c r="N2420" t="str">
        <f t="shared" si="111"/>
        <v>Non-Trading Day</v>
      </c>
      <c r="O2420" t="str">
        <f t="shared" si="112"/>
        <v>No Change</v>
      </c>
      <c r="P2420" t="str">
        <f t="shared" si="113"/>
        <v>Neutral</v>
      </c>
    </row>
    <row r="2421" spans="1:16" x14ac:dyDescent="0.3">
      <c r="A2421" s="1">
        <v>45774</v>
      </c>
      <c r="B2421">
        <v>110.15</v>
      </c>
      <c r="C2421">
        <v>0</v>
      </c>
      <c r="D2421">
        <v>0</v>
      </c>
      <c r="E2421">
        <v>107</v>
      </c>
      <c r="F2421">
        <v>3.19</v>
      </c>
      <c r="G2421">
        <v>0.15590000000000001</v>
      </c>
      <c r="H2421">
        <v>0</v>
      </c>
      <c r="J2421">
        <v>0</v>
      </c>
      <c r="K2421">
        <f>YEAR(NetflixData[[#This Row],[date]])</f>
        <v>2025</v>
      </c>
      <c r="L2421" t="str">
        <f>TEXT(NetflixData[[#This Row],[date]],"mmm")</f>
        <v>Apr</v>
      </c>
      <c r="M2421" t="str">
        <f>TEXT(NetflixData[[#This Row],[date]],"mmm yyyy")</f>
        <v>Apr 2025</v>
      </c>
      <c r="N2421" t="str">
        <f t="shared" si="111"/>
        <v>Trading Day</v>
      </c>
      <c r="O2421" t="str">
        <f t="shared" si="112"/>
        <v>No Change</v>
      </c>
      <c r="P2421" t="str">
        <f t="shared" si="113"/>
        <v>Positive</v>
      </c>
    </row>
    <row r="2422" spans="1:16" x14ac:dyDescent="0.3">
      <c r="A2422" s="1">
        <v>45775</v>
      </c>
      <c r="B2422">
        <v>111.04</v>
      </c>
      <c r="C2422">
        <v>38311000</v>
      </c>
      <c r="D2422">
        <v>0.94399999999999995</v>
      </c>
      <c r="E2422">
        <v>58</v>
      </c>
      <c r="F2422">
        <v>2.95</v>
      </c>
      <c r="G2422">
        <v>0.15040000000000001</v>
      </c>
      <c r="H2422">
        <v>0</v>
      </c>
      <c r="J2422">
        <v>1</v>
      </c>
      <c r="K2422">
        <f>YEAR(NetflixData[[#This Row],[date]])</f>
        <v>2025</v>
      </c>
      <c r="L2422" t="str">
        <f>TEXT(NetflixData[[#This Row],[date]],"mmm")</f>
        <v>Apr</v>
      </c>
      <c r="M2422" t="str">
        <f>TEXT(NetflixData[[#This Row],[date]],"mmm yyyy")</f>
        <v>Apr 2025</v>
      </c>
      <c r="N2422" t="str">
        <f t="shared" si="111"/>
        <v>Trading Day</v>
      </c>
      <c r="O2422" t="str">
        <f t="shared" si="112"/>
        <v>Positive</v>
      </c>
      <c r="P2422" t="str">
        <f t="shared" si="113"/>
        <v>Positive</v>
      </c>
    </row>
    <row r="2423" spans="1:16" x14ac:dyDescent="0.3">
      <c r="A2423" s="1">
        <v>45776</v>
      </c>
      <c r="B2423">
        <v>112.56</v>
      </c>
      <c r="C2423">
        <v>37773000</v>
      </c>
      <c r="D2423">
        <v>1.968</v>
      </c>
      <c r="E2423">
        <v>60</v>
      </c>
      <c r="F2423">
        <v>3.25</v>
      </c>
      <c r="G2423">
        <v>0.2525</v>
      </c>
      <c r="H2423">
        <v>0</v>
      </c>
      <c r="J2423">
        <v>1</v>
      </c>
      <c r="K2423">
        <f>YEAR(NetflixData[[#This Row],[date]])</f>
        <v>2025</v>
      </c>
      <c r="L2423" t="str">
        <f>TEXT(NetflixData[[#This Row],[date]],"mmm")</f>
        <v>Apr</v>
      </c>
      <c r="M2423" t="str">
        <f>TEXT(NetflixData[[#This Row],[date]],"mmm yyyy")</f>
        <v>Apr 2025</v>
      </c>
      <c r="N2423" t="str">
        <f t="shared" si="111"/>
        <v>Trading Day</v>
      </c>
      <c r="O2423" t="str">
        <f t="shared" si="112"/>
        <v>Positive</v>
      </c>
      <c r="P2423" t="str">
        <f t="shared" si="113"/>
        <v>Positive</v>
      </c>
    </row>
    <row r="2424" spans="1:16" x14ac:dyDescent="0.3">
      <c r="A2424" s="1">
        <v>45777</v>
      </c>
      <c r="B2424">
        <v>113.17</v>
      </c>
      <c r="C2424">
        <v>42667000</v>
      </c>
      <c r="D2424">
        <v>1.714</v>
      </c>
      <c r="E2424">
        <v>72</v>
      </c>
      <c r="F2424">
        <v>3.07</v>
      </c>
      <c r="G2424">
        <v>8.4099999999999994E-2</v>
      </c>
      <c r="H2424">
        <v>0</v>
      </c>
      <c r="J2424">
        <v>1</v>
      </c>
      <c r="K2424">
        <f>YEAR(NetflixData[[#This Row],[date]])</f>
        <v>2025</v>
      </c>
      <c r="L2424" t="str">
        <f>TEXT(NetflixData[[#This Row],[date]],"mmm")</f>
        <v>Apr</v>
      </c>
      <c r="M2424" t="str">
        <f>TEXT(NetflixData[[#This Row],[date]],"mmm yyyy")</f>
        <v>Apr 2025</v>
      </c>
      <c r="N2424" t="str">
        <f t="shared" si="111"/>
        <v>Trading Day</v>
      </c>
      <c r="O2424" t="str">
        <f t="shared" si="112"/>
        <v>Positive</v>
      </c>
      <c r="P2424" t="str">
        <f t="shared" si="113"/>
        <v>Neutral</v>
      </c>
    </row>
    <row r="2425" spans="1:16" x14ac:dyDescent="0.3">
      <c r="A2425" s="1">
        <v>45778</v>
      </c>
      <c r="B2425">
        <v>113.35</v>
      </c>
      <c r="C2425">
        <v>34995000</v>
      </c>
      <c r="D2425">
        <v>0.97499999999999998</v>
      </c>
      <c r="E2425">
        <v>81</v>
      </c>
      <c r="F2425">
        <v>2.8</v>
      </c>
      <c r="G2425">
        <v>0.16439999999999999</v>
      </c>
      <c r="H2425">
        <v>0</v>
      </c>
      <c r="J2425">
        <v>1</v>
      </c>
      <c r="K2425">
        <f>YEAR(NetflixData[[#This Row],[date]])</f>
        <v>2025</v>
      </c>
      <c r="L2425" t="str">
        <f>TEXT(NetflixData[[#This Row],[date]],"mmm")</f>
        <v>May</v>
      </c>
      <c r="M2425" t="str">
        <f>TEXT(NetflixData[[#This Row],[date]],"mmm yyyy")</f>
        <v>May 2025</v>
      </c>
      <c r="N2425" t="str">
        <f t="shared" si="111"/>
        <v>Trading Day</v>
      </c>
      <c r="O2425" t="str">
        <f t="shared" si="112"/>
        <v>Positive</v>
      </c>
      <c r="P2425" t="str">
        <f t="shared" si="113"/>
        <v>Positive</v>
      </c>
    </row>
    <row r="2426" spans="1:16" x14ac:dyDescent="0.3">
      <c r="A2426" s="1">
        <v>45779</v>
      </c>
      <c r="B2426">
        <v>115.65</v>
      </c>
      <c r="C2426">
        <v>37743000</v>
      </c>
      <c r="D2426">
        <v>1.7450000000000001</v>
      </c>
      <c r="E2426">
        <v>68</v>
      </c>
      <c r="F2426">
        <v>2.88</v>
      </c>
      <c r="G2426">
        <v>0.24349999999999999</v>
      </c>
      <c r="H2426">
        <v>0</v>
      </c>
      <c r="J2426">
        <v>1</v>
      </c>
      <c r="K2426">
        <f>YEAR(NetflixData[[#This Row],[date]])</f>
        <v>2025</v>
      </c>
      <c r="L2426" t="str">
        <f>TEXT(NetflixData[[#This Row],[date]],"mmm")</f>
        <v>May</v>
      </c>
      <c r="M2426" t="str">
        <f>TEXT(NetflixData[[#This Row],[date]],"mmm yyyy")</f>
        <v>May 2025</v>
      </c>
      <c r="N2426" t="str">
        <f t="shared" si="111"/>
        <v>Non-Trading Day</v>
      </c>
      <c r="O2426" t="str">
        <f t="shared" si="112"/>
        <v>Positive</v>
      </c>
      <c r="P2426" t="str">
        <f t="shared" si="113"/>
        <v>Positive</v>
      </c>
    </row>
    <row r="2427" spans="1:16" x14ac:dyDescent="0.3">
      <c r="A2427" s="1">
        <v>45780</v>
      </c>
      <c r="B2427">
        <v>115.65</v>
      </c>
      <c r="C2427">
        <v>0</v>
      </c>
      <c r="D2427">
        <v>0</v>
      </c>
      <c r="E2427">
        <v>65</v>
      </c>
      <c r="F2427">
        <v>2.98</v>
      </c>
      <c r="G2427">
        <v>0.22109999999999999</v>
      </c>
      <c r="H2427">
        <v>0</v>
      </c>
      <c r="J2427">
        <v>0</v>
      </c>
      <c r="K2427">
        <f>YEAR(NetflixData[[#This Row],[date]])</f>
        <v>2025</v>
      </c>
      <c r="L2427" t="str">
        <f>TEXT(NetflixData[[#This Row],[date]],"mmm")</f>
        <v>May</v>
      </c>
      <c r="M2427" t="str">
        <f>TEXT(NetflixData[[#This Row],[date]],"mmm yyyy")</f>
        <v>May 2025</v>
      </c>
      <c r="N2427" t="str">
        <f t="shared" si="111"/>
        <v>Non-Trading Day</v>
      </c>
      <c r="O2427" t="str">
        <f t="shared" si="112"/>
        <v>No Change</v>
      </c>
      <c r="P2427" t="str">
        <f t="shared" si="113"/>
        <v>Positive</v>
      </c>
    </row>
    <row r="2428" spans="1:16" x14ac:dyDescent="0.3">
      <c r="A2428" s="1">
        <v>45781</v>
      </c>
      <c r="B2428">
        <v>115.65</v>
      </c>
      <c r="C2428">
        <v>0</v>
      </c>
      <c r="D2428">
        <v>0</v>
      </c>
      <c r="E2428">
        <v>58</v>
      </c>
      <c r="F2428">
        <v>2.91</v>
      </c>
      <c r="G2428">
        <v>0.1268</v>
      </c>
      <c r="H2428">
        <v>0</v>
      </c>
      <c r="J2428">
        <v>0</v>
      </c>
      <c r="K2428">
        <f>YEAR(NetflixData[[#This Row],[date]])</f>
        <v>2025</v>
      </c>
      <c r="L2428" t="str">
        <f>TEXT(NetflixData[[#This Row],[date]],"mmm")</f>
        <v>May</v>
      </c>
      <c r="M2428" t="str">
        <f>TEXT(NetflixData[[#This Row],[date]],"mmm yyyy")</f>
        <v>May 2025</v>
      </c>
      <c r="N2428" t="str">
        <f t="shared" si="111"/>
        <v>Trading Day</v>
      </c>
      <c r="O2428" t="str">
        <f t="shared" si="112"/>
        <v>No Change</v>
      </c>
      <c r="P2428" t="str">
        <f t="shared" si="113"/>
        <v>Positive</v>
      </c>
    </row>
    <row r="2429" spans="1:16" x14ac:dyDescent="0.3">
      <c r="A2429" s="1">
        <v>45782</v>
      </c>
      <c r="B2429">
        <v>113.41</v>
      </c>
      <c r="C2429">
        <v>56623000</v>
      </c>
      <c r="D2429">
        <v>1.728</v>
      </c>
      <c r="E2429">
        <v>43</v>
      </c>
      <c r="F2429">
        <v>3.77</v>
      </c>
      <c r="G2429">
        <v>0.25600000000000001</v>
      </c>
      <c r="H2429">
        <v>0</v>
      </c>
      <c r="J2429">
        <v>1</v>
      </c>
      <c r="K2429">
        <f>YEAR(NetflixData[[#This Row],[date]])</f>
        <v>2025</v>
      </c>
      <c r="L2429" t="str">
        <f>TEXT(NetflixData[[#This Row],[date]],"mmm")</f>
        <v>May</v>
      </c>
      <c r="M2429" t="str">
        <f>TEXT(NetflixData[[#This Row],[date]],"mmm yyyy")</f>
        <v>May 2025</v>
      </c>
      <c r="N2429" t="str">
        <f t="shared" si="111"/>
        <v>Trading Day</v>
      </c>
      <c r="O2429" t="str">
        <f t="shared" si="112"/>
        <v>Positive</v>
      </c>
      <c r="P2429" t="str">
        <f t="shared" si="113"/>
        <v>Positive</v>
      </c>
    </row>
    <row r="2430" spans="1:16" x14ac:dyDescent="0.3">
      <c r="A2430" s="1">
        <v>45783</v>
      </c>
      <c r="B2430">
        <v>113.77</v>
      </c>
      <c r="C2430">
        <v>32567000</v>
      </c>
      <c r="D2430">
        <v>0.73099999999999998</v>
      </c>
      <c r="E2430">
        <v>73</v>
      </c>
      <c r="F2430">
        <v>3</v>
      </c>
      <c r="G2430">
        <v>0.14199999999999999</v>
      </c>
      <c r="H2430">
        <v>0</v>
      </c>
      <c r="J2430">
        <v>1</v>
      </c>
      <c r="K2430">
        <f>YEAR(NetflixData[[#This Row],[date]])</f>
        <v>2025</v>
      </c>
      <c r="L2430" t="str">
        <f>TEXT(NetflixData[[#This Row],[date]],"mmm")</f>
        <v>May</v>
      </c>
      <c r="M2430" t="str">
        <f>TEXT(NetflixData[[#This Row],[date]],"mmm yyyy")</f>
        <v>May 2025</v>
      </c>
      <c r="N2430" t="str">
        <f t="shared" si="111"/>
        <v>Trading Day</v>
      </c>
      <c r="O2430" t="str">
        <f t="shared" si="112"/>
        <v>Positive</v>
      </c>
      <c r="P2430" t="str">
        <f t="shared" si="113"/>
        <v>Positive</v>
      </c>
    </row>
    <row r="2431" spans="1:16" x14ac:dyDescent="0.3">
      <c r="A2431" s="1">
        <v>45784</v>
      </c>
      <c r="B2431">
        <v>115.54</v>
      </c>
      <c r="C2431">
        <v>43497000</v>
      </c>
      <c r="D2431">
        <v>1.425</v>
      </c>
      <c r="E2431">
        <v>67</v>
      </c>
      <c r="F2431">
        <v>3.18</v>
      </c>
      <c r="G2431">
        <v>0.15570000000000001</v>
      </c>
      <c r="H2431">
        <v>0</v>
      </c>
      <c r="J2431">
        <v>1</v>
      </c>
      <c r="K2431">
        <f>YEAR(NetflixData[[#This Row],[date]])</f>
        <v>2025</v>
      </c>
      <c r="L2431" t="str">
        <f>TEXT(NetflixData[[#This Row],[date]],"mmm")</f>
        <v>May</v>
      </c>
      <c r="M2431" t="str">
        <f>TEXT(NetflixData[[#This Row],[date]],"mmm yyyy")</f>
        <v>May 2025</v>
      </c>
      <c r="N2431" t="str">
        <f t="shared" si="111"/>
        <v>Trading Day</v>
      </c>
      <c r="O2431" t="str">
        <f t="shared" si="112"/>
        <v>Positive</v>
      </c>
      <c r="P2431" t="str">
        <f t="shared" si="113"/>
        <v>Positive</v>
      </c>
    </row>
    <row r="2432" spans="1:16" x14ac:dyDescent="0.3">
      <c r="A2432" s="1">
        <v>45785</v>
      </c>
      <c r="B2432">
        <v>114.44</v>
      </c>
      <c r="C2432">
        <v>37609000</v>
      </c>
      <c r="D2432">
        <v>-1.48</v>
      </c>
      <c r="E2432">
        <v>65</v>
      </c>
      <c r="F2432">
        <v>3.29</v>
      </c>
      <c r="G2432">
        <v>0.2109</v>
      </c>
      <c r="H2432">
        <v>0</v>
      </c>
      <c r="J2432">
        <v>1</v>
      </c>
      <c r="K2432">
        <f>YEAR(NetflixData[[#This Row],[date]])</f>
        <v>2025</v>
      </c>
      <c r="L2432" t="str">
        <f>TEXT(NetflixData[[#This Row],[date]],"mmm")</f>
        <v>May</v>
      </c>
      <c r="M2432" t="str">
        <f>TEXT(NetflixData[[#This Row],[date]],"mmm yyyy")</f>
        <v>May 2025</v>
      </c>
      <c r="N2432" t="str">
        <f t="shared" si="111"/>
        <v>Trading Day</v>
      </c>
      <c r="O2432" t="str">
        <f t="shared" si="112"/>
        <v>Negative</v>
      </c>
      <c r="P2432" t="str">
        <f t="shared" si="113"/>
        <v>Positive</v>
      </c>
    </row>
    <row r="2433" spans="1:16" x14ac:dyDescent="0.3">
      <c r="A2433" s="1">
        <v>45786</v>
      </c>
      <c r="B2433">
        <v>114.02</v>
      </c>
      <c r="C2433">
        <v>25696000</v>
      </c>
      <c r="D2433">
        <v>-0.6</v>
      </c>
      <c r="E2433">
        <v>65</v>
      </c>
      <c r="F2433">
        <v>3.63</v>
      </c>
      <c r="G2433">
        <v>0.23980000000000001</v>
      </c>
      <c r="H2433">
        <v>0</v>
      </c>
      <c r="J2433">
        <v>1</v>
      </c>
      <c r="K2433">
        <f>YEAR(NetflixData[[#This Row],[date]])</f>
        <v>2025</v>
      </c>
      <c r="L2433" t="str">
        <f>TEXT(NetflixData[[#This Row],[date]],"mmm")</f>
        <v>May</v>
      </c>
      <c r="M2433" t="str">
        <f>TEXT(NetflixData[[#This Row],[date]],"mmm yyyy")</f>
        <v>May 2025</v>
      </c>
      <c r="N2433" t="str">
        <f t="shared" si="111"/>
        <v>Non-Trading Day</v>
      </c>
      <c r="O2433" t="str">
        <f t="shared" si="112"/>
        <v>Negative</v>
      </c>
      <c r="P2433" t="str">
        <f t="shared" si="113"/>
        <v>Positive</v>
      </c>
    </row>
    <row r="2434" spans="1:16" x14ac:dyDescent="0.3">
      <c r="A2434" s="1">
        <v>45787</v>
      </c>
      <c r="B2434">
        <v>114.02</v>
      </c>
      <c r="C2434">
        <v>0</v>
      </c>
      <c r="D2434">
        <v>0</v>
      </c>
      <c r="E2434">
        <v>83</v>
      </c>
      <c r="F2434">
        <v>2.93</v>
      </c>
      <c r="G2434">
        <v>0.23069999999999999</v>
      </c>
      <c r="H2434">
        <v>0</v>
      </c>
      <c r="J2434">
        <v>0</v>
      </c>
      <c r="K2434">
        <f>YEAR(NetflixData[[#This Row],[date]])</f>
        <v>2025</v>
      </c>
      <c r="L2434" t="str">
        <f>TEXT(NetflixData[[#This Row],[date]],"mmm")</f>
        <v>May</v>
      </c>
      <c r="M2434" t="str">
        <f>TEXT(NetflixData[[#This Row],[date]],"mmm yyyy")</f>
        <v>May 2025</v>
      </c>
      <c r="N2434" t="str">
        <f t="shared" ref="N2434:N2497" si="114">IF(J2435=1,"Trading Day","Non-Trading Day")</f>
        <v>Non-Trading Day</v>
      </c>
      <c r="O2434" t="str">
        <f t="shared" ref="O2434:O2497" si="115">IF(D2434&gt;0,"Positive",IF(D2434&lt;0,"Negative","No Change"))</f>
        <v>No Change</v>
      </c>
      <c r="P2434" t="str">
        <f t="shared" ref="P2434:P2497" si="116">IF(G2434&gt;0.1,"Positive",IF(G2434&lt;-0.1,"Negative","Neutral"))</f>
        <v>Positive</v>
      </c>
    </row>
    <row r="2435" spans="1:16" x14ac:dyDescent="0.3">
      <c r="A2435" s="1">
        <v>45788</v>
      </c>
      <c r="B2435">
        <v>114.02</v>
      </c>
      <c r="C2435">
        <v>0</v>
      </c>
      <c r="D2435">
        <v>0</v>
      </c>
      <c r="E2435">
        <v>85</v>
      </c>
      <c r="F2435">
        <v>3.21</v>
      </c>
      <c r="G2435">
        <v>0.1653</v>
      </c>
      <c r="H2435">
        <v>0</v>
      </c>
      <c r="J2435">
        <v>0</v>
      </c>
      <c r="K2435">
        <f>YEAR(NetflixData[[#This Row],[date]])</f>
        <v>2025</v>
      </c>
      <c r="L2435" t="str">
        <f>TEXT(NetflixData[[#This Row],[date]],"mmm")</f>
        <v>May</v>
      </c>
      <c r="M2435" t="str">
        <f>TEXT(NetflixData[[#This Row],[date]],"mmm yyyy")</f>
        <v>May 2025</v>
      </c>
      <c r="N2435" t="str">
        <f t="shared" si="114"/>
        <v>Trading Day</v>
      </c>
      <c r="O2435" t="str">
        <f t="shared" si="115"/>
        <v>No Change</v>
      </c>
      <c r="P2435" t="str">
        <f t="shared" si="116"/>
        <v>Positive</v>
      </c>
    </row>
    <row r="2436" spans="1:16" x14ac:dyDescent="0.3">
      <c r="A2436" s="1">
        <v>45789</v>
      </c>
      <c r="B2436">
        <v>111</v>
      </c>
      <c r="C2436">
        <v>64791000</v>
      </c>
      <c r="D2436">
        <v>-1.268</v>
      </c>
      <c r="E2436">
        <v>70</v>
      </c>
      <c r="F2436">
        <v>3.21</v>
      </c>
      <c r="G2436">
        <v>0.18290000000000001</v>
      </c>
      <c r="H2436">
        <v>0</v>
      </c>
      <c r="J2436">
        <v>1</v>
      </c>
      <c r="K2436">
        <f>YEAR(NetflixData[[#This Row],[date]])</f>
        <v>2025</v>
      </c>
      <c r="L2436" t="str">
        <f>TEXT(NetflixData[[#This Row],[date]],"mmm")</f>
        <v>May</v>
      </c>
      <c r="M2436" t="str">
        <f>TEXT(NetflixData[[#This Row],[date]],"mmm yyyy")</f>
        <v>May 2025</v>
      </c>
      <c r="N2436" t="str">
        <f t="shared" si="114"/>
        <v>Trading Day</v>
      </c>
      <c r="O2436" t="str">
        <f t="shared" si="115"/>
        <v>Negative</v>
      </c>
      <c r="P2436" t="str">
        <f t="shared" si="116"/>
        <v>Positive</v>
      </c>
    </row>
    <row r="2437" spans="1:16" x14ac:dyDescent="0.3">
      <c r="A2437" s="1">
        <v>45790</v>
      </c>
      <c r="B2437">
        <v>113.84</v>
      </c>
      <c r="C2437">
        <v>39979000</v>
      </c>
      <c r="D2437">
        <v>2.1520000000000001</v>
      </c>
      <c r="E2437">
        <v>73</v>
      </c>
      <c r="F2437">
        <v>3.25</v>
      </c>
      <c r="G2437">
        <v>0.1893</v>
      </c>
      <c r="H2437">
        <v>0</v>
      </c>
      <c r="J2437">
        <v>1</v>
      </c>
      <c r="K2437">
        <f>YEAR(NetflixData[[#This Row],[date]])</f>
        <v>2025</v>
      </c>
      <c r="L2437" t="str">
        <f>TEXT(NetflixData[[#This Row],[date]],"mmm")</f>
        <v>May</v>
      </c>
      <c r="M2437" t="str">
        <f>TEXT(NetflixData[[#This Row],[date]],"mmm yyyy")</f>
        <v>May 2025</v>
      </c>
      <c r="N2437" t="str">
        <f t="shared" si="114"/>
        <v>Trading Day</v>
      </c>
      <c r="O2437" t="str">
        <f t="shared" si="115"/>
        <v>Positive</v>
      </c>
      <c r="P2437" t="str">
        <f t="shared" si="116"/>
        <v>Positive</v>
      </c>
    </row>
    <row r="2438" spans="1:16" x14ac:dyDescent="0.3">
      <c r="A2438" s="1">
        <v>45791</v>
      </c>
      <c r="B2438">
        <v>115.1</v>
      </c>
      <c r="C2438">
        <v>39101000</v>
      </c>
      <c r="D2438">
        <v>1.8939999999999999</v>
      </c>
      <c r="E2438">
        <v>56</v>
      </c>
      <c r="F2438">
        <v>3</v>
      </c>
      <c r="G2438">
        <v>0.2349</v>
      </c>
      <c r="H2438">
        <v>0</v>
      </c>
      <c r="J2438">
        <v>1</v>
      </c>
      <c r="K2438">
        <f>YEAR(NetflixData[[#This Row],[date]])</f>
        <v>2025</v>
      </c>
      <c r="L2438" t="str">
        <f>TEXT(NetflixData[[#This Row],[date]],"mmm")</f>
        <v>May</v>
      </c>
      <c r="M2438" t="str">
        <f>TEXT(NetflixData[[#This Row],[date]],"mmm yyyy")</f>
        <v>May 2025</v>
      </c>
      <c r="N2438" t="str">
        <f t="shared" si="114"/>
        <v>Trading Day</v>
      </c>
      <c r="O2438" t="str">
        <f t="shared" si="115"/>
        <v>Positive</v>
      </c>
      <c r="P2438" t="str">
        <f t="shared" si="116"/>
        <v>Positive</v>
      </c>
    </row>
    <row r="2439" spans="1:16" x14ac:dyDescent="0.3">
      <c r="A2439" s="1">
        <v>45792</v>
      </c>
      <c r="B2439">
        <v>117.8</v>
      </c>
      <c r="C2439">
        <v>44640000</v>
      </c>
      <c r="D2439">
        <v>2.6349999999999998</v>
      </c>
      <c r="E2439">
        <v>56</v>
      </c>
      <c r="F2439">
        <v>3.09</v>
      </c>
      <c r="G2439">
        <v>0.1857</v>
      </c>
      <c r="H2439">
        <v>0</v>
      </c>
      <c r="J2439">
        <v>1</v>
      </c>
      <c r="K2439">
        <f>YEAR(NetflixData[[#This Row],[date]])</f>
        <v>2025</v>
      </c>
      <c r="L2439" t="str">
        <f>TEXT(NetflixData[[#This Row],[date]],"mmm")</f>
        <v>May</v>
      </c>
      <c r="M2439" t="str">
        <f>TEXT(NetflixData[[#This Row],[date]],"mmm yyyy")</f>
        <v>May 2025</v>
      </c>
      <c r="N2439" t="str">
        <f t="shared" si="114"/>
        <v>Trading Day</v>
      </c>
      <c r="O2439" t="str">
        <f t="shared" si="115"/>
        <v>Positive</v>
      </c>
      <c r="P2439" t="str">
        <f t="shared" si="116"/>
        <v>Positive</v>
      </c>
    </row>
    <row r="2440" spans="1:16" x14ac:dyDescent="0.3">
      <c r="A2440" s="1">
        <v>45793</v>
      </c>
      <c r="B2440">
        <v>119.15</v>
      </c>
      <c r="C2440">
        <v>46984000</v>
      </c>
      <c r="D2440">
        <v>-0.13500000000000001</v>
      </c>
      <c r="E2440">
        <v>51</v>
      </c>
      <c r="F2440">
        <v>3.12</v>
      </c>
      <c r="G2440">
        <v>0.14990000000000001</v>
      </c>
      <c r="H2440">
        <v>0</v>
      </c>
      <c r="J2440">
        <v>1</v>
      </c>
      <c r="K2440">
        <f>YEAR(NetflixData[[#This Row],[date]])</f>
        <v>2025</v>
      </c>
      <c r="L2440" t="str">
        <f>TEXT(NetflixData[[#This Row],[date]],"mmm")</f>
        <v>May</v>
      </c>
      <c r="M2440" t="str">
        <f>TEXT(NetflixData[[#This Row],[date]],"mmm yyyy")</f>
        <v>May 2025</v>
      </c>
      <c r="N2440" t="str">
        <f t="shared" si="114"/>
        <v>Non-Trading Day</v>
      </c>
      <c r="O2440" t="str">
        <f t="shared" si="115"/>
        <v>Negative</v>
      </c>
      <c r="P2440" t="str">
        <f t="shared" si="116"/>
        <v>Positive</v>
      </c>
    </row>
    <row r="2441" spans="1:16" x14ac:dyDescent="0.3">
      <c r="A2441" s="1">
        <v>45794</v>
      </c>
      <c r="B2441">
        <v>119.15</v>
      </c>
      <c r="C2441">
        <v>0</v>
      </c>
      <c r="D2441">
        <v>0</v>
      </c>
      <c r="E2441">
        <v>78</v>
      </c>
      <c r="F2441">
        <v>3.14</v>
      </c>
      <c r="G2441">
        <v>0.1234</v>
      </c>
      <c r="H2441">
        <v>0</v>
      </c>
      <c r="J2441">
        <v>0</v>
      </c>
      <c r="K2441">
        <f>YEAR(NetflixData[[#This Row],[date]])</f>
        <v>2025</v>
      </c>
      <c r="L2441" t="str">
        <f>TEXT(NetflixData[[#This Row],[date]],"mmm")</f>
        <v>May</v>
      </c>
      <c r="M2441" t="str">
        <f>TEXT(NetflixData[[#This Row],[date]],"mmm yyyy")</f>
        <v>May 2025</v>
      </c>
      <c r="N2441" t="str">
        <f t="shared" si="114"/>
        <v>Non-Trading Day</v>
      </c>
      <c r="O2441" t="str">
        <f t="shared" si="115"/>
        <v>No Change</v>
      </c>
      <c r="P2441" t="str">
        <f t="shared" si="116"/>
        <v>Positive</v>
      </c>
    </row>
    <row r="2442" spans="1:16" x14ac:dyDescent="0.3">
      <c r="A2442" s="1">
        <v>45795</v>
      </c>
      <c r="B2442">
        <v>119.15</v>
      </c>
      <c r="C2442">
        <v>0</v>
      </c>
      <c r="D2442">
        <v>0</v>
      </c>
      <c r="E2442">
        <v>89</v>
      </c>
      <c r="F2442">
        <v>3.34</v>
      </c>
      <c r="G2442">
        <v>0.2215</v>
      </c>
      <c r="H2442">
        <v>0</v>
      </c>
      <c r="J2442">
        <v>0</v>
      </c>
      <c r="K2442">
        <f>YEAR(NetflixData[[#This Row],[date]])</f>
        <v>2025</v>
      </c>
      <c r="L2442" t="str">
        <f>TEXT(NetflixData[[#This Row],[date]],"mmm")</f>
        <v>May</v>
      </c>
      <c r="M2442" t="str">
        <f>TEXT(NetflixData[[#This Row],[date]],"mmm yyyy")</f>
        <v>May 2025</v>
      </c>
      <c r="N2442" t="str">
        <f t="shared" si="114"/>
        <v>Trading Day</v>
      </c>
      <c r="O2442" t="str">
        <f t="shared" si="115"/>
        <v>No Change</v>
      </c>
      <c r="P2442" t="str">
        <f t="shared" si="116"/>
        <v>Positive</v>
      </c>
    </row>
    <row r="2443" spans="1:16" x14ac:dyDescent="0.3">
      <c r="A2443" s="1">
        <v>45796</v>
      </c>
      <c r="B2443">
        <v>119.16</v>
      </c>
      <c r="C2443">
        <v>28534000</v>
      </c>
      <c r="D2443">
        <v>1.5389999999999999</v>
      </c>
      <c r="E2443">
        <v>54</v>
      </c>
      <c r="F2443">
        <v>2.67</v>
      </c>
      <c r="G2443">
        <v>1.1000000000000001E-3</v>
      </c>
      <c r="H2443">
        <v>0</v>
      </c>
      <c r="J2443">
        <v>1</v>
      </c>
      <c r="K2443">
        <f>YEAR(NetflixData[[#This Row],[date]])</f>
        <v>2025</v>
      </c>
      <c r="L2443" t="str">
        <f>TEXT(NetflixData[[#This Row],[date]],"mmm")</f>
        <v>May</v>
      </c>
      <c r="M2443" t="str">
        <f>TEXT(NetflixData[[#This Row],[date]],"mmm yyyy")</f>
        <v>May 2025</v>
      </c>
      <c r="N2443" t="str">
        <f t="shared" si="114"/>
        <v>Trading Day</v>
      </c>
      <c r="O2443" t="str">
        <f t="shared" si="115"/>
        <v>Positive</v>
      </c>
      <c r="P2443" t="str">
        <f t="shared" si="116"/>
        <v>Neutral</v>
      </c>
    </row>
    <row r="2444" spans="1:16" x14ac:dyDescent="0.3">
      <c r="A2444" s="1">
        <v>45797</v>
      </c>
      <c r="B2444">
        <v>119.2</v>
      </c>
      <c r="C2444">
        <v>21331000</v>
      </c>
      <c r="D2444">
        <v>0.441</v>
      </c>
      <c r="E2444">
        <v>68</v>
      </c>
      <c r="F2444">
        <v>3.1</v>
      </c>
      <c r="G2444">
        <v>8.9499999999999996E-2</v>
      </c>
      <c r="H2444">
        <v>0</v>
      </c>
      <c r="J2444">
        <v>1</v>
      </c>
      <c r="K2444">
        <f>YEAR(NetflixData[[#This Row],[date]])</f>
        <v>2025</v>
      </c>
      <c r="L2444" t="str">
        <f>TEXT(NetflixData[[#This Row],[date]],"mmm")</f>
        <v>May</v>
      </c>
      <c r="M2444" t="str">
        <f>TEXT(NetflixData[[#This Row],[date]],"mmm yyyy")</f>
        <v>May 2025</v>
      </c>
      <c r="N2444" t="str">
        <f t="shared" si="114"/>
        <v>Trading Day</v>
      </c>
      <c r="O2444" t="str">
        <f t="shared" si="115"/>
        <v>Positive</v>
      </c>
      <c r="P2444" t="str">
        <f t="shared" si="116"/>
        <v>Neutral</v>
      </c>
    </row>
    <row r="2445" spans="1:16" x14ac:dyDescent="0.3">
      <c r="A2445" s="1">
        <v>45798</v>
      </c>
      <c r="B2445">
        <v>119.46</v>
      </c>
      <c r="C2445">
        <v>29766000</v>
      </c>
      <c r="D2445">
        <v>0.68500000000000005</v>
      </c>
      <c r="E2445">
        <v>77</v>
      </c>
      <c r="F2445">
        <v>3.01</v>
      </c>
      <c r="G2445">
        <v>0.13950000000000001</v>
      </c>
      <c r="H2445">
        <v>0</v>
      </c>
      <c r="J2445">
        <v>1</v>
      </c>
      <c r="K2445">
        <f>YEAR(NetflixData[[#This Row],[date]])</f>
        <v>2025</v>
      </c>
      <c r="L2445" t="str">
        <f>TEXT(NetflixData[[#This Row],[date]],"mmm")</f>
        <v>May</v>
      </c>
      <c r="M2445" t="str">
        <f>TEXT(NetflixData[[#This Row],[date]],"mmm yyyy")</f>
        <v>May 2025</v>
      </c>
      <c r="N2445" t="str">
        <f t="shared" si="114"/>
        <v>Trading Day</v>
      </c>
      <c r="O2445" t="str">
        <f t="shared" si="115"/>
        <v>Positive</v>
      </c>
      <c r="P2445" t="str">
        <f t="shared" si="116"/>
        <v>Positive</v>
      </c>
    </row>
    <row r="2446" spans="1:16" x14ac:dyDescent="0.3">
      <c r="A2446" s="1">
        <v>45799</v>
      </c>
      <c r="B2446">
        <v>118.8</v>
      </c>
      <c r="C2446">
        <v>18616000</v>
      </c>
      <c r="D2446">
        <v>-0.372</v>
      </c>
      <c r="E2446">
        <v>56</v>
      </c>
      <c r="F2446">
        <v>3.39</v>
      </c>
      <c r="G2446">
        <v>0.2422</v>
      </c>
      <c r="H2446">
        <v>0</v>
      </c>
      <c r="J2446">
        <v>1</v>
      </c>
      <c r="K2446">
        <f>YEAR(NetflixData[[#This Row],[date]])</f>
        <v>2025</v>
      </c>
      <c r="L2446" t="str">
        <f>TEXT(NetflixData[[#This Row],[date]],"mmm")</f>
        <v>May</v>
      </c>
      <c r="M2446" t="str">
        <f>TEXT(NetflixData[[#This Row],[date]],"mmm yyyy")</f>
        <v>May 2025</v>
      </c>
      <c r="N2446" t="str">
        <f t="shared" si="114"/>
        <v>Trading Day</v>
      </c>
      <c r="O2446" t="str">
        <f t="shared" si="115"/>
        <v>Negative</v>
      </c>
      <c r="P2446" t="str">
        <f t="shared" si="116"/>
        <v>Positive</v>
      </c>
    </row>
    <row r="2447" spans="1:16" x14ac:dyDescent="0.3">
      <c r="A2447" s="1">
        <v>45800</v>
      </c>
      <c r="B2447">
        <v>118.54</v>
      </c>
      <c r="C2447">
        <v>21865000</v>
      </c>
      <c r="D2447">
        <v>0.11700000000000001</v>
      </c>
      <c r="E2447">
        <v>48</v>
      </c>
      <c r="F2447">
        <v>2.81</v>
      </c>
      <c r="G2447">
        <v>0.2041</v>
      </c>
      <c r="H2447">
        <v>0</v>
      </c>
      <c r="J2447">
        <v>1</v>
      </c>
      <c r="K2447">
        <f>YEAR(NetflixData[[#This Row],[date]])</f>
        <v>2025</v>
      </c>
      <c r="L2447" t="str">
        <f>TEXT(NetflixData[[#This Row],[date]],"mmm")</f>
        <v>May</v>
      </c>
      <c r="M2447" t="str">
        <f>TEXT(NetflixData[[#This Row],[date]],"mmm yyyy")</f>
        <v>May 2025</v>
      </c>
      <c r="N2447" t="str">
        <f t="shared" si="114"/>
        <v>Non-Trading Day</v>
      </c>
      <c r="O2447" t="str">
        <f t="shared" si="115"/>
        <v>Positive</v>
      </c>
      <c r="P2447" t="str">
        <f t="shared" si="116"/>
        <v>Positive</v>
      </c>
    </row>
    <row r="2448" spans="1:16" x14ac:dyDescent="0.3">
      <c r="A2448" s="1">
        <v>45801</v>
      </c>
      <c r="B2448">
        <v>118.54</v>
      </c>
      <c r="C2448">
        <v>0</v>
      </c>
      <c r="D2448">
        <v>0</v>
      </c>
      <c r="E2448">
        <v>48</v>
      </c>
      <c r="F2448">
        <v>3.46</v>
      </c>
      <c r="G2448">
        <v>0.1885</v>
      </c>
      <c r="H2448">
        <v>0</v>
      </c>
      <c r="J2448">
        <v>0</v>
      </c>
      <c r="K2448">
        <f>YEAR(NetflixData[[#This Row],[date]])</f>
        <v>2025</v>
      </c>
      <c r="L2448" t="str">
        <f>TEXT(NetflixData[[#This Row],[date]],"mmm")</f>
        <v>May</v>
      </c>
      <c r="M2448" t="str">
        <f>TEXT(NetflixData[[#This Row],[date]],"mmm yyyy")</f>
        <v>May 2025</v>
      </c>
      <c r="N2448" t="str">
        <f t="shared" si="114"/>
        <v>Non-Trading Day</v>
      </c>
      <c r="O2448" t="str">
        <f t="shared" si="115"/>
        <v>No Change</v>
      </c>
      <c r="P2448" t="str">
        <f t="shared" si="116"/>
        <v>Positive</v>
      </c>
    </row>
    <row r="2449" spans="1:16" x14ac:dyDescent="0.3">
      <c r="A2449" s="1">
        <v>45802</v>
      </c>
      <c r="B2449">
        <v>118.54</v>
      </c>
      <c r="C2449">
        <v>0</v>
      </c>
      <c r="D2449">
        <v>0</v>
      </c>
      <c r="E2449">
        <v>65</v>
      </c>
      <c r="F2449">
        <v>3.11</v>
      </c>
      <c r="G2449">
        <v>0.14630000000000001</v>
      </c>
      <c r="H2449">
        <v>0</v>
      </c>
      <c r="J2449">
        <v>0</v>
      </c>
      <c r="K2449">
        <f>YEAR(NetflixData[[#This Row],[date]])</f>
        <v>2025</v>
      </c>
      <c r="L2449" t="str">
        <f>TEXT(NetflixData[[#This Row],[date]],"mmm")</f>
        <v>May</v>
      </c>
      <c r="M2449" t="str">
        <f>TEXT(NetflixData[[#This Row],[date]],"mmm yyyy")</f>
        <v>May 2025</v>
      </c>
      <c r="N2449" t="str">
        <f t="shared" si="114"/>
        <v>Non-Trading Day</v>
      </c>
      <c r="O2449" t="str">
        <f t="shared" si="115"/>
        <v>No Change</v>
      </c>
      <c r="P2449" t="str">
        <f t="shared" si="116"/>
        <v>Positive</v>
      </c>
    </row>
    <row r="2450" spans="1:16" x14ac:dyDescent="0.3">
      <c r="A2450" s="1">
        <v>45803</v>
      </c>
      <c r="B2450">
        <v>118.54</v>
      </c>
      <c r="C2450">
        <v>0</v>
      </c>
      <c r="D2450">
        <v>0</v>
      </c>
      <c r="E2450">
        <v>48</v>
      </c>
      <c r="F2450">
        <v>3.42</v>
      </c>
      <c r="G2450">
        <v>0.2621</v>
      </c>
      <c r="H2450">
        <v>0</v>
      </c>
      <c r="J2450">
        <v>0</v>
      </c>
      <c r="K2450">
        <f>YEAR(NetflixData[[#This Row],[date]])</f>
        <v>2025</v>
      </c>
      <c r="L2450" t="str">
        <f>TEXT(NetflixData[[#This Row],[date]],"mmm")</f>
        <v>May</v>
      </c>
      <c r="M2450" t="str">
        <f>TEXT(NetflixData[[#This Row],[date]],"mmm yyyy")</f>
        <v>May 2025</v>
      </c>
      <c r="N2450" t="str">
        <f t="shared" si="114"/>
        <v>Trading Day</v>
      </c>
      <c r="O2450" t="str">
        <f t="shared" si="115"/>
        <v>No Change</v>
      </c>
      <c r="P2450" t="str">
        <f t="shared" si="116"/>
        <v>Positive</v>
      </c>
    </row>
    <row r="2451" spans="1:16" x14ac:dyDescent="0.3">
      <c r="A2451" s="1">
        <v>45804</v>
      </c>
      <c r="B2451">
        <v>121.16</v>
      </c>
      <c r="C2451">
        <v>29205000</v>
      </c>
      <c r="D2451">
        <v>1.359</v>
      </c>
      <c r="E2451">
        <v>66</v>
      </c>
      <c r="F2451">
        <v>2.98</v>
      </c>
      <c r="G2451">
        <v>0.20369999999999999</v>
      </c>
      <c r="H2451">
        <v>0</v>
      </c>
      <c r="J2451">
        <v>1</v>
      </c>
      <c r="K2451">
        <f>YEAR(NetflixData[[#This Row],[date]])</f>
        <v>2025</v>
      </c>
      <c r="L2451" t="str">
        <f>TEXT(NetflixData[[#This Row],[date]],"mmm")</f>
        <v>May</v>
      </c>
      <c r="M2451" t="str">
        <f>TEXT(NetflixData[[#This Row],[date]],"mmm yyyy")</f>
        <v>May 2025</v>
      </c>
      <c r="N2451" t="str">
        <f t="shared" si="114"/>
        <v>Trading Day</v>
      </c>
      <c r="O2451" t="str">
        <f t="shared" si="115"/>
        <v>Positive</v>
      </c>
      <c r="P2451" t="str">
        <f t="shared" si="116"/>
        <v>Positive</v>
      </c>
    </row>
    <row r="2452" spans="1:16" x14ac:dyDescent="0.3">
      <c r="A2452" s="1">
        <v>45805</v>
      </c>
      <c r="B2452">
        <v>120.86</v>
      </c>
      <c r="C2452">
        <v>18559000</v>
      </c>
      <c r="D2452">
        <v>-0.14199999999999999</v>
      </c>
      <c r="E2452">
        <v>46</v>
      </c>
      <c r="F2452">
        <v>3</v>
      </c>
      <c r="G2452">
        <v>0.15440000000000001</v>
      </c>
      <c r="H2452">
        <v>0</v>
      </c>
      <c r="J2452">
        <v>1</v>
      </c>
      <c r="K2452">
        <f>YEAR(NetflixData[[#This Row],[date]])</f>
        <v>2025</v>
      </c>
      <c r="L2452" t="str">
        <f>TEXT(NetflixData[[#This Row],[date]],"mmm")</f>
        <v>May</v>
      </c>
      <c r="M2452" t="str">
        <f>TEXT(NetflixData[[#This Row],[date]],"mmm yyyy")</f>
        <v>May 2025</v>
      </c>
      <c r="N2452" t="str">
        <f t="shared" si="114"/>
        <v>Trading Day</v>
      </c>
      <c r="O2452" t="str">
        <f t="shared" si="115"/>
        <v>Negative</v>
      </c>
      <c r="P2452" t="str">
        <f t="shared" si="116"/>
        <v>Positive</v>
      </c>
    </row>
    <row r="2453" spans="1:16" x14ac:dyDescent="0.3">
      <c r="A2453" s="1">
        <v>45806</v>
      </c>
      <c r="B2453">
        <v>118.49</v>
      </c>
      <c r="C2453">
        <v>33007000</v>
      </c>
      <c r="D2453">
        <v>-1.9159999999999999</v>
      </c>
      <c r="E2453">
        <v>54</v>
      </c>
      <c r="F2453">
        <v>3.3</v>
      </c>
      <c r="G2453">
        <v>0.2137</v>
      </c>
      <c r="H2453">
        <v>0</v>
      </c>
      <c r="J2453">
        <v>1</v>
      </c>
      <c r="K2453">
        <f>YEAR(NetflixData[[#This Row],[date]])</f>
        <v>2025</v>
      </c>
      <c r="L2453" t="str">
        <f>TEXT(NetflixData[[#This Row],[date]],"mmm")</f>
        <v>May</v>
      </c>
      <c r="M2453" t="str">
        <f>TEXT(NetflixData[[#This Row],[date]],"mmm yyyy")</f>
        <v>May 2025</v>
      </c>
      <c r="N2453" t="str">
        <f t="shared" si="114"/>
        <v>Trading Day</v>
      </c>
      <c r="O2453" t="str">
        <f t="shared" si="115"/>
        <v>Negative</v>
      </c>
      <c r="P2453" t="str">
        <f t="shared" si="116"/>
        <v>Positive</v>
      </c>
    </row>
    <row r="2454" spans="1:16" x14ac:dyDescent="0.3">
      <c r="A2454" s="1">
        <v>45807</v>
      </c>
      <c r="B2454">
        <v>120.72</v>
      </c>
      <c r="C2454">
        <v>46968000</v>
      </c>
      <c r="D2454">
        <v>0.74299999999999999</v>
      </c>
      <c r="E2454">
        <v>169</v>
      </c>
      <c r="F2454">
        <v>2.44</v>
      </c>
      <c r="G2454">
        <v>5.5E-2</v>
      </c>
      <c r="H2454">
        <v>0</v>
      </c>
      <c r="J2454">
        <v>1</v>
      </c>
      <c r="K2454">
        <f>YEAR(NetflixData[[#This Row],[date]])</f>
        <v>2025</v>
      </c>
      <c r="L2454" t="str">
        <f>TEXT(NetflixData[[#This Row],[date]],"mmm")</f>
        <v>May</v>
      </c>
      <c r="M2454" t="str">
        <f>TEXT(NetflixData[[#This Row],[date]],"mmm yyyy")</f>
        <v>May 2025</v>
      </c>
      <c r="N2454" t="str">
        <f t="shared" si="114"/>
        <v>Non-Trading Day</v>
      </c>
      <c r="O2454" t="str">
        <f t="shared" si="115"/>
        <v>Positive</v>
      </c>
      <c r="P2454" t="str">
        <f t="shared" si="116"/>
        <v>Neutral</v>
      </c>
    </row>
    <row r="2455" spans="1:16" x14ac:dyDescent="0.3">
      <c r="A2455" s="1">
        <v>45808</v>
      </c>
      <c r="B2455">
        <v>120.72</v>
      </c>
      <c r="C2455">
        <v>0</v>
      </c>
      <c r="D2455">
        <v>0</v>
      </c>
      <c r="E2455">
        <v>71</v>
      </c>
      <c r="F2455">
        <v>2.94</v>
      </c>
      <c r="G2455">
        <v>0.16569999999999999</v>
      </c>
      <c r="H2455">
        <v>0</v>
      </c>
      <c r="J2455">
        <v>0</v>
      </c>
      <c r="K2455">
        <f>YEAR(NetflixData[[#This Row],[date]])</f>
        <v>2025</v>
      </c>
      <c r="L2455" t="str">
        <f>TEXT(NetflixData[[#This Row],[date]],"mmm")</f>
        <v>May</v>
      </c>
      <c r="M2455" t="str">
        <f>TEXT(NetflixData[[#This Row],[date]],"mmm yyyy")</f>
        <v>May 2025</v>
      </c>
      <c r="N2455" t="str">
        <f t="shared" si="114"/>
        <v>Non-Trading Day</v>
      </c>
      <c r="O2455" t="str">
        <f t="shared" si="115"/>
        <v>No Change</v>
      </c>
      <c r="P2455" t="str">
        <f t="shared" si="116"/>
        <v>Positive</v>
      </c>
    </row>
    <row r="2456" spans="1:16" x14ac:dyDescent="0.3">
      <c r="A2456" s="1">
        <v>45809</v>
      </c>
      <c r="B2456">
        <v>120.72</v>
      </c>
      <c r="C2456">
        <v>0</v>
      </c>
      <c r="D2456">
        <v>0</v>
      </c>
      <c r="E2456">
        <v>87</v>
      </c>
      <c r="F2456">
        <v>2.9</v>
      </c>
      <c r="G2456">
        <v>0.19989999999999999</v>
      </c>
      <c r="H2456">
        <v>0</v>
      </c>
      <c r="J2456">
        <v>0</v>
      </c>
      <c r="K2456">
        <f>YEAR(NetflixData[[#This Row],[date]])</f>
        <v>2025</v>
      </c>
      <c r="L2456" t="str">
        <f>TEXT(NetflixData[[#This Row],[date]],"mmm")</f>
        <v>Jun</v>
      </c>
      <c r="M2456" t="str">
        <f>TEXT(NetflixData[[#This Row],[date]],"mmm yyyy")</f>
        <v>Jun 2025</v>
      </c>
      <c r="N2456" t="str">
        <f t="shared" si="114"/>
        <v>Trading Day</v>
      </c>
      <c r="O2456" t="str">
        <f t="shared" si="115"/>
        <v>No Change</v>
      </c>
      <c r="P2456" t="str">
        <f t="shared" si="116"/>
        <v>Positive</v>
      </c>
    </row>
    <row r="2457" spans="1:16" x14ac:dyDescent="0.3">
      <c r="A2457" s="1">
        <v>45810</v>
      </c>
      <c r="B2457">
        <v>121.9</v>
      </c>
      <c r="C2457">
        <v>22942000</v>
      </c>
      <c r="D2457">
        <v>1.48</v>
      </c>
      <c r="E2457">
        <v>79</v>
      </c>
      <c r="F2457">
        <v>3.03</v>
      </c>
      <c r="G2457">
        <v>0.20130000000000001</v>
      </c>
      <c r="H2457">
        <v>0</v>
      </c>
      <c r="J2457">
        <v>1</v>
      </c>
      <c r="K2457">
        <f>YEAR(NetflixData[[#This Row],[date]])</f>
        <v>2025</v>
      </c>
      <c r="L2457" t="str">
        <f>TEXT(NetflixData[[#This Row],[date]],"mmm")</f>
        <v>Jun</v>
      </c>
      <c r="M2457" t="str">
        <f>TEXT(NetflixData[[#This Row],[date]],"mmm yyyy")</f>
        <v>Jun 2025</v>
      </c>
      <c r="N2457" t="str">
        <f t="shared" si="114"/>
        <v>Trading Day</v>
      </c>
      <c r="O2457" t="str">
        <f t="shared" si="115"/>
        <v>Positive</v>
      </c>
      <c r="P2457" t="str">
        <f t="shared" si="116"/>
        <v>Positive</v>
      </c>
    </row>
    <row r="2458" spans="1:16" x14ac:dyDescent="0.3">
      <c r="A2458" s="1">
        <v>45811</v>
      </c>
      <c r="B2458">
        <v>121.79</v>
      </c>
      <c r="C2458">
        <v>23638000</v>
      </c>
      <c r="D2458">
        <v>-0.158</v>
      </c>
      <c r="E2458">
        <v>57</v>
      </c>
      <c r="F2458">
        <v>3.16</v>
      </c>
      <c r="G2458">
        <v>8.1699999999999995E-2</v>
      </c>
      <c r="H2458">
        <v>0</v>
      </c>
      <c r="J2458">
        <v>1</v>
      </c>
      <c r="K2458">
        <f>YEAR(NetflixData[[#This Row],[date]])</f>
        <v>2025</v>
      </c>
      <c r="L2458" t="str">
        <f>TEXT(NetflixData[[#This Row],[date]],"mmm")</f>
        <v>Jun</v>
      </c>
      <c r="M2458" t="str">
        <f>TEXT(NetflixData[[#This Row],[date]],"mmm yyyy")</f>
        <v>Jun 2025</v>
      </c>
      <c r="N2458" t="str">
        <f t="shared" si="114"/>
        <v>Trading Day</v>
      </c>
      <c r="O2458" t="str">
        <f t="shared" si="115"/>
        <v>Negative</v>
      </c>
      <c r="P2458" t="str">
        <f t="shared" si="116"/>
        <v>Neutral</v>
      </c>
    </row>
    <row r="2459" spans="1:16" x14ac:dyDescent="0.3">
      <c r="A2459" s="1">
        <v>45812</v>
      </c>
      <c r="B2459">
        <v>123.97</v>
      </c>
      <c r="C2459">
        <v>23594000</v>
      </c>
      <c r="D2459">
        <v>1.5509999999999999</v>
      </c>
      <c r="E2459">
        <v>65</v>
      </c>
      <c r="F2459">
        <v>3.31</v>
      </c>
      <c r="G2459">
        <v>0.19339999999999999</v>
      </c>
      <c r="H2459">
        <v>0</v>
      </c>
      <c r="J2459">
        <v>1</v>
      </c>
      <c r="K2459">
        <f>YEAR(NetflixData[[#This Row],[date]])</f>
        <v>2025</v>
      </c>
      <c r="L2459" t="str">
        <f>TEXT(NetflixData[[#This Row],[date]],"mmm")</f>
        <v>Jun</v>
      </c>
      <c r="M2459" t="str">
        <f>TEXT(NetflixData[[#This Row],[date]],"mmm yyyy")</f>
        <v>Jun 2025</v>
      </c>
      <c r="N2459" t="str">
        <f t="shared" si="114"/>
        <v>Trading Day</v>
      </c>
      <c r="O2459" t="str">
        <f t="shared" si="115"/>
        <v>Positive</v>
      </c>
      <c r="P2459" t="str">
        <f t="shared" si="116"/>
        <v>Positive</v>
      </c>
    </row>
    <row r="2460" spans="1:16" x14ac:dyDescent="0.3">
      <c r="A2460" s="1">
        <v>45813</v>
      </c>
      <c r="B2460">
        <v>125.05</v>
      </c>
      <c r="C2460">
        <v>28172000</v>
      </c>
      <c r="D2460">
        <v>0.8</v>
      </c>
      <c r="E2460">
        <v>83</v>
      </c>
      <c r="F2460">
        <v>3.07</v>
      </c>
      <c r="G2460">
        <v>0.14660000000000001</v>
      </c>
      <c r="H2460">
        <v>0</v>
      </c>
      <c r="J2460">
        <v>1</v>
      </c>
      <c r="K2460">
        <f>YEAR(NetflixData[[#This Row],[date]])</f>
        <v>2025</v>
      </c>
      <c r="L2460" t="str">
        <f>TEXT(NetflixData[[#This Row],[date]],"mmm")</f>
        <v>Jun</v>
      </c>
      <c r="M2460" t="str">
        <f>TEXT(NetflixData[[#This Row],[date]],"mmm yyyy")</f>
        <v>Jun 2025</v>
      </c>
      <c r="N2460" t="str">
        <f t="shared" si="114"/>
        <v>Trading Day</v>
      </c>
      <c r="O2460" t="str">
        <f t="shared" si="115"/>
        <v>Positive</v>
      </c>
      <c r="P2460" t="str">
        <f t="shared" si="116"/>
        <v>Positive</v>
      </c>
    </row>
    <row r="2461" spans="1:16" x14ac:dyDescent="0.3">
      <c r="A2461" s="1">
        <v>45814</v>
      </c>
      <c r="B2461">
        <v>124.15</v>
      </c>
      <c r="C2461">
        <v>25570000</v>
      </c>
      <c r="D2461">
        <v>-1.4239999999999999</v>
      </c>
      <c r="E2461">
        <v>64</v>
      </c>
      <c r="F2461">
        <v>3.11</v>
      </c>
      <c r="G2461">
        <v>0.2021</v>
      </c>
      <c r="H2461">
        <v>0</v>
      </c>
      <c r="J2461">
        <v>1</v>
      </c>
      <c r="K2461">
        <f>YEAR(NetflixData[[#This Row],[date]])</f>
        <v>2025</v>
      </c>
      <c r="L2461" t="str">
        <f>TEXT(NetflixData[[#This Row],[date]],"mmm")</f>
        <v>Jun</v>
      </c>
      <c r="M2461" t="str">
        <f>TEXT(NetflixData[[#This Row],[date]],"mmm yyyy")</f>
        <v>Jun 2025</v>
      </c>
      <c r="N2461" t="str">
        <f t="shared" si="114"/>
        <v>Non-Trading Day</v>
      </c>
      <c r="O2461" t="str">
        <f t="shared" si="115"/>
        <v>Negative</v>
      </c>
      <c r="P2461" t="str">
        <f t="shared" si="116"/>
        <v>Positive</v>
      </c>
    </row>
    <row r="2462" spans="1:16" x14ac:dyDescent="0.3">
      <c r="A2462" s="1">
        <v>45815</v>
      </c>
      <c r="B2462">
        <v>124.15</v>
      </c>
      <c r="C2462">
        <v>0</v>
      </c>
      <c r="D2462">
        <v>0</v>
      </c>
      <c r="E2462">
        <v>76</v>
      </c>
      <c r="F2462">
        <v>3.39</v>
      </c>
      <c r="G2462">
        <v>0.22989999999999999</v>
      </c>
      <c r="H2462">
        <v>0</v>
      </c>
      <c r="J2462">
        <v>0</v>
      </c>
      <c r="K2462">
        <f>YEAR(NetflixData[[#This Row],[date]])</f>
        <v>2025</v>
      </c>
      <c r="L2462" t="str">
        <f>TEXT(NetflixData[[#This Row],[date]],"mmm")</f>
        <v>Jun</v>
      </c>
      <c r="M2462" t="str">
        <f>TEXT(NetflixData[[#This Row],[date]],"mmm yyyy")</f>
        <v>Jun 2025</v>
      </c>
      <c r="N2462" t="str">
        <f t="shared" si="114"/>
        <v>Non-Trading Day</v>
      </c>
      <c r="O2462" t="str">
        <f t="shared" si="115"/>
        <v>No Change</v>
      </c>
      <c r="P2462" t="str">
        <f t="shared" si="116"/>
        <v>Positive</v>
      </c>
    </row>
    <row r="2463" spans="1:16" x14ac:dyDescent="0.3">
      <c r="A2463" s="1">
        <v>45816</v>
      </c>
      <c r="B2463">
        <v>124.15</v>
      </c>
      <c r="C2463">
        <v>0</v>
      </c>
      <c r="D2463">
        <v>0</v>
      </c>
      <c r="E2463">
        <v>74</v>
      </c>
      <c r="F2463">
        <v>2.91</v>
      </c>
      <c r="G2463">
        <v>0.1144</v>
      </c>
      <c r="H2463">
        <v>0</v>
      </c>
      <c r="J2463">
        <v>0</v>
      </c>
      <c r="K2463">
        <f>YEAR(NetflixData[[#This Row],[date]])</f>
        <v>2025</v>
      </c>
      <c r="L2463" t="str">
        <f>TEXT(NetflixData[[#This Row],[date]],"mmm")</f>
        <v>Jun</v>
      </c>
      <c r="M2463" t="str">
        <f>TEXT(NetflixData[[#This Row],[date]],"mmm yyyy")</f>
        <v>Jun 2025</v>
      </c>
      <c r="N2463" t="str">
        <f t="shared" si="114"/>
        <v>Trading Day</v>
      </c>
      <c r="O2463" t="str">
        <f t="shared" si="115"/>
        <v>No Change</v>
      </c>
      <c r="P2463" t="str">
        <f t="shared" si="116"/>
        <v>Positive</v>
      </c>
    </row>
    <row r="2464" spans="1:16" x14ac:dyDescent="0.3">
      <c r="A2464" s="1">
        <v>45817</v>
      </c>
      <c r="B2464">
        <v>122.45</v>
      </c>
      <c r="C2464">
        <v>24031000</v>
      </c>
      <c r="D2464">
        <v>-1.1639999999999999</v>
      </c>
      <c r="E2464">
        <v>66</v>
      </c>
      <c r="F2464">
        <v>3.26</v>
      </c>
      <c r="G2464">
        <v>0.1938</v>
      </c>
      <c r="H2464">
        <v>0</v>
      </c>
      <c r="J2464">
        <v>1</v>
      </c>
      <c r="K2464">
        <f>YEAR(NetflixData[[#This Row],[date]])</f>
        <v>2025</v>
      </c>
      <c r="L2464" t="str">
        <f>TEXT(NetflixData[[#This Row],[date]],"mmm")</f>
        <v>Jun</v>
      </c>
      <c r="M2464" t="str">
        <f>TEXT(NetflixData[[#This Row],[date]],"mmm yyyy")</f>
        <v>Jun 2025</v>
      </c>
      <c r="N2464" t="str">
        <f t="shared" si="114"/>
        <v>Trading Day</v>
      </c>
      <c r="O2464" t="str">
        <f t="shared" si="115"/>
        <v>Negative</v>
      </c>
      <c r="P2464" t="str">
        <f t="shared" si="116"/>
        <v>Positive</v>
      </c>
    </row>
    <row r="2465" spans="1:16" x14ac:dyDescent="0.3">
      <c r="A2465" s="1">
        <v>45818</v>
      </c>
      <c r="B2465">
        <v>120.36</v>
      </c>
      <c r="C2465">
        <v>44544000</v>
      </c>
      <c r="D2465">
        <v>-1.9470000000000001</v>
      </c>
      <c r="E2465">
        <v>51</v>
      </c>
      <c r="F2465">
        <v>3.29</v>
      </c>
      <c r="G2465">
        <v>0.14510000000000001</v>
      </c>
      <c r="H2465">
        <v>0</v>
      </c>
      <c r="J2465">
        <v>1</v>
      </c>
      <c r="K2465">
        <f>YEAR(NetflixData[[#This Row],[date]])</f>
        <v>2025</v>
      </c>
      <c r="L2465" t="str">
        <f>TEXT(NetflixData[[#This Row],[date]],"mmm")</f>
        <v>Jun</v>
      </c>
      <c r="M2465" t="str">
        <f>TEXT(NetflixData[[#This Row],[date]],"mmm yyyy")</f>
        <v>Jun 2025</v>
      </c>
      <c r="N2465" t="str">
        <f t="shared" si="114"/>
        <v>Trading Day</v>
      </c>
      <c r="O2465" t="str">
        <f t="shared" si="115"/>
        <v>Negative</v>
      </c>
      <c r="P2465" t="str">
        <f t="shared" si="116"/>
        <v>Positive</v>
      </c>
    </row>
    <row r="2466" spans="1:16" x14ac:dyDescent="0.3">
      <c r="A2466" s="1">
        <v>45819</v>
      </c>
      <c r="B2466">
        <v>121.99</v>
      </c>
      <c r="C2466">
        <v>23823000</v>
      </c>
      <c r="D2466">
        <v>1.4370000000000001</v>
      </c>
      <c r="E2466">
        <v>84</v>
      </c>
      <c r="F2466">
        <v>3.26</v>
      </c>
      <c r="G2466">
        <v>5.4199999999999998E-2</v>
      </c>
      <c r="H2466">
        <v>0</v>
      </c>
      <c r="J2466">
        <v>1</v>
      </c>
      <c r="K2466">
        <f>YEAR(NetflixData[[#This Row],[date]])</f>
        <v>2025</v>
      </c>
      <c r="L2466" t="str">
        <f>TEXT(NetflixData[[#This Row],[date]],"mmm")</f>
        <v>Jun</v>
      </c>
      <c r="M2466" t="str">
        <f>TEXT(NetflixData[[#This Row],[date]],"mmm yyyy")</f>
        <v>Jun 2025</v>
      </c>
      <c r="N2466" t="str">
        <f t="shared" si="114"/>
        <v>Trading Day</v>
      </c>
      <c r="O2466" t="str">
        <f t="shared" si="115"/>
        <v>Positive</v>
      </c>
      <c r="P2466" t="str">
        <f t="shared" si="116"/>
        <v>Neutral</v>
      </c>
    </row>
    <row r="2467" spans="1:16" x14ac:dyDescent="0.3">
      <c r="A2467" s="1">
        <v>45820</v>
      </c>
      <c r="B2467">
        <v>121.5</v>
      </c>
      <c r="C2467">
        <v>20846000</v>
      </c>
      <c r="D2467">
        <v>-0.61799999999999999</v>
      </c>
      <c r="E2467">
        <v>78</v>
      </c>
      <c r="F2467">
        <v>3.06</v>
      </c>
      <c r="G2467">
        <v>0.15160000000000001</v>
      </c>
      <c r="H2467">
        <v>0</v>
      </c>
      <c r="J2467">
        <v>1</v>
      </c>
      <c r="K2467">
        <f>YEAR(NetflixData[[#This Row],[date]])</f>
        <v>2025</v>
      </c>
      <c r="L2467" t="str">
        <f>TEXT(NetflixData[[#This Row],[date]],"mmm")</f>
        <v>Jun</v>
      </c>
      <c r="M2467" t="str">
        <f>TEXT(NetflixData[[#This Row],[date]],"mmm yyyy")</f>
        <v>Jun 2025</v>
      </c>
      <c r="N2467" t="str">
        <f t="shared" si="114"/>
        <v>Trading Day</v>
      </c>
      <c r="O2467" t="str">
        <f t="shared" si="115"/>
        <v>Negative</v>
      </c>
      <c r="P2467" t="str">
        <f t="shared" si="116"/>
        <v>Positive</v>
      </c>
    </row>
    <row r="2468" spans="1:16" x14ac:dyDescent="0.3">
      <c r="A2468" s="1">
        <v>45821</v>
      </c>
      <c r="B2468">
        <v>121.21</v>
      </c>
      <c r="C2468">
        <v>22103000</v>
      </c>
      <c r="D2468">
        <v>0.46100000000000002</v>
      </c>
      <c r="E2468">
        <v>65</v>
      </c>
      <c r="F2468">
        <v>3.23</v>
      </c>
      <c r="G2468">
        <v>7.1300000000000002E-2</v>
      </c>
      <c r="H2468">
        <v>0</v>
      </c>
      <c r="J2468">
        <v>1</v>
      </c>
      <c r="K2468">
        <f>YEAR(NetflixData[[#This Row],[date]])</f>
        <v>2025</v>
      </c>
      <c r="L2468" t="str">
        <f>TEXT(NetflixData[[#This Row],[date]],"mmm")</f>
        <v>Jun</v>
      </c>
      <c r="M2468" t="str">
        <f>TEXT(NetflixData[[#This Row],[date]],"mmm yyyy")</f>
        <v>Jun 2025</v>
      </c>
      <c r="N2468" t="str">
        <f t="shared" si="114"/>
        <v>Non-Trading Day</v>
      </c>
      <c r="O2468" t="str">
        <f t="shared" si="115"/>
        <v>Positive</v>
      </c>
      <c r="P2468" t="str">
        <f t="shared" si="116"/>
        <v>Neutral</v>
      </c>
    </row>
    <row r="2469" spans="1:16" x14ac:dyDescent="0.3">
      <c r="A2469" s="1">
        <v>45822</v>
      </c>
      <c r="B2469">
        <v>121.21</v>
      </c>
      <c r="C2469">
        <v>0</v>
      </c>
      <c r="D2469">
        <v>0</v>
      </c>
      <c r="E2469">
        <v>66</v>
      </c>
      <c r="F2469">
        <v>3.05</v>
      </c>
      <c r="G2469">
        <v>0.19309999999999999</v>
      </c>
      <c r="H2469">
        <v>0</v>
      </c>
      <c r="J2469">
        <v>0</v>
      </c>
      <c r="K2469">
        <f>YEAR(NetflixData[[#This Row],[date]])</f>
        <v>2025</v>
      </c>
      <c r="L2469" t="str">
        <f>TEXT(NetflixData[[#This Row],[date]],"mmm")</f>
        <v>Jun</v>
      </c>
      <c r="M2469" t="str">
        <f>TEXT(NetflixData[[#This Row],[date]],"mmm yyyy")</f>
        <v>Jun 2025</v>
      </c>
      <c r="N2469" t="str">
        <f t="shared" si="114"/>
        <v>Non-Trading Day</v>
      </c>
      <c r="O2469" t="str">
        <f t="shared" si="115"/>
        <v>No Change</v>
      </c>
      <c r="P2469" t="str">
        <f t="shared" si="116"/>
        <v>Positive</v>
      </c>
    </row>
    <row r="2470" spans="1:16" x14ac:dyDescent="0.3">
      <c r="A2470" s="1">
        <v>45823</v>
      </c>
      <c r="B2470">
        <v>121.21</v>
      </c>
      <c r="C2470">
        <v>0</v>
      </c>
      <c r="D2470">
        <v>0</v>
      </c>
      <c r="E2470">
        <v>80</v>
      </c>
      <c r="F2470">
        <v>3.21</v>
      </c>
      <c r="G2470">
        <v>0.17169999999999999</v>
      </c>
      <c r="H2470">
        <v>0</v>
      </c>
      <c r="J2470">
        <v>0</v>
      </c>
      <c r="K2470">
        <f>YEAR(NetflixData[[#This Row],[date]])</f>
        <v>2025</v>
      </c>
      <c r="L2470" t="str">
        <f>TEXT(NetflixData[[#This Row],[date]],"mmm")</f>
        <v>Jun</v>
      </c>
      <c r="M2470" t="str">
        <f>TEXT(NetflixData[[#This Row],[date]],"mmm yyyy")</f>
        <v>Jun 2025</v>
      </c>
      <c r="N2470" t="str">
        <f t="shared" si="114"/>
        <v>Trading Day</v>
      </c>
      <c r="O2470" t="str">
        <f t="shared" si="115"/>
        <v>No Change</v>
      </c>
      <c r="P2470" t="str">
        <f t="shared" si="116"/>
        <v>Positive</v>
      </c>
    </row>
    <row r="2471" spans="1:16" x14ac:dyDescent="0.3">
      <c r="A2471" s="1">
        <v>45824</v>
      </c>
      <c r="B2471">
        <v>122.54</v>
      </c>
      <c r="C2471">
        <v>21128000</v>
      </c>
      <c r="D2471">
        <v>1.085</v>
      </c>
      <c r="E2471">
        <v>54</v>
      </c>
      <c r="F2471">
        <v>2.8</v>
      </c>
      <c r="G2471">
        <v>0.1208</v>
      </c>
      <c r="H2471">
        <v>0</v>
      </c>
      <c r="J2471">
        <v>1</v>
      </c>
      <c r="K2471">
        <f>YEAR(NetflixData[[#This Row],[date]])</f>
        <v>2025</v>
      </c>
      <c r="L2471" t="str">
        <f>TEXT(NetflixData[[#This Row],[date]],"mmm")</f>
        <v>Jun</v>
      </c>
      <c r="M2471" t="str">
        <f>TEXT(NetflixData[[#This Row],[date]],"mmm yyyy")</f>
        <v>Jun 2025</v>
      </c>
      <c r="N2471" t="str">
        <f t="shared" si="114"/>
        <v>Trading Day</v>
      </c>
      <c r="O2471" t="str">
        <f t="shared" si="115"/>
        <v>Positive</v>
      </c>
      <c r="P2471" t="str">
        <f t="shared" si="116"/>
        <v>Positive</v>
      </c>
    </row>
    <row r="2472" spans="1:16" x14ac:dyDescent="0.3">
      <c r="A2472" s="1">
        <v>45825</v>
      </c>
      <c r="B2472">
        <v>122.07</v>
      </c>
      <c r="C2472">
        <v>18921000</v>
      </c>
      <c r="D2472">
        <v>5.8999999999999997E-2</v>
      </c>
      <c r="E2472">
        <v>73</v>
      </c>
      <c r="F2472">
        <v>3.01</v>
      </c>
      <c r="G2472">
        <v>0.20380000000000001</v>
      </c>
      <c r="H2472">
        <v>0</v>
      </c>
      <c r="J2472">
        <v>1</v>
      </c>
      <c r="K2472">
        <f>YEAR(NetflixData[[#This Row],[date]])</f>
        <v>2025</v>
      </c>
      <c r="L2472" t="str">
        <f>TEXT(NetflixData[[#This Row],[date]],"mmm")</f>
        <v>Jun</v>
      </c>
      <c r="M2472" t="str">
        <f>TEXT(NetflixData[[#This Row],[date]],"mmm yyyy")</f>
        <v>Jun 2025</v>
      </c>
      <c r="N2472" t="str">
        <f t="shared" si="114"/>
        <v>Trading Day</v>
      </c>
      <c r="O2472" t="str">
        <f t="shared" si="115"/>
        <v>Positive</v>
      </c>
      <c r="P2472" t="str">
        <f t="shared" si="116"/>
        <v>Positive</v>
      </c>
    </row>
    <row r="2473" spans="1:16" x14ac:dyDescent="0.3">
      <c r="A2473" s="1">
        <v>45826</v>
      </c>
      <c r="B2473">
        <v>122.23</v>
      </c>
      <c r="C2473">
        <v>22810000</v>
      </c>
      <c r="D2473">
        <v>-0.626</v>
      </c>
      <c r="E2473">
        <v>71</v>
      </c>
      <c r="F2473">
        <v>3.18</v>
      </c>
      <c r="G2473">
        <v>0.1482</v>
      </c>
      <c r="H2473">
        <v>0</v>
      </c>
      <c r="J2473">
        <v>1</v>
      </c>
      <c r="K2473">
        <f>YEAR(NetflixData[[#This Row],[date]])</f>
        <v>2025</v>
      </c>
      <c r="L2473" t="str">
        <f>TEXT(NetflixData[[#This Row],[date]],"mmm")</f>
        <v>Jun</v>
      </c>
      <c r="M2473" t="str">
        <f>TEXT(NetflixData[[#This Row],[date]],"mmm yyyy")</f>
        <v>Jun 2025</v>
      </c>
      <c r="N2473" t="str">
        <f t="shared" si="114"/>
        <v>Non-Trading Day</v>
      </c>
      <c r="O2473" t="str">
        <f t="shared" si="115"/>
        <v>Negative</v>
      </c>
      <c r="P2473" t="str">
        <f t="shared" si="116"/>
        <v>Positive</v>
      </c>
    </row>
    <row r="2474" spans="1:16" x14ac:dyDescent="0.3">
      <c r="A2474" s="1">
        <v>45827</v>
      </c>
      <c r="B2474">
        <v>122.23</v>
      </c>
      <c r="C2474">
        <v>0</v>
      </c>
      <c r="D2474">
        <v>0</v>
      </c>
      <c r="E2474">
        <v>63</v>
      </c>
      <c r="F2474">
        <v>2.68</v>
      </c>
      <c r="G2474">
        <v>0.1484</v>
      </c>
      <c r="H2474">
        <v>0</v>
      </c>
      <c r="J2474">
        <v>0</v>
      </c>
      <c r="K2474">
        <f>YEAR(NetflixData[[#This Row],[date]])</f>
        <v>2025</v>
      </c>
      <c r="L2474" t="str">
        <f>TEXT(NetflixData[[#This Row],[date]],"mmm")</f>
        <v>Jun</v>
      </c>
      <c r="M2474" t="str">
        <f>TEXT(NetflixData[[#This Row],[date]],"mmm yyyy")</f>
        <v>Jun 2025</v>
      </c>
      <c r="N2474" t="str">
        <f t="shared" si="114"/>
        <v>Trading Day</v>
      </c>
      <c r="O2474" t="str">
        <f t="shared" si="115"/>
        <v>No Change</v>
      </c>
      <c r="P2474" t="str">
        <f t="shared" si="116"/>
        <v>Positive</v>
      </c>
    </row>
    <row r="2475" spans="1:16" x14ac:dyDescent="0.3">
      <c r="A2475" s="1">
        <v>45828</v>
      </c>
      <c r="B2475">
        <v>123.14</v>
      </c>
      <c r="C2475">
        <v>53482000</v>
      </c>
      <c r="D2475">
        <v>-0.246</v>
      </c>
      <c r="E2475">
        <v>60</v>
      </c>
      <c r="F2475">
        <v>3.1</v>
      </c>
      <c r="G2475">
        <v>0.2442</v>
      </c>
      <c r="H2475">
        <v>0</v>
      </c>
      <c r="J2475">
        <v>1</v>
      </c>
      <c r="K2475">
        <f>YEAR(NetflixData[[#This Row],[date]])</f>
        <v>2025</v>
      </c>
      <c r="L2475" t="str">
        <f>TEXT(NetflixData[[#This Row],[date]],"mmm")</f>
        <v>Jun</v>
      </c>
      <c r="M2475" t="str">
        <f>TEXT(NetflixData[[#This Row],[date]],"mmm yyyy")</f>
        <v>Jun 2025</v>
      </c>
      <c r="N2475" t="str">
        <f t="shared" si="114"/>
        <v>Non-Trading Day</v>
      </c>
      <c r="O2475" t="str">
        <f t="shared" si="115"/>
        <v>Negative</v>
      </c>
      <c r="P2475" t="str">
        <f t="shared" si="116"/>
        <v>Positive</v>
      </c>
    </row>
    <row r="2476" spans="1:16" x14ac:dyDescent="0.3">
      <c r="A2476" s="1">
        <v>45829</v>
      </c>
      <c r="B2476">
        <v>123.14</v>
      </c>
      <c r="C2476">
        <v>0</v>
      </c>
      <c r="D2476">
        <v>0</v>
      </c>
      <c r="E2476">
        <v>62</v>
      </c>
      <c r="F2476">
        <v>3.32</v>
      </c>
      <c r="G2476">
        <v>0.2535</v>
      </c>
      <c r="H2476">
        <v>0</v>
      </c>
      <c r="J2476">
        <v>0</v>
      </c>
      <c r="K2476">
        <f>YEAR(NetflixData[[#This Row],[date]])</f>
        <v>2025</v>
      </c>
      <c r="L2476" t="str">
        <f>TEXT(NetflixData[[#This Row],[date]],"mmm")</f>
        <v>Jun</v>
      </c>
      <c r="M2476" t="str">
        <f>TEXT(NetflixData[[#This Row],[date]],"mmm yyyy")</f>
        <v>Jun 2025</v>
      </c>
      <c r="N2476" t="str">
        <f t="shared" si="114"/>
        <v>Non-Trading Day</v>
      </c>
      <c r="O2476" t="str">
        <f t="shared" si="115"/>
        <v>No Change</v>
      </c>
      <c r="P2476" t="str">
        <f t="shared" si="116"/>
        <v>Positive</v>
      </c>
    </row>
    <row r="2477" spans="1:16" x14ac:dyDescent="0.3">
      <c r="A2477" s="1">
        <v>45830</v>
      </c>
      <c r="B2477">
        <v>123.14</v>
      </c>
      <c r="C2477">
        <v>0</v>
      </c>
      <c r="D2477">
        <v>0</v>
      </c>
      <c r="E2477">
        <v>71</v>
      </c>
      <c r="F2477">
        <v>2.9</v>
      </c>
      <c r="G2477">
        <v>8.9399999999999993E-2</v>
      </c>
      <c r="H2477">
        <v>0</v>
      </c>
      <c r="J2477">
        <v>0</v>
      </c>
      <c r="K2477">
        <f>YEAR(NetflixData[[#This Row],[date]])</f>
        <v>2025</v>
      </c>
      <c r="L2477" t="str">
        <f>TEXT(NetflixData[[#This Row],[date]],"mmm")</f>
        <v>Jun</v>
      </c>
      <c r="M2477" t="str">
        <f>TEXT(NetflixData[[#This Row],[date]],"mmm yyyy")</f>
        <v>Jun 2025</v>
      </c>
      <c r="N2477" t="str">
        <f t="shared" si="114"/>
        <v>Trading Day</v>
      </c>
      <c r="O2477" t="str">
        <f t="shared" si="115"/>
        <v>No Change</v>
      </c>
      <c r="P2477" t="str">
        <f t="shared" si="116"/>
        <v>Neutral</v>
      </c>
    </row>
    <row r="2478" spans="1:16" x14ac:dyDescent="0.3">
      <c r="A2478" s="1">
        <v>45831</v>
      </c>
      <c r="B2478">
        <v>125.35</v>
      </c>
      <c r="C2478">
        <v>26673000</v>
      </c>
      <c r="D2478">
        <v>1.2529999999999999</v>
      </c>
      <c r="E2478">
        <v>84</v>
      </c>
      <c r="F2478">
        <v>2.92</v>
      </c>
      <c r="G2478">
        <v>0.16569999999999999</v>
      </c>
      <c r="H2478">
        <v>0</v>
      </c>
      <c r="J2478">
        <v>1</v>
      </c>
      <c r="K2478">
        <f>YEAR(NetflixData[[#This Row],[date]])</f>
        <v>2025</v>
      </c>
      <c r="L2478" t="str">
        <f>TEXT(NetflixData[[#This Row],[date]],"mmm")</f>
        <v>Jun</v>
      </c>
      <c r="M2478" t="str">
        <f>TEXT(NetflixData[[#This Row],[date]],"mmm yyyy")</f>
        <v>Jun 2025</v>
      </c>
      <c r="N2478" t="str">
        <f t="shared" si="114"/>
        <v>Trading Day</v>
      </c>
      <c r="O2478" t="str">
        <f t="shared" si="115"/>
        <v>Positive</v>
      </c>
      <c r="P2478" t="str">
        <f t="shared" si="116"/>
        <v>Positive</v>
      </c>
    </row>
    <row r="2479" spans="1:16" x14ac:dyDescent="0.3">
      <c r="A2479" s="1">
        <v>45832</v>
      </c>
      <c r="B2479">
        <v>127.91</v>
      </c>
      <c r="C2479">
        <v>26633000</v>
      </c>
      <c r="D2479">
        <v>1.472</v>
      </c>
      <c r="E2479">
        <v>68</v>
      </c>
      <c r="F2479">
        <v>3.31</v>
      </c>
      <c r="G2479">
        <v>0.2283</v>
      </c>
      <c r="H2479">
        <v>0</v>
      </c>
      <c r="J2479">
        <v>1</v>
      </c>
      <c r="K2479">
        <f>YEAR(NetflixData[[#This Row],[date]])</f>
        <v>2025</v>
      </c>
      <c r="L2479" t="str">
        <f>TEXT(NetflixData[[#This Row],[date]],"mmm")</f>
        <v>Jun</v>
      </c>
      <c r="M2479" t="str">
        <f>TEXT(NetflixData[[#This Row],[date]],"mmm yyyy")</f>
        <v>Jun 2025</v>
      </c>
      <c r="N2479" t="str">
        <f t="shared" si="114"/>
        <v>Trading Day</v>
      </c>
      <c r="O2479" t="str">
        <f t="shared" si="115"/>
        <v>Positive</v>
      </c>
      <c r="P2479" t="str">
        <f t="shared" si="116"/>
        <v>Positive</v>
      </c>
    </row>
    <row r="2480" spans="1:16" x14ac:dyDescent="0.3">
      <c r="A2480" s="1">
        <v>45833</v>
      </c>
      <c r="B2480">
        <v>127.53</v>
      </c>
      <c r="C2480">
        <v>21465000</v>
      </c>
      <c r="D2480">
        <v>-0.90100000000000002</v>
      </c>
      <c r="E2480">
        <v>48</v>
      </c>
      <c r="F2480">
        <v>3.15</v>
      </c>
      <c r="G2480">
        <v>0.20349999999999999</v>
      </c>
      <c r="H2480">
        <v>0</v>
      </c>
      <c r="J2480">
        <v>1</v>
      </c>
      <c r="K2480">
        <f>YEAR(NetflixData[[#This Row],[date]])</f>
        <v>2025</v>
      </c>
      <c r="L2480" t="str">
        <f>TEXT(NetflixData[[#This Row],[date]],"mmm")</f>
        <v>Jun</v>
      </c>
      <c r="M2480" t="str">
        <f>TEXT(NetflixData[[#This Row],[date]],"mmm yyyy")</f>
        <v>Jun 2025</v>
      </c>
      <c r="N2480" t="str">
        <f t="shared" si="114"/>
        <v>Trading Day</v>
      </c>
      <c r="O2480" t="str">
        <f t="shared" si="115"/>
        <v>Negative</v>
      </c>
      <c r="P2480" t="str">
        <f t="shared" si="116"/>
        <v>Positive</v>
      </c>
    </row>
    <row r="2481" spans="1:16" x14ac:dyDescent="0.3">
      <c r="A2481" s="1">
        <v>45834</v>
      </c>
      <c r="B2481">
        <v>130.66999999999999</v>
      </c>
      <c r="C2481">
        <v>26059000</v>
      </c>
      <c r="D2481">
        <v>2.0840000000000001</v>
      </c>
      <c r="E2481">
        <v>69</v>
      </c>
      <c r="F2481">
        <v>3.67</v>
      </c>
      <c r="G2481">
        <v>0.26269999999999999</v>
      </c>
      <c r="H2481">
        <v>0</v>
      </c>
      <c r="J2481">
        <v>1</v>
      </c>
      <c r="K2481">
        <f>YEAR(NetflixData[[#This Row],[date]])</f>
        <v>2025</v>
      </c>
      <c r="L2481" t="str">
        <f>TEXT(NetflixData[[#This Row],[date]],"mmm")</f>
        <v>Jun</v>
      </c>
      <c r="M2481" t="str">
        <f>TEXT(NetflixData[[#This Row],[date]],"mmm yyyy")</f>
        <v>Jun 2025</v>
      </c>
      <c r="N2481" t="str">
        <f t="shared" si="114"/>
        <v>Trading Day</v>
      </c>
      <c r="O2481" t="str">
        <f t="shared" si="115"/>
        <v>Positive</v>
      </c>
      <c r="P2481" t="str">
        <f t="shared" si="116"/>
        <v>Positive</v>
      </c>
    </row>
    <row r="2482" spans="1:16" x14ac:dyDescent="0.3">
      <c r="A2482" s="1">
        <v>45835</v>
      </c>
      <c r="B2482">
        <v>132.31</v>
      </c>
      <c r="C2482">
        <v>40709000</v>
      </c>
      <c r="D2482">
        <v>1.2430000000000001</v>
      </c>
      <c r="E2482">
        <v>2</v>
      </c>
      <c r="F2482">
        <v>3</v>
      </c>
      <c r="G2482">
        <v>-0.4506</v>
      </c>
      <c r="H2482">
        <v>0</v>
      </c>
      <c r="J2482">
        <v>1</v>
      </c>
      <c r="K2482">
        <f>YEAR(NetflixData[[#This Row],[date]])</f>
        <v>2025</v>
      </c>
      <c r="L2482" t="str">
        <f>TEXT(NetflixData[[#This Row],[date]],"mmm")</f>
        <v>Jun</v>
      </c>
      <c r="M2482" t="str">
        <f>TEXT(NetflixData[[#This Row],[date]],"mmm yyyy")</f>
        <v>Jun 2025</v>
      </c>
      <c r="N2482" t="str">
        <f t="shared" si="114"/>
        <v>Non-Trading Day</v>
      </c>
      <c r="O2482" t="str">
        <f t="shared" si="115"/>
        <v>Positive</v>
      </c>
      <c r="P2482" t="str">
        <f t="shared" si="116"/>
        <v>Negative</v>
      </c>
    </row>
    <row r="2483" spans="1:16" x14ac:dyDescent="0.3">
      <c r="A2483" s="1">
        <v>45836</v>
      </c>
      <c r="B2483">
        <v>132.31</v>
      </c>
      <c r="C2483">
        <v>0</v>
      </c>
      <c r="D2483">
        <v>0</v>
      </c>
      <c r="E2483">
        <v>0</v>
      </c>
      <c r="H2483">
        <v>0</v>
      </c>
      <c r="J2483">
        <v>0</v>
      </c>
      <c r="K2483">
        <f>YEAR(NetflixData[[#This Row],[date]])</f>
        <v>2025</v>
      </c>
      <c r="L2483" t="str">
        <f>TEXT(NetflixData[[#This Row],[date]],"mmm")</f>
        <v>Jun</v>
      </c>
      <c r="M2483" t="str">
        <f>TEXT(NetflixData[[#This Row],[date]],"mmm yyyy")</f>
        <v>Jun 2025</v>
      </c>
      <c r="N2483" t="str">
        <f t="shared" si="114"/>
        <v>Non-Trading Day</v>
      </c>
      <c r="O2483" t="str">
        <f t="shared" si="115"/>
        <v>No Change</v>
      </c>
      <c r="P2483" t="str">
        <f t="shared" si="116"/>
        <v>Neutral</v>
      </c>
    </row>
    <row r="2484" spans="1:16" x14ac:dyDescent="0.3">
      <c r="A2484" s="1">
        <v>45837</v>
      </c>
      <c r="B2484">
        <v>132.31</v>
      </c>
      <c r="C2484">
        <v>0</v>
      </c>
      <c r="D2484">
        <v>0</v>
      </c>
      <c r="E2484">
        <v>0</v>
      </c>
      <c r="H2484">
        <v>0</v>
      </c>
      <c r="J2484">
        <v>0</v>
      </c>
      <c r="K2484">
        <f>YEAR(NetflixData[[#This Row],[date]])</f>
        <v>2025</v>
      </c>
      <c r="L2484" t="str">
        <f>TEXT(NetflixData[[#This Row],[date]],"mmm")</f>
        <v>Jun</v>
      </c>
      <c r="M2484" t="str">
        <f>TEXT(NetflixData[[#This Row],[date]],"mmm yyyy")</f>
        <v>Jun 2025</v>
      </c>
      <c r="N2484" t="str">
        <f t="shared" si="114"/>
        <v>Trading Day</v>
      </c>
      <c r="O2484" t="str">
        <f t="shared" si="115"/>
        <v>No Change</v>
      </c>
      <c r="P2484" t="str">
        <f t="shared" si="116"/>
        <v>Neutral</v>
      </c>
    </row>
    <row r="2485" spans="1:16" x14ac:dyDescent="0.3">
      <c r="A2485" s="1">
        <v>45838</v>
      </c>
      <c r="B2485">
        <v>133.91</v>
      </c>
      <c r="C2485">
        <v>32829000</v>
      </c>
      <c r="D2485">
        <v>0.61099999999999999</v>
      </c>
      <c r="E2485">
        <v>1</v>
      </c>
      <c r="F2485">
        <v>3</v>
      </c>
      <c r="G2485">
        <v>-0.75790000000000002</v>
      </c>
      <c r="H2485">
        <v>0</v>
      </c>
      <c r="J2485">
        <v>1</v>
      </c>
      <c r="K2485">
        <f>YEAR(NetflixData[[#This Row],[date]])</f>
        <v>2025</v>
      </c>
      <c r="L2485" t="str">
        <f>TEXT(NetflixData[[#This Row],[date]],"mmm")</f>
        <v>Jun</v>
      </c>
      <c r="M2485" t="str">
        <f>TEXT(NetflixData[[#This Row],[date]],"mmm yyyy")</f>
        <v>Jun 2025</v>
      </c>
      <c r="N2485" t="str">
        <f t="shared" si="114"/>
        <v>Trading Day</v>
      </c>
      <c r="O2485" t="str">
        <f t="shared" si="115"/>
        <v>Positive</v>
      </c>
      <c r="P2485" t="str">
        <f t="shared" si="116"/>
        <v>Negative</v>
      </c>
    </row>
    <row r="2486" spans="1:16" x14ac:dyDescent="0.3">
      <c r="A2486" s="1">
        <v>45839</v>
      </c>
      <c r="B2486">
        <v>129.36000000000001</v>
      </c>
      <c r="C2486">
        <v>49936000</v>
      </c>
      <c r="D2486">
        <v>-3.335</v>
      </c>
      <c r="E2486">
        <v>1</v>
      </c>
      <c r="F2486">
        <v>5</v>
      </c>
      <c r="G2486">
        <v>0</v>
      </c>
      <c r="H2486">
        <v>0</v>
      </c>
      <c r="J2486">
        <v>1</v>
      </c>
      <c r="K2486">
        <f>YEAR(NetflixData[[#This Row],[date]])</f>
        <v>2025</v>
      </c>
      <c r="L2486" t="str">
        <f>TEXT(NetflixData[[#This Row],[date]],"mmm")</f>
        <v>Jul</v>
      </c>
      <c r="M2486" t="str">
        <f>TEXT(NetflixData[[#This Row],[date]],"mmm yyyy")</f>
        <v>Jul 2025</v>
      </c>
      <c r="N2486" t="str">
        <f t="shared" si="114"/>
        <v>Trading Day</v>
      </c>
      <c r="O2486" t="str">
        <f t="shared" si="115"/>
        <v>Negative</v>
      </c>
      <c r="P2486" t="str">
        <f t="shared" si="116"/>
        <v>Neutral</v>
      </c>
    </row>
    <row r="2487" spans="1:16" x14ac:dyDescent="0.3">
      <c r="A2487" s="1">
        <v>45840</v>
      </c>
      <c r="B2487">
        <v>128.49</v>
      </c>
      <c r="C2487">
        <v>30488000</v>
      </c>
      <c r="D2487">
        <v>-0.93300000000000005</v>
      </c>
      <c r="E2487">
        <v>0</v>
      </c>
      <c r="H2487">
        <v>0</v>
      </c>
      <c r="J2487">
        <v>1</v>
      </c>
      <c r="K2487">
        <f>YEAR(NetflixData[[#This Row],[date]])</f>
        <v>2025</v>
      </c>
      <c r="L2487" t="str">
        <f>TEXT(NetflixData[[#This Row],[date]],"mmm")</f>
        <v>Jul</v>
      </c>
      <c r="M2487" t="str">
        <f>TEXT(NetflixData[[#This Row],[date]],"mmm yyyy")</f>
        <v>Jul 2025</v>
      </c>
      <c r="N2487" t="str">
        <f t="shared" si="114"/>
        <v>Trading Day</v>
      </c>
      <c r="O2487" t="str">
        <f t="shared" si="115"/>
        <v>Negative</v>
      </c>
      <c r="P2487" t="str">
        <f t="shared" si="116"/>
        <v>Neutral</v>
      </c>
    </row>
    <row r="2488" spans="1:16" x14ac:dyDescent="0.3">
      <c r="A2488" s="1">
        <v>45841</v>
      </c>
      <c r="B2488">
        <v>129.72</v>
      </c>
      <c r="C2488">
        <v>20062000</v>
      </c>
      <c r="D2488">
        <v>0.40100000000000002</v>
      </c>
      <c r="E2488">
        <v>0</v>
      </c>
      <c r="H2488">
        <v>0</v>
      </c>
      <c r="J2488">
        <v>1</v>
      </c>
      <c r="K2488">
        <f>YEAR(NetflixData[[#This Row],[date]])</f>
        <v>2025</v>
      </c>
      <c r="L2488" t="str">
        <f>TEXT(NetflixData[[#This Row],[date]],"mmm")</f>
        <v>Jul</v>
      </c>
      <c r="M2488" t="str">
        <f>TEXT(NetflixData[[#This Row],[date]],"mmm yyyy")</f>
        <v>Jul 2025</v>
      </c>
      <c r="N2488" t="str">
        <f t="shared" si="114"/>
        <v>Non-Trading Day</v>
      </c>
      <c r="O2488" t="str">
        <f t="shared" si="115"/>
        <v>Positive</v>
      </c>
      <c r="P2488" t="str">
        <f t="shared" si="116"/>
        <v>Neutral</v>
      </c>
    </row>
    <row r="2489" spans="1:16" x14ac:dyDescent="0.3">
      <c r="A2489" s="1">
        <v>45842</v>
      </c>
      <c r="B2489">
        <v>129.72</v>
      </c>
      <c r="C2489">
        <v>0</v>
      </c>
      <c r="D2489">
        <v>0</v>
      </c>
      <c r="E2489">
        <v>1</v>
      </c>
      <c r="F2489">
        <v>1</v>
      </c>
      <c r="G2489">
        <v>-0.96779999999999999</v>
      </c>
      <c r="H2489">
        <v>0</v>
      </c>
      <c r="J2489">
        <v>0</v>
      </c>
      <c r="K2489">
        <f>YEAR(NetflixData[[#This Row],[date]])</f>
        <v>2025</v>
      </c>
      <c r="L2489" t="str">
        <f>TEXT(NetflixData[[#This Row],[date]],"mmm")</f>
        <v>Jul</v>
      </c>
      <c r="M2489" t="str">
        <f>TEXT(NetflixData[[#This Row],[date]],"mmm yyyy")</f>
        <v>Jul 2025</v>
      </c>
      <c r="N2489" t="str">
        <f t="shared" si="114"/>
        <v>Non-Trading Day</v>
      </c>
      <c r="O2489" t="str">
        <f t="shared" si="115"/>
        <v>No Change</v>
      </c>
      <c r="P2489" t="str">
        <f t="shared" si="116"/>
        <v>Negative</v>
      </c>
    </row>
    <row r="2490" spans="1:16" x14ac:dyDescent="0.3">
      <c r="A2490" s="1">
        <v>45843</v>
      </c>
      <c r="B2490">
        <v>129.72</v>
      </c>
      <c r="C2490">
        <v>0</v>
      </c>
      <c r="D2490">
        <v>0</v>
      </c>
      <c r="E2490">
        <v>1</v>
      </c>
      <c r="F2490">
        <v>5</v>
      </c>
      <c r="G2490">
        <v>0</v>
      </c>
      <c r="H2490">
        <v>0</v>
      </c>
      <c r="J2490">
        <v>0</v>
      </c>
      <c r="K2490">
        <f>YEAR(NetflixData[[#This Row],[date]])</f>
        <v>2025</v>
      </c>
      <c r="L2490" t="str">
        <f>TEXT(NetflixData[[#This Row],[date]],"mmm")</f>
        <v>Jul</v>
      </c>
      <c r="M2490" t="str">
        <f>TEXT(NetflixData[[#This Row],[date]],"mmm yyyy")</f>
        <v>Jul 2025</v>
      </c>
      <c r="N2490" t="str">
        <f t="shared" si="114"/>
        <v>Non-Trading Day</v>
      </c>
      <c r="O2490" t="str">
        <f t="shared" si="115"/>
        <v>No Change</v>
      </c>
      <c r="P2490" t="str">
        <f t="shared" si="116"/>
        <v>Neutral</v>
      </c>
    </row>
    <row r="2491" spans="1:16" x14ac:dyDescent="0.3">
      <c r="A2491" s="1">
        <v>45844</v>
      </c>
      <c r="B2491">
        <v>129.72</v>
      </c>
      <c r="C2491">
        <v>0</v>
      </c>
      <c r="D2491">
        <v>0</v>
      </c>
      <c r="E2491">
        <v>0</v>
      </c>
      <c r="H2491">
        <v>0</v>
      </c>
      <c r="J2491">
        <v>0</v>
      </c>
      <c r="K2491">
        <f>YEAR(NetflixData[[#This Row],[date]])</f>
        <v>2025</v>
      </c>
      <c r="L2491" t="str">
        <f>TEXT(NetflixData[[#This Row],[date]],"mmm")</f>
        <v>Jul</v>
      </c>
      <c r="M2491" t="str">
        <f>TEXT(NetflixData[[#This Row],[date]],"mmm yyyy")</f>
        <v>Jul 2025</v>
      </c>
      <c r="N2491" t="str">
        <f t="shared" si="114"/>
        <v>Trading Day</v>
      </c>
      <c r="O2491" t="str">
        <f t="shared" si="115"/>
        <v>No Change</v>
      </c>
      <c r="P2491" t="str">
        <f t="shared" si="116"/>
        <v>Neutral</v>
      </c>
    </row>
    <row r="2492" spans="1:16" x14ac:dyDescent="0.3">
      <c r="A2492" s="1">
        <v>45845</v>
      </c>
      <c r="B2492">
        <v>128.96</v>
      </c>
      <c r="C2492">
        <v>22737000</v>
      </c>
      <c r="D2492">
        <v>-0.41499999999999998</v>
      </c>
      <c r="E2492">
        <v>0</v>
      </c>
      <c r="H2492">
        <v>0</v>
      </c>
      <c r="J2492">
        <v>1</v>
      </c>
      <c r="K2492">
        <f>YEAR(NetflixData[[#This Row],[date]])</f>
        <v>2025</v>
      </c>
      <c r="L2492" t="str">
        <f>TEXT(NetflixData[[#This Row],[date]],"mmm")</f>
        <v>Jul</v>
      </c>
      <c r="M2492" t="str">
        <f>TEXT(NetflixData[[#This Row],[date]],"mmm yyyy")</f>
        <v>Jul 2025</v>
      </c>
      <c r="N2492" t="str">
        <f t="shared" si="114"/>
        <v>Trading Day</v>
      </c>
      <c r="O2492" t="str">
        <f t="shared" si="115"/>
        <v>Negative</v>
      </c>
      <c r="P2492" t="str">
        <f t="shared" si="116"/>
        <v>Neutral</v>
      </c>
    </row>
    <row r="2493" spans="1:16" x14ac:dyDescent="0.3">
      <c r="A2493" s="1">
        <v>45846</v>
      </c>
      <c r="B2493">
        <v>127.53</v>
      </c>
      <c r="C2493">
        <v>32925000</v>
      </c>
      <c r="D2493">
        <v>-1.208</v>
      </c>
      <c r="E2493">
        <v>0</v>
      </c>
      <c r="H2493">
        <v>0</v>
      </c>
      <c r="J2493">
        <v>1</v>
      </c>
      <c r="K2493">
        <f>YEAR(NetflixData[[#This Row],[date]])</f>
        <v>2025</v>
      </c>
      <c r="L2493" t="str">
        <f>TEXT(NetflixData[[#This Row],[date]],"mmm")</f>
        <v>Jul</v>
      </c>
      <c r="M2493" t="str">
        <f>TEXT(NetflixData[[#This Row],[date]],"mmm yyyy")</f>
        <v>Jul 2025</v>
      </c>
      <c r="N2493" t="str">
        <f t="shared" si="114"/>
        <v>Trading Day</v>
      </c>
      <c r="O2493" t="str">
        <f t="shared" si="115"/>
        <v>Negative</v>
      </c>
      <c r="P2493" t="str">
        <f t="shared" si="116"/>
        <v>Neutral</v>
      </c>
    </row>
    <row r="2494" spans="1:16" x14ac:dyDescent="0.3">
      <c r="A2494" s="1">
        <v>45847</v>
      </c>
      <c r="B2494">
        <v>128.83000000000001</v>
      </c>
      <c r="C2494">
        <v>23845000</v>
      </c>
      <c r="D2494">
        <v>1.1220000000000001</v>
      </c>
      <c r="E2494">
        <v>0</v>
      </c>
      <c r="H2494">
        <v>0</v>
      </c>
      <c r="J2494">
        <v>1</v>
      </c>
      <c r="K2494">
        <f>YEAR(NetflixData[[#This Row],[date]])</f>
        <v>2025</v>
      </c>
      <c r="L2494" t="str">
        <f>TEXT(NetflixData[[#This Row],[date]],"mmm")</f>
        <v>Jul</v>
      </c>
      <c r="M2494" t="str">
        <f>TEXT(NetflixData[[#This Row],[date]],"mmm yyyy")</f>
        <v>Jul 2025</v>
      </c>
      <c r="N2494" t="str">
        <f t="shared" si="114"/>
        <v>Trading Day</v>
      </c>
      <c r="O2494" t="str">
        <f t="shared" si="115"/>
        <v>Positive</v>
      </c>
      <c r="P2494" t="str">
        <f t="shared" si="116"/>
        <v>Neutral</v>
      </c>
    </row>
    <row r="2495" spans="1:16" x14ac:dyDescent="0.3">
      <c r="A2495" s="1">
        <v>45848</v>
      </c>
      <c r="B2495">
        <v>125.06</v>
      </c>
      <c r="C2495">
        <v>42308000</v>
      </c>
      <c r="D2495">
        <v>-2.7160000000000002</v>
      </c>
      <c r="E2495">
        <v>1</v>
      </c>
      <c r="F2495">
        <v>1</v>
      </c>
      <c r="G2495">
        <v>-0.42149999999999999</v>
      </c>
      <c r="H2495">
        <v>0</v>
      </c>
      <c r="J2495">
        <v>1</v>
      </c>
      <c r="K2495">
        <f>YEAR(NetflixData[[#This Row],[date]])</f>
        <v>2025</v>
      </c>
      <c r="L2495" t="str">
        <f>TEXT(NetflixData[[#This Row],[date]],"mmm")</f>
        <v>Jul</v>
      </c>
      <c r="M2495" t="str">
        <f>TEXT(NetflixData[[#This Row],[date]],"mmm yyyy")</f>
        <v>Jul 2025</v>
      </c>
      <c r="N2495" t="str">
        <f t="shared" si="114"/>
        <v>Trading Day</v>
      </c>
      <c r="O2495" t="str">
        <f t="shared" si="115"/>
        <v>Negative</v>
      </c>
      <c r="P2495" t="str">
        <f t="shared" si="116"/>
        <v>Negative</v>
      </c>
    </row>
    <row r="2496" spans="1:16" x14ac:dyDescent="0.3">
      <c r="A2496" s="1">
        <v>45849</v>
      </c>
      <c r="B2496">
        <v>124.51</v>
      </c>
      <c r="C2496">
        <v>39572000</v>
      </c>
      <c r="D2496">
        <v>-1.165</v>
      </c>
      <c r="E2496">
        <v>0</v>
      </c>
      <c r="H2496">
        <v>0</v>
      </c>
      <c r="J2496">
        <v>1</v>
      </c>
      <c r="K2496">
        <f>YEAR(NetflixData[[#This Row],[date]])</f>
        <v>2025</v>
      </c>
      <c r="L2496" t="str">
        <f>TEXT(NetflixData[[#This Row],[date]],"mmm")</f>
        <v>Jul</v>
      </c>
      <c r="M2496" t="str">
        <f>TEXT(NetflixData[[#This Row],[date]],"mmm yyyy")</f>
        <v>Jul 2025</v>
      </c>
      <c r="N2496" t="str">
        <f t="shared" si="114"/>
        <v>Non-Trading Day</v>
      </c>
      <c r="O2496" t="str">
        <f t="shared" si="115"/>
        <v>Negative</v>
      </c>
      <c r="P2496" t="str">
        <f t="shared" si="116"/>
        <v>Neutral</v>
      </c>
    </row>
    <row r="2497" spans="1:16" x14ac:dyDescent="0.3">
      <c r="A2497" s="1">
        <v>45850</v>
      </c>
      <c r="B2497">
        <v>124.51</v>
      </c>
      <c r="C2497">
        <v>0</v>
      </c>
      <c r="D2497">
        <v>0</v>
      </c>
      <c r="E2497">
        <v>0</v>
      </c>
      <c r="H2497">
        <v>0</v>
      </c>
      <c r="J2497">
        <v>0</v>
      </c>
      <c r="K2497">
        <f>YEAR(NetflixData[[#This Row],[date]])</f>
        <v>2025</v>
      </c>
      <c r="L2497" t="str">
        <f>TEXT(NetflixData[[#This Row],[date]],"mmm")</f>
        <v>Jul</v>
      </c>
      <c r="M2497" t="str">
        <f>TEXT(NetflixData[[#This Row],[date]],"mmm yyyy")</f>
        <v>Jul 2025</v>
      </c>
      <c r="N2497" t="str">
        <f t="shared" si="114"/>
        <v>Non-Trading Day</v>
      </c>
      <c r="O2497" t="str">
        <f t="shared" si="115"/>
        <v>No Change</v>
      </c>
      <c r="P2497" t="str">
        <f t="shared" si="116"/>
        <v>Neutral</v>
      </c>
    </row>
    <row r="2498" spans="1:16" x14ac:dyDescent="0.3">
      <c r="A2498" s="1">
        <v>45851</v>
      </c>
      <c r="B2498">
        <v>124.51</v>
      </c>
      <c r="C2498">
        <v>0</v>
      </c>
      <c r="D2498">
        <v>0</v>
      </c>
      <c r="E2498">
        <v>1</v>
      </c>
      <c r="F2498">
        <v>5</v>
      </c>
      <c r="G2498">
        <v>0</v>
      </c>
      <c r="H2498">
        <v>0</v>
      </c>
      <c r="J2498">
        <v>0</v>
      </c>
      <c r="K2498">
        <f>YEAR(NetflixData[[#This Row],[date]])</f>
        <v>2025</v>
      </c>
      <c r="L2498" t="str">
        <f>TEXT(NetflixData[[#This Row],[date]],"mmm")</f>
        <v>Jul</v>
      </c>
      <c r="M2498" t="str">
        <f>TEXT(NetflixData[[#This Row],[date]],"mmm yyyy")</f>
        <v>Jul 2025</v>
      </c>
      <c r="N2498" t="str">
        <f t="shared" ref="N2498:N2561" si="117">IF(J2499=1,"Trading Day","Non-Trading Day")</f>
        <v>Trading Day</v>
      </c>
      <c r="O2498" t="str">
        <f t="shared" ref="O2498:O2561" si="118">IF(D2498&gt;0,"Positive",IF(D2498&lt;0,"Negative","No Change"))</f>
        <v>No Change</v>
      </c>
      <c r="P2498" t="str">
        <f t="shared" ref="P2498:P2561" si="119">IF(G2498&gt;0.1,"Positive",IF(G2498&lt;-0.1,"Negative","Neutral"))</f>
        <v>Neutral</v>
      </c>
    </row>
    <row r="2499" spans="1:16" x14ac:dyDescent="0.3">
      <c r="A2499" s="1">
        <v>45852</v>
      </c>
      <c r="B2499">
        <v>126.19</v>
      </c>
      <c r="C2499">
        <v>27810000</v>
      </c>
      <c r="D2499">
        <v>1.369</v>
      </c>
      <c r="E2499">
        <v>1</v>
      </c>
      <c r="F2499">
        <v>3</v>
      </c>
      <c r="G2499">
        <v>0.89339999999999997</v>
      </c>
      <c r="H2499">
        <v>0</v>
      </c>
      <c r="J2499">
        <v>1</v>
      </c>
      <c r="K2499">
        <f>YEAR(NetflixData[[#This Row],[date]])</f>
        <v>2025</v>
      </c>
      <c r="L2499" t="str">
        <f>TEXT(NetflixData[[#This Row],[date]],"mmm")</f>
        <v>Jul</v>
      </c>
      <c r="M2499" t="str">
        <f>TEXT(NetflixData[[#This Row],[date]],"mmm yyyy")</f>
        <v>Jul 2025</v>
      </c>
      <c r="N2499" t="str">
        <f t="shared" si="117"/>
        <v>Trading Day</v>
      </c>
      <c r="O2499" t="str">
        <f t="shared" si="118"/>
        <v>Positive</v>
      </c>
      <c r="P2499" t="str">
        <f t="shared" si="119"/>
        <v>Positive</v>
      </c>
    </row>
    <row r="2500" spans="1:16" x14ac:dyDescent="0.3">
      <c r="A2500" s="1">
        <v>45853</v>
      </c>
      <c r="B2500">
        <v>126.03</v>
      </c>
      <c r="C2500">
        <v>28017000</v>
      </c>
      <c r="D2500">
        <v>-0.13700000000000001</v>
      </c>
      <c r="E2500">
        <v>0</v>
      </c>
      <c r="H2500">
        <v>0</v>
      </c>
      <c r="J2500">
        <v>1</v>
      </c>
      <c r="K2500">
        <f>YEAR(NetflixData[[#This Row],[date]])</f>
        <v>2025</v>
      </c>
      <c r="L2500" t="str">
        <f>TEXT(NetflixData[[#This Row],[date]],"mmm")</f>
        <v>Jul</v>
      </c>
      <c r="M2500" t="str">
        <f>TEXT(NetflixData[[#This Row],[date]],"mmm yyyy")</f>
        <v>Jul 2025</v>
      </c>
      <c r="N2500" t="str">
        <f t="shared" si="117"/>
        <v>Trading Day</v>
      </c>
      <c r="O2500" t="str">
        <f t="shared" si="118"/>
        <v>Negative</v>
      </c>
      <c r="P2500" t="str">
        <f t="shared" si="119"/>
        <v>Neutral</v>
      </c>
    </row>
    <row r="2501" spans="1:16" x14ac:dyDescent="0.3">
      <c r="A2501" s="1">
        <v>45854</v>
      </c>
      <c r="B2501">
        <v>125.03</v>
      </c>
      <c r="C2501">
        <v>32270000</v>
      </c>
      <c r="D2501">
        <v>-0.90400000000000003</v>
      </c>
      <c r="E2501">
        <v>0</v>
      </c>
      <c r="H2501">
        <v>0</v>
      </c>
      <c r="J2501">
        <v>1</v>
      </c>
      <c r="K2501">
        <f>YEAR(NetflixData[[#This Row],[date]])</f>
        <v>2025</v>
      </c>
      <c r="L2501" t="str">
        <f>TEXT(NetflixData[[#This Row],[date]],"mmm")</f>
        <v>Jul</v>
      </c>
      <c r="M2501" t="str">
        <f>TEXT(NetflixData[[#This Row],[date]],"mmm yyyy")</f>
        <v>Jul 2025</v>
      </c>
      <c r="N2501" t="str">
        <f t="shared" si="117"/>
        <v>Trading Day</v>
      </c>
      <c r="O2501" t="str">
        <f t="shared" si="118"/>
        <v>Negative</v>
      </c>
      <c r="P2501" t="str">
        <f t="shared" si="119"/>
        <v>Neutral</v>
      </c>
    </row>
    <row r="2502" spans="1:16" x14ac:dyDescent="0.3">
      <c r="A2502" s="1">
        <v>45855</v>
      </c>
      <c r="B2502">
        <v>127.42</v>
      </c>
      <c r="C2502">
        <v>64699000</v>
      </c>
      <c r="D2502">
        <v>1.69</v>
      </c>
      <c r="E2502">
        <v>0</v>
      </c>
      <c r="H2502">
        <v>0</v>
      </c>
      <c r="J2502">
        <v>1</v>
      </c>
      <c r="K2502">
        <f>YEAR(NetflixData[[#This Row],[date]])</f>
        <v>2025</v>
      </c>
      <c r="L2502" t="str">
        <f>TEXT(NetflixData[[#This Row],[date]],"mmm")</f>
        <v>Jul</v>
      </c>
      <c r="M2502" t="str">
        <f>TEXT(NetflixData[[#This Row],[date]],"mmm yyyy")</f>
        <v>Jul 2025</v>
      </c>
      <c r="N2502" t="str">
        <f t="shared" si="117"/>
        <v>Trading Day</v>
      </c>
      <c r="O2502" t="str">
        <f t="shared" si="118"/>
        <v>Positive</v>
      </c>
      <c r="P2502" t="str">
        <f t="shared" si="119"/>
        <v>Neutral</v>
      </c>
    </row>
    <row r="2503" spans="1:16" x14ac:dyDescent="0.3">
      <c r="A2503" s="1">
        <v>45856</v>
      </c>
      <c r="B2503">
        <v>120.92</v>
      </c>
      <c r="C2503">
        <v>106933000</v>
      </c>
      <c r="D2503">
        <v>-2.6349999999999998</v>
      </c>
      <c r="E2503">
        <v>1</v>
      </c>
      <c r="F2503">
        <v>1</v>
      </c>
      <c r="G2503">
        <v>-0.47310000000000002</v>
      </c>
      <c r="H2503">
        <v>0</v>
      </c>
      <c r="J2503">
        <v>1</v>
      </c>
      <c r="K2503">
        <f>YEAR(NetflixData[[#This Row],[date]])</f>
        <v>2025</v>
      </c>
      <c r="L2503" t="str">
        <f>TEXT(NetflixData[[#This Row],[date]],"mmm")</f>
        <v>Jul</v>
      </c>
      <c r="M2503" t="str">
        <f>TEXT(NetflixData[[#This Row],[date]],"mmm yyyy")</f>
        <v>Jul 2025</v>
      </c>
      <c r="N2503" t="str">
        <f t="shared" si="117"/>
        <v>Non-Trading Day</v>
      </c>
      <c r="O2503" t="str">
        <f t="shared" si="118"/>
        <v>Negative</v>
      </c>
      <c r="P2503" t="str">
        <f t="shared" si="119"/>
        <v>Negative</v>
      </c>
    </row>
    <row r="2504" spans="1:16" x14ac:dyDescent="0.3">
      <c r="A2504" s="1">
        <v>45857</v>
      </c>
      <c r="B2504">
        <v>120.92</v>
      </c>
      <c r="C2504">
        <v>0</v>
      </c>
      <c r="D2504">
        <v>0</v>
      </c>
      <c r="E2504">
        <v>0</v>
      </c>
      <c r="H2504">
        <v>0</v>
      </c>
      <c r="J2504">
        <v>0</v>
      </c>
      <c r="K2504">
        <f>YEAR(NetflixData[[#This Row],[date]])</f>
        <v>2025</v>
      </c>
      <c r="L2504" t="str">
        <f>TEXT(NetflixData[[#This Row],[date]],"mmm")</f>
        <v>Jul</v>
      </c>
      <c r="M2504" t="str">
        <f>TEXT(NetflixData[[#This Row],[date]],"mmm yyyy")</f>
        <v>Jul 2025</v>
      </c>
      <c r="N2504" t="str">
        <f t="shared" si="117"/>
        <v>Non-Trading Day</v>
      </c>
      <c r="O2504" t="str">
        <f t="shared" si="118"/>
        <v>No Change</v>
      </c>
      <c r="P2504" t="str">
        <f t="shared" si="119"/>
        <v>Neutral</v>
      </c>
    </row>
    <row r="2505" spans="1:16" x14ac:dyDescent="0.3">
      <c r="A2505" s="1">
        <v>45858</v>
      </c>
      <c r="B2505">
        <v>120.92</v>
      </c>
      <c r="C2505">
        <v>0</v>
      </c>
      <c r="D2505">
        <v>0</v>
      </c>
      <c r="E2505">
        <v>0</v>
      </c>
      <c r="H2505">
        <v>0</v>
      </c>
      <c r="J2505">
        <v>0</v>
      </c>
      <c r="K2505">
        <f>YEAR(NetflixData[[#This Row],[date]])</f>
        <v>2025</v>
      </c>
      <c r="L2505" t="str">
        <f>TEXT(NetflixData[[#This Row],[date]],"mmm")</f>
        <v>Jul</v>
      </c>
      <c r="M2505" t="str">
        <f>TEXT(NetflixData[[#This Row],[date]],"mmm yyyy")</f>
        <v>Jul 2025</v>
      </c>
      <c r="N2505" t="str">
        <f t="shared" si="117"/>
        <v>Trading Day</v>
      </c>
      <c r="O2505" t="str">
        <f t="shared" si="118"/>
        <v>No Change</v>
      </c>
      <c r="P2505" t="str">
        <f t="shared" si="119"/>
        <v>Neutral</v>
      </c>
    </row>
    <row r="2506" spans="1:16" x14ac:dyDescent="0.3">
      <c r="A2506" s="1">
        <v>45859</v>
      </c>
      <c r="B2506">
        <v>123.33</v>
      </c>
      <c r="C2506">
        <v>56276000</v>
      </c>
      <c r="D2506">
        <v>2.2610000000000001</v>
      </c>
      <c r="E2506">
        <v>0</v>
      </c>
      <c r="H2506">
        <v>0</v>
      </c>
      <c r="J2506">
        <v>1</v>
      </c>
      <c r="K2506">
        <f>YEAR(NetflixData[[#This Row],[date]])</f>
        <v>2025</v>
      </c>
      <c r="L2506" t="str">
        <f>TEXT(NetflixData[[#This Row],[date]],"mmm")</f>
        <v>Jul</v>
      </c>
      <c r="M2506" t="str">
        <f>TEXT(NetflixData[[#This Row],[date]],"mmm yyyy")</f>
        <v>Jul 2025</v>
      </c>
      <c r="N2506" t="str">
        <f t="shared" si="117"/>
        <v>Trading Day</v>
      </c>
      <c r="O2506" t="str">
        <f t="shared" si="118"/>
        <v>Positive</v>
      </c>
      <c r="P2506" t="str">
        <f t="shared" si="119"/>
        <v>Neutral</v>
      </c>
    </row>
    <row r="2507" spans="1:16" x14ac:dyDescent="0.3">
      <c r="A2507" s="1">
        <v>45860</v>
      </c>
      <c r="B2507">
        <v>119.01</v>
      </c>
      <c r="C2507">
        <v>50630000</v>
      </c>
      <c r="D2507">
        <v>-3.2749999999999999</v>
      </c>
      <c r="E2507">
        <v>1</v>
      </c>
      <c r="F2507">
        <v>1</v>
      </c>
      <c r="G2507">
        <v>-0.6996</v>
      </c>
      <c r="H2507">
        <v>0</v>
      </c>
      <c r="J2507">
        <v>1</v>
      </c>
      <c r="K2507">
        <f>YEAR(NetflixData[[#This Row],[date]])</f>
        <v>2025</v>
      </c>
      <c r="L2507" t="str">
        <f>TEXT(NetflixData[[#This Row],[date]],"mmm")</f>
        <v>Jul</v>
      </c>
      <c r="M2507" t="str">
        <f>TEXT(NetflixData[[#This Row],[date]],"mmm yyyy")</f>
        <v>Jul 2025</v>
      </c>
      <c r="N2507" t="str">
        <f t="shared" si="117"/>
        <v>Trading Day</v>
      </c>
      <c r="O2507" t="str">
        <f t="shared" si="118"/>
        <v>Negative</v>
      </c>
      <c r="P2507" t="str">
        <f t="shared" si="119"/>
        <v>Negative</v>
      </c>
    </row>
    <row r="2508" spans="1:16" x14ac:dyDescent="0.3">
      <c r="A2508" s="1">
        <v>45861</v>
      </c>
      <c r="B2508">
        <v>117.68</v>
      </c>
      <c r="C2508">
        <v>45043000</v>
      </c>
      <c r="D2508">
        <v>-1.095</v>
      </c>
      <c r="E2508">
        <v>0</v>
      </c>
      <c r="H2508">
        <v>0</v>
      </c>
      <c r="J2508">
        <v>1</v>
      </c>
      <c r="K2508">
        <f>YEAR(NetflixData[[#This Row],[date]])</f>
        <v>2025</v>
      </c>
      <c r="L2508" t="str">
        <f>TEXT(NetflixData[[#This Row],[date]],"mmm")</f>
        <v>Jul</v>
      </c>
      <c r="M2508" t="str">
        <f>TEXT(NetflixData[[#This Row],[date]],"mmm yyyy")</f>
        <v>Jul 2025</v>
      </c>
      <c r="N2508" t="str">
        <f t="shared" si="117"/>
        <v>Trading Day</v>
      </c>
      <c r="O2508" t="str">
        <f t="shared" si="118"/>
        <v>Negative</v>
      </c>
      <c r="P2508" t="str">
        <f t="shared" si="119"/>
        <v>Neutral</v>
      </c>
    </row>
    <row r="2509" spans="1:16" x14ac:dyDescent="0.3">
      <c r="A2509" s="1">
        <v>45862</v>
      </c>
      <c r="B2509">
        <v>118.08</v>
      </c>
      <c r="C2509">
        <v>38456000</v>
      </c>
      <c r="D2509">
        <v>0.251</v>
      </c>
      <c r="E2509">
        <v>0</v>
      </c>
      <c r="H2509">
        <v>0</v>
      </c>
      <c r="J2509">
        <v>1</v>
      </c>
      <c r="K2509">
        <f>YEAR(NetflixData[[#This Row],[date]])</f>
        <v>2025</v>
      </c>
      <c r="L2509" t="str">
        <f>TEXT(NetflixData[[#This Row],[date]],"mmm")</f>
        <v>Jul</v>
      </c>
      <c r="M2509" t="str">
        <f>TEXT(NetflixData[[#This Row],[date]],"mmm yyyy")</f>
        <v>Jul 2025</v>
      </c>
      <c r="N2509" t="str">
        <f t="shared" si="117"/>
        <v>Trading Day</v>
      </c>
      <c r="O2509" t="str">
        <f t="shared" si="118"/>
        <v>Positive</v>
      </c>
      <c r="P2509" t="str">
        <f t="shared" si="119"/>
        <v>Neutral</v>
      </c>
    </row>
    <row r="2510" spans="1:16" x14ac:dyDescent="0.3">
      <c r="A2510" s="1">
        <v>45863</v>
      </c>
      <c r="B2510">
        <v>118.05</v>
      </c>
      <c r="C2510">
        <v>26293000</v>
      </c>
      <c r="D2510">
        <v>0.17599999999999999</v>
      </c>
      <c r="E2510">
        <v>0</v>
      </c>
      <c r="H2510">
        <v>0</v>
      </c>
      <c r="J2510">
        <v>1</v>
      </c>
      <c r="K2510">
        <f>YEAR(NetflixData[[#This Row],[date]])</f>
        <v>2025</v>
      </c>
      <c r="L2510" t="str">
        <f>TEXT(NetflixData[[#This Row],[date]],"mmm")</f>
        <v>Jul</v>
      </c>
      <c r="M2510" t="str">
        <f>TEXT(NetflixData[[#This Row],[date]],"mmm yyyy")</f>
        <v>Jul 2025</v>
      </c>
      <c r="N2510" t="str">
        <f t="shared" si="117"/>
        <v>Non-Trading Day</v>
      </c>
      <c r="O2510" t="str">
        <f t="shared" si="118"/>
        <v>Positive</v>
      </c>
      <c r="P2510" t="str">
        <f t="shared" si="119"/>
        <v>Neutral</v>
      </c>
    </row>
    <row r="2511" spans="1:16" x14ac:dyDescent="0.3">
      <c r="A2511" s="1">
        <v>45864</v>
      </c>
      <c r="B2511">
        <v>118.05</v>
      </c>
      <c r="C2511">
        <v>0</v>
      </c>
      <c r="D2511">
        <v>0</v>
      </c>
      <c r="E2511">
        <v>0</v>
      </c>
      <c r="H2511">
        <v>0</v>
      </c>
      <c r="J2511">
        <v>0</v>
      </c>
      <c r="K2511">
        <f>YEAR(NetflixData[[#This Row],[date]])</f>
        <v>2025</v>
      </c>
      <c r="L2511" t="str">
        <f>TEXT(NetflixData[[#This Row],[date]],"mmm")</f>
        <v>Jul</v>
      </c>
      <c r="M2511" t="str">
        <f>TEXT(NetflixData[[#This Row],[date]],"mmm yyyy")</f>
        <v>Jul 2025</v>
      </c>
      <c r="N2511" t="str">
        <f t="shared" si="117"/>
        <v>Non-Trading Day</v>
      </c>
      <c r="O2511" t="str">
        <f t="shared" si="118"/>
        <v>No Change</v>
      </c>
      <c r="P2511" t="str">
        <f t="shared" si="119"/>
        <v>Neutral</v>
      </c>
    </row>
    <row r="2512" spans="1:16" x14ac:dyDescent="0.3">
      <c r="A2512" s="1">
        <v>45865</v>
      </c>
      <c r="B2512">
        <v>118.05</v>
      </c>
      <c r="C2512">
        <v>0</v>
      </c>
      <c r="D2512">
        <v>0</v>
      </c>
      <c r="E2512">
        <v>0</v>
      </c>
      <c r="H2512">
        <v>0</v>
      </c>
      <c r="J2512">
        <v>0</v>
      </c>
      <c r="K2512">
        <f>YEAR(NetflixData[[#This Row],[date]])</f>
        <v>2025</v>
      </c>
      <c r="L2512" t="str">
        <f>TEXT(NetflixData[[#This Row],[date]],"mmm")</f>
        <v>Jul</v>
      </c>
      <c r="M2512" t="str">
        <f>TEXT(NetflixData[[#This Row],[date]],"mmm yyyy")</f>
        <v>Jul 2025</v>
      </c>
      <c r="N2512" t="str">
        <f t="shared" si="117"/>
        <v>Trading Day</v>
      </c>
      <c r="O2512" t="str">
        <f t="shared" si="118"/>
        <v>No Change</v>
      </c>
      <c r="P2512" t="str">
        <f t="shared" si="119"/>
        <v>Neutral</v>
      </c>
    </row>
    <row r="2513" spans="1:16" x14ac:dyDescent="0.3">
      <c r="A2513" s="1">
        <v>45866</v>
      </c>
      <c r="B2513">
        <v>117.46</v>
      </c>
      <c r="C2513">
        <v>34470000</v>
      </c>
      <c r="D2513">
        <v>-0.55900000000000005</v>
      </c>
      <c r="E2513">
        <v>0</v>
      </c>
      <c r="H2513">
        <v>0</v>
      </c>
      <c r="J2513">
        <v>1</v>
      </c>
      <c r="K2513">
        <f>YEAR(NetflixData[[#This Row],[date]])</f>
        <v>2025</v>
      </c>
      <c r="L2513" t="str">
        <f>TEXT(NetflixData[[#This Row],[date]],"mmm")</f>
        <v>Jul</v>
      </c>
      <c r="M2513" t="str">
        <f>TEXT(NetflixData[[#This Row],[date]],"mmm yyyy")</f>
        <v>Jul 2025</v>
      </c>
      <c r="N2513" t="str">
        <f t="shared" si="117"/>
        <v>Trading Day</v>
      </c>
      <c r="O2513" t="str">
        <f t="shared" si="118"/>
        <v>Negative</v>
      </c>
      <c r="P2513" t="str">
        <f t="shared" si="119"/>
        <v>Neutral</v>
      </c>
    </row>
    <row r="2514" spans="1:16" x14ac:dyDescent="0.3">
      <c r="A2514" s="1">
        <v>45867</v>
      </c>
      <c r="B2514">
        <v>116.87</v>
      </c>
      <c r="C2514">
        <v>27525000</v>
      </c>
      <c r="D2514">
        <v>-0.87</v>
      </c>
      <c r="E2514">
        <v>1</v>
      </c>
      <c r="F2514">
        <v>2</v>
      </c>
      <c r="G2514">
        <v>0.89339999999999997</v>
      </c>
      <c r="H2514">
        <v>0</v>
      </c>
      <c r="J2514">
        <v>1</v>
      </c>
      <c r="K2514">
        <f>YEAR(NetflixData[[#This Row],[date]])</f>
        <v>2025</v>
      </c>
      <c r="L2514" t="str">
        <f>TEXT(NetflixData[[#This Row],[date]],"mmm")</f>
        <v>Jul</v>
      </c>
      <c r="M2514" t="str">
        <f>TEXT(NetflixData[[#This Row],[date]],"mmm yyyy")</f>
        <v>Jul 2025</v>
      </c>
      <c r="N2514" t="str">
        <f t="shared" si="117"/>
        <v>Trading Day</v>
      </c>
      <c r="O2514" t="str">
        <f t="shared" si="118"/>
        <v>Negative</v>
      </c>
      <c r="P2514" t="str">
        <f t="shared" si="119"/>
        <v>Positive</v>
      </c>
    </row>
    <row r="2515" spans="1:16" x14ac:dyDescent="0.3">
      <c r="A2515" s="1">
        <v>45868</v>
      </c>
      <c r="B2515">
        <v>118.42</v>
      </c>
      <c r="C2515">
        <v>29227000</v>
      </c>
      <c r="D2515">
        <v>1.339</v>
      </c>
      <c r="E2515">
        <v>1</v>
      </c>
      <c r="F2515">
        <v>5</v>
      </c>
      <c r="G2515">
        <v>0.93600000000000005</v>
      </c>
      <c r="H2515">
        <v>0</v>
      </c>
      <c r="J2515">
        <v>1</v>
      </c>
      <c r="K2515">
        <f>YEAR(NetflixData[[#This Row],[date]])</f>
        <v>2025</v>
      </c>
      <c r="L2515" t="str">
        <f>TEXT(NetflixData[[#This Row],[date]],"mmm")</f>
        <v>Jul</v>
      </c>
      <c r="M2515" t="str">
        <f>TEXT(NetflixData[[#This Row],[date]],"mmm yyyy")</f>
        <v>Jul 2025</v>
      </c>
      <c r="N2515" t="str">
        <f t="shared" si="117"/>
        <v>Trading Day</v>
      </c>
      <c r="O2515" t="str">
        <f t="shared" si="118"/>
        <v>Positive</v>
      </c>
      <c r="P2515" t="str">
        <f t="shared" si="119"/>
        <v>Positive</v>
      </c>
    </row>
    <row r="2516" spans="1:16" x14ac:dyDescent="0.3">
      <c r="A2516" s="1">
        <v>45869</v>
      </c>
      <c r="B2516">
        <v>115.94</v>
      </c>
      <c r="C2516">
        <v>37129000</v>
      </c>
      <c r="D2516">
        <v>-2.1440000000000001</v>
      </c>
      <c r="E2516">
        <v>1</v>
      </c>
      <c r="F2516">
        <v>1</v>
      </c>
      <c r="G2516">
        <v>-0.34</v>
      </c>
      <c r="H2516">
        <v>0</v>
      </c>
      <c r="J2516">
        <v>1</v>
      </c>
      <c r="K2516">
        <f>YEAR(NetflixData[[#This Row],[date]])</f>
        <v>2025</v>
      </c>
      <c r="L2516" t="str">
        <f>TEXT(NetflixData[[#This Row],[date]],"mmm")</f>
        <v>Jul</v>
      </c>
      <c r="M2516" t="str">
        <f>TEXT(NetflixData[[#This Row],[date]],"mmm yyyy")</f>
        <v>Jul 2025</v>
      </c>
      <c r="N2516" t="str">
        <f t="shared" si="117"/>
        <v>Trading Day</v>
      </c>
      <c r="O2516" t="str">
        <f t="shared" si="118"/>
        <v>Negative</v>
      </c>
      <c r="P2516" t="str">
        <f t="shared" si="119"/>
        <v>Negative</v>
      </c>
    </row>
    <row r="2517" spans="1:16" x14ac:dyDescent="0.3">
      <c r="A2517" s="1">
        <v>45870</v>
      </c>
      <c r="B2517">
        <v>115.86</v>
      </c>
      <c r="C2517">
        <v>38910000</v>
      </c>
      <c r="D2517">
        <v>-0.379</v>
      </c>
      <c r="E2517">
        <v>0</v>
      </c>
      <c r="H2517">
        <v>0</v>
      </c>
      <c r="J2517">
        <v>1</v>
      </c>
      <c r="K2517">
        <f>YEAR(NetflixData[[#This Row],[date]])</f>
        <v>2025</v>
      </c>
      <c r="L2517" t="str">
        <f>TEXT(NetflixData[[#This Row],[date]],"mmm")</f>
        <v>Aug</v>
      </c>
      <c r="M2517" t="str">
        <f>TEXT(NetflixData[[#This Row],[date]],"mmm yyyy")</f>
        <v>Aug 2025</v>
      </c>
      <c r="N2517" t="str">
        <f t="shared" si="117"/>
        <v>Non-Trading Day</v>
      </c>
      <c r="O2517" t="str">
        <f t="shared" si="118"/>
        <v>Negative</v>
      </c>
      <c r="P2517" t="str">
        <f t="shared" si="119"/>
        <v>Neutral</v>
      </c>
    </row>
    <row r="2518" spans="1:16" x14ac:dyDescent="0.3">
      <c r="A2518" s="1">
        <v>45871</v>
      </c>
      <c r="B2518">
        <v>115.86</v>
      </c>
      <c r="C2518">
        <v>0</v>
      </c>
      <c r="D2518">
        <v>0</v>
      </c>
      <c r="E2518">
        <v>0</v>
      </c>
      <c r="H2518">
        <v>0</v>
      </c>
      <c r="J2518">
        <v>0</v>
      </c>
      <c r="K2518">
        <f>YEAR(NetflixData[[#This Row],[date]])</f>
        <v>2025</v>
      </c>
      <c r="L2518" t="str">
        <f>TEXT(NetflixData[[#This Row],[date]],"mmm")</f>
        <v>Aug</v>
      </c>
      <c r="M2518" t="str">
        <f>TEXT(NetflixData[[#This Row],[date]],"mmm yyyy")</f>
        <v>Aug 2025</v>
      </c>
      <c r="N2518" t="str">
        <f t="shared" si="117"/>
        <v>Non-Trading Day</v>
      </c>
      <c r="O2518" t="str">
        <f t="shared" si="118"/>
        <v>No Change</v>
      </c>
      <c r="P2518" t="str">
        <f t="shared" si="119"/>
        <v>Neutral</v>
      </c>
    </row>
    <row r="2519" spans="1:16" x14ac:dyDescent="0.3">
      <c r="A2519" s="1">
        <v>45872</v>
      </c>
      <c r="B2519">
        <v>115.86</v>
      </c>
      <c r="C2519">
        <v>0</v>
      </c>
      <c r="D2519">
        <v>0</v>
      </c>
      <c r="E2519">
        <v>1</v>
      </c>
      <c r="F2519">
        <v>1</v>
      </c>
      <c r="G2519">
        <v>-0.45879999999999999</v>
      </c>
      <c r="H2519">
        <v>0</v>
      </c>
      <c r="J2519">
        <v>0</v>
      </c>
      <c r="K2519">
        <f>YEAR(NetflixData[[#This Row],[date]])</f>
        <v>2025</v>
      </c>
      <c r="L2519" t="str">
        <f>TEXT(NetflixData[[#This Row],[date]],"mmm")</f>
        <v>Aug</v>
      </c>
      <c r="M2519" t="str">
        <f>TEXT(NetflixData[[#This Row],[date]],"mmm yyyy")</f>
        <v>Aug 2025</v>
      </c>
      <c r="N2519" t="str">
        <f t="shared" si="117"/>
        <v>Trading Day</v>
      </c>
      <c r="O2519" t="str">
        <f t="shared" si="118"/>
        <v>No Change</v>
      </c>
      <c r="P2519" t="str">
        <f t="shared" si="119"/>
        <v>Negative</v>
      </c>
    </row>
    <row r="2520" spans="1:16" x14ac:dyDescent="0.3">
      <c r="A2520" s="1">
        <v>45873</v>
      </c>
      <c r="B2520">
        <v>117.1</v>
      </c>
      <c r="C2520">
        <v>22447000</v>
      </c>
      <c r="D2520">
        <v>0.28599999999999998</v>
      </c>
      <c r="E2520">
        <v>1</v>
      </c>
      <c r="F2520">
        <v>5</v>
      </c>
      <c r="G2520">
        <v>0</v>
      </c>
      <c r="H2520">
        <v>0</v>
      </c>
      <c r="J2520">
        <v>1</v>
      </c>
      <c r="K2520">
        <f>YEAR(NetflixData[[#This Row],[date]])</f>
        <v>2025</v>
      </c>
      <c r="L2520" t="str">
        <f>TEXT(NetflixData[[#This Row],[date]],"mmm")</f>
        <v>Aug</v>
      </c>
      <c r="M2520" t="str">
        <f>TEXT(NetflixData[[#This Row],[date]],"mmm yyyy")</f>
        <v>Aug 2025</v>
      </c>
      <c r="N2520" t="str">
        <f t="shared" si="117"/>
        <v>Trading Day</v>
      </c>
      <c r="O2520" t="str">
        <f t="shared" si="118"/>
        <v>Positive</v>
      </c>
      <c r="P2520" t="str">
        <f t="shared" si="119"/>
        <v>Neutral</v>
      </c>
    </row>
    <row r="2521" spans="1:16" x14ac:dyDescent="0.3">
      <c r="A2521" s="1">
        <v>45874</v>
      </c>
      <c r="B2521">
        <v>114.79</v>
      </c>
      <c r="C2521">
        <v>26607000</v>
      </c>
      <c r="D2521">
        <v>-1.9750000000000001</v>
      </c>
      <c r="E2521">
        <v>0</v>
      </c>
      <c r="H2521">
        <v>0</v>
      </c>
      <c r="J2521">
        <v>1</v>
      </c>
      <c r="K2521">
        <f>YEAR(NetflixData[[#This Row],[date]])</f>
        <v>2025</v>
      </c>
      <c r="L2521" t="str">
        <f>TEXT(NetflixData[[#This Row],[date]],"mmm")</f>
        <v>Aug</v>
      </c>
      <c r="M2521" t="str">
        <f>TEXT(NetflixData[[#This Row],[date]],"mmm yyyy")</f>
        <v>Aug 2025</v>
      </c>
      <c r="N2521" t="str">
        <f t="shared" si="117"/>
        <v>Trading Day</v>
      </c>
      <c r="O2521" t="str">
        <f t="shared" si="118"/>
        <v>Negative</v>
      </c>
      <c r="P2521" t="str">
        <f t="shared" si="119"/>
        <v>Neutral</v>
      </c>
    </row>
    <row r="2522" spans="1:16" x14ac:dyDescent="0.3">
      <c r="A2522" s="1">
        <v>45875</v>
      </c>
      <c r="B2522">
        <v>117.85</v>
      </c>
      <c r="C2522">
        <v>33622000</v>
      </c>
      <c r="D2522">
        <v>2.1640000000000001</v>
      </c>
      <c r="E2522">
        <v>0</v>
      </c>
      <c r="H2522">
        <v>0</v>
      </c>
      <c r="J2522">
        <v>1</v>
      </c>
      <c r="K2522">
        <f>YEAR(NetflixData[[#This Row],[date]])</f>
        <v>2025</v>
      </c>
      <c r="L2522" t="str">
        <f>TEXT(NetflixData[[#This Row],[date]],"mmm")</f>
        <v>Aug</v>
      </c>
      <c r="M2522" t="str">
        <f>TEXT(NetflixData[[#This Row],[date]],"mmm yyyy")</f>
        <v>Aug 2025</v>
      </c>
      <c r="N2522" t="str">
        <f t="shared" si="117"/>
        <v>Trading Day</v>
      </c>
      <c r="O2522" t="str">
        <f t="shared" si="118"/>
        <v>Positive</v>
      </c>
      <c r="P2522" t="str">
        <f t="shared" si="119"/>
        <v>Neutral</v>
      </c>
    </row>
    <row r="2523" spans="1:16" x14ac:dyDescent="0.3">
      <c r="A2523" s="1">
        <v>45876</v>
      </c>
      <c r="B2523">
        <v>118.04</v>
      </c>
      <c r="C2523">
        <v>26283000</v>
      </c>
      <c r="D2523">
        <v>-0.11799999999999999</v>
      </c>
      <c r="E2523">
        <v>0</v>
      </c>
      <c r="H2523">
        <v>0</v>
      </c>
      <c r="J2523">
        <v>1</v>
      </c>
      <c r="K2523">
        <f>YEAR(NetflixData[[#This Row],[date]])</f>
        <v>2025</v>
      </c>
      <c r="L2523" t="str">
        <f>TEXT(NetflixData[[#This Row],[date]],"mmm")</f>
        <v>Aug</v>
      </c>
      <c r="M2523" t="str">
        <f>TEXT(NetflixData[[#This Row],[date]],"mmm yyyy")</f>
        <v>Aug 2025</v>
      </c>
      <c r="N2523" t="str">
        <f t="shared" si="117"/>
        <v>Trading Day</v>
      </c>
      <c r="O2523" t="str">
        <f t="shared" si="118"/>
        <v>Negative</v>
      </c>
      <c r="P2523" t="str">
        <f t="shared" si="119"/>
        <v>Neutral</v>
      </c>
    </row>
    <row r="2524" spans="1:16" x14ac:dyDescent="0.3">
      <c r="A2524" s="1">
        <v>45877</v>
      </c>
      <c r="B2524">
        <v>121.16</v>
      </c>
      <c r="C2524">
        <v>38167000</v>
      </c>
      <c r="D2524">
        <v>2.4049999999999998</v>
      </c>
      <c r="E2524">
        <v>1</v>
      </c>
      <c r="F2524">
        <v>5</v>
      </c>
      <c r="G2524">
        <v>0</v>
      </c>
      <c r="H2524">
        <v>0</v>
      </c>
      <c r="J2524">
        <v>1</v>
      </c>
      <c r="K2524">
        <f>YEAR(NetflixData[[#This Row],[date]])</f>
        <v>2025</v>
      </c>
      <c r="L2524" t="str">
        <f>TEXT(NetflixData[[#This Row],[date]],"mmm")</f>
        <v>Aug</v>
      </c>
      <c r="M2524" t="str">
        <f>TEXT(NetflixData[[#This Row],[date]],"mmm yyyy")</f>
        <v>Aug 2025</v>
      </c>
      <c r="N2524" t="str">
        <f t="shared" si="117"/>
        <v>Non-Trading Day</v>
      </c>
      <c r="O2524" t="str">
        <f t="shared" si="118"/>
        <v>Positive</v>
      </c>
      <c r="P2524" t="str">
        <f t="shared" si="119"/>
        <v>Neutral</v>
      </c>
    </row>
    <row r="2525" spans="1:16" x14ac:dyDescent="0.3">
      <c r="A2525" s="1">
        <v>45878</v>
      </c>
      <c r="B2525">
        <v>121.16</v>
      </c>
      <c r="C2525">
        <v>0</v>
      </c>
      <c r="D2525">
        <v>0</v>
      </c>
      <c r="E2525">
        <v>0</v>
      </c>
      <c r="H2525">
        <v>0</v>
      </c>
      <c r="J2525">
        <v>0</v>
      </c>
      <c r="K2525">
        <f>YEAR(NetflixData[[#This Row],[date]])</f>
        <v>2025</v>
      </c>
      <c r="L2525" t="str">
        <f>TEXT(NetflixData[[#This Row],[date]],"mmm")</f>
        <v>Aug</v>
      </c>
      <c r="M2525" t="str">
        <f>TEXT(NetflixData[[#This Row],[date]],"mmm yyyy")</f>
        <v>Aug 2025</v>
      </c>
      <c r="N2525" t="str">
        <f t="shared" si="117"/>
        <v>Non-Trading Day</v>
      </c>
      <c r="O2525" t="str">
        <f t="shared" si="118"/>
        <v>No Change</v>
      </c>
      <c r="P2525" t="str">
        <f t="shared" si="119"/>
        <v>Neutral</v>
      </c>
    </row>
    <row r="2526" spans="1:16" x14ac:dyDescent="0.3">
      <c r="A2526" s="1">
        <v>45879</v>
      </c>
      <c r="B2526">
        <v>121.16</v>
      </c>
      <c r="C2526">
        <v>0</v>
      </c>
      <c r="D2526">
        <v>0</v>
      </c>
      <c r="E2526">
        <v>1</v>
      </c>
      <c r="F2526">
        <v>5</v>
      </c>
      <c r="G2526">
        <v>0</v>
      </c>
      <c r="H2526">
        <v>0</v>
      </c>
      <c r="J2526">
        <v>0</v>
      </c>
      <c r="K2526">
        <f>YEAR(NetflixData[[#This Row],[date]])</f>
        <v>2025</v>
      </c>
      <c r="L2526" t="str">
        <f>TEXT(NetflixData[[#This Row],[date]],"mmm")</f>
        <v>Aug</v>
      </c>
      <c r="M2526" t="str">
        <f>TEXT(NetflixData[[#This Row],[date]],"mmm yyyy")</f>
        <v>Aug 2025</v>
      </c>
      <c r="N2526" t="str">
        <f t="shared" si="117"/>
        <v>Trading Day</v>
      </c>
      <c r="O2526" t="str">
        <f t="shared" si="118"/>
        <v>No Change</v>
      </c>
      <c r="P2526" t="str">
        <f t="shared" si="119"/>
        <v>Neutral</v>
      </c>
    </row>
    <row r="2527" spans="1:16" x14ac:dyDescent="0.3">
      <c r="A2527" s="1">
        <v>45880</v>
      </c>
      <c r="B2527">
        <v>121.83</v>
      </c>
      <c r="C2527">
        <v>24556000</v>
      </c>
      <c r="D2527">
        <v>0.35399999999999998</v>
      </c>
      <c r="E2527">
        <v>0</v>
      </c>
      <c r="H2527">
        <v>0</v>
      </c>
      <c r="J2527">
        <v>1</v>
      </c>
      <c r="K2527">
        <f>YEAR(NetflixData[[#This Row],[date]])</f>
        <v>2025</v>
      </c>
      <c r="L2527" t="str">
        <f>TEXT(NetflixData[[#This Row],[date]],"mmm")</f>
        <v>Aug</v>
      </c>
      <c r="M2527" t="str">
        <f>TEXT(NetflixData[[#This Row],[date]],"mmm yyyy")</f>
        <v>Aug 2025</v>
      </c>
      <c r="N2527" t="str">
        <f t="shared" si="117"/>
        <v>Trading Day</v>
      </c>
      <c r="O2527" t="str">
        <f t="shared" si="118"/>
        <v>Positive</v>
      </c>
      <c r="P2527" t="str">
        <f t="shared" si="119"/>
        <v>Neutral</v>
      </c>
    </row>
    <row r="2528" spans="1:16" x14ac:dyDescent="0.3">
      <c r="A2528" s="1">
        <v>45881</v>
      </c>
      <c r="B2528">
        <v>122.53</v>
      </c>
      <c r="C2528">
        <v>22788000</v>
      </c>
      <c r="D2528">
        <v>2.3E-2</v>
      </c>
      <c r="E2528">
        <v>1</v>
      </c>
      <c r="F2528">
        <v>5</v>
      </c>
      <c r="G2528">
        <v>0.44040000000000001</v>
      </c>
      <c r="H2528">
        <v>0</v>
      </c>
      <c r="J2528">
        <v>1</v>
      </c>
      <c r="K2528">
        <f>YEAR(NetflixData[[#This Row],[date]])</f>
        <v>2025</v>
      </c>
      <c r="L2528" t="str">
        <f>TEXT(NetflixData[[#This Row],[date]],"mmm")</f>
        <v>Aug</v>
      </c>
      <c r="M2528" t="str">
        <f>TEXT(NetflixData[[#This Row],[date]],"mmm yyyy")</f>
        <v>Aug 2025</v>
      </c>
      <c r="N2528" t="str">
        <f t="shared" si="117"/>
        <v>Trading Day</v>
      </c>
      <c r="O2528" t="str">
        <f t="shared" si="118"/>
        <v>Positive</v>
      </c>
      <c r="P2528" t="str">
        <f t="shared" si="119"/>
        <v>Positive</v>
      </c>
    </row>
    <row r="2529" spans="1:16" x14ac:dyDescent="0.3">
      <c r="A2529" s="1">
        <v>45882</v>
      </c>
      <c r="B2529">
        <v>120.44</v>
      </c>
      <c r="C2529">
        <v>27624000</v>
      </c>
      <c r="D2529">
        <v>-2.395</v>
      </c>
      <c r="E2529">
        <v>1</v>
      </c>
      <c r="F2529">
        <v>1</v>
      </c>
      <c r="G2529">
        <v>0</v>
      </c>
      <c r="H2529">
        <v>0</v>
      </c>
      <c r="J2529">
        <v>1</v>
      </c>
      <c r="K2529">
        <f>YEAR(NetflixData[[#This Row],[date]])</f>
        <v>2025</v>
      </c>
      <c r="L2529" t="str">
        <f>TEXT(NetflixData[[#This Row],[date]],"mmm")</f>
        <v>Aug</v>
      </c>
      <c r="M2529" t="str">
        <f>TEXT(NetflixData[[#This Row],[date]],"mmm yyyy")</f>
        <v>Aug 2025</v>
      </c>
      <c r="N2529" t="str">
        <f t="shared" si="117"/>
        <v>Trading Day</v>
      </c>
      <c r="O2529" t="str">
        <f t="shared" si="118"/>
        <v>Negative</v>
      </c>
      <c r="P2529" t="str">
        <f t="shared" si="119"/>
        <v>Neutral</v>
      </c>
    </row>
    <row r="2530" spans="1:16" x14ac:dyDescent="0.3">
      <c r="A2530" s="1">
        <v>45883</v>
      </c>
      <c r="B2530">
        <v>123.06</v>
      </c>
      <c r="C2530">
        <v>39047000</v>
      </c>
      <c r="D2530">
        <v>1.708</v>
      </c>
      <c r="E2530">
        <v>1</v>
      </c>
      <c r="F2530">
        <v>5</v>
      </c>
      <c r="G2530">
        <v>0</v>
      </c>
      <c r="H2530">
        <v>0</v>
      </c>
      <c r="J2530">
        <v>1</v>
      </c>
      <c r="K2530">
        <f>YEAR(NetflixData[[#This Row],[date]])</f>
        <v>2025</v>
      </c>
      <c r="L2530" t="str">
        <f>TEXT(NetflixData[[#This Row],[date]],"mmm")</f>
        <v>Aug</v>
      </c>
      <c r="M2530" t="str">
        <f>TEXT(NetflixData[[#This Row],[date]],"mmm yyyy")</f>
        <v>Aug 2025</v>
      </c>
      <c r="N2530" t="str">
        <f t="shared" si="117"/>
        <v>Trading Day</v>
      </c>
      <c r="O2530" t="str">
        <f t="shared" si="118"/>
        <v>Positive</v>
      </c>
      <c r="P2530" t="str">
        <f t="shared" si="119"/>
        <v>Neutral</v>
      </c>
    </row>
    <row r="2531" spans="1:16" x14ac:dyDescent="0.3">
      <c r="A2531" s="1">
        <v>45884</v>
      </c>
      <c r="B2531">
        <v>123.89</v>
      </c>
      <c r="C2531">
        <v>27678000</v>
      </c>
      <c r="D2531">
        <v>0.39800000000000002</v>
      </c>
      <c r="E2531">
        <v>0</v>
      </c>
      <c r="H2531">
        <v>0</v>
      </c>
      <c r="J2531">
        <v>1</v>
      </c>
      <c r="K2531">
        <f>YEAR(NetflixData[[#This Row],[date]])</f>
        <v>2025</v>
      </c>
      <c r="L2531" t="str">
        <f>TEXT(NetflixData[[#This Row],[date]],"mmm")</f>
        <v>Aug</v>
      </c>
      <c r="M2531" t="str">
        <f>TEXT(NetflixData[[#This Row],[date]],"mmm yyyy")</f>
        <v>Aug 2025</v>
      </c>
      <c r="N2531" t="str">
        <f t="shared" si="117"/>
        <v>Non-Trading Day</v>
      </c>
      <c r="O2531" t="str">
        <f t="shared" si="118"/>
        <v>Positive</v>
      </c>
      <c r="P2531" t="str">
        <f t="shared" si="119"/>
        <v>Neutral</v>
      </c>
    </row>
    <row r="2532" spans="1:16" x14ac:dyDescent="0.3">
      <c r="A2532" s="1">
        <v>45885</v>
      </c>
      <c r="B2532">
        <v>123.89</v>
      </c>
      <c r="C2532">
        <v>0</v>
      </c>
      <c r="D2532">
        <v>0</v>
      </c>
      <c r="E2532">
        <v>2</v>
      </c>
      <c r="F2532">
        <v>1</v>
      </c>
      <c r="G2532">
        <v>-0.3488</v>
      </c>
      <c r="H2532">
        <v>0</v>
      </c>
      <c r="J2532">
        <v>0</v>
      </c>
      <c r="K2532">
        <f>YEAR(NetflixData[[#This Row],[date]])</f>
        <v>2025</v>
      </c>
      <c r="L2532" t="str">
        <f>TEXT(NetflixData[[#This Row],[date]],"mmm")</f>
        <v>Aug</v>
      </c>
      <c r="M2532" t="str">
        <f>TEXT(NetflixData[[#This Row],[date]],"mmm yyyy")</f>
        <v>Aug 2025</v>
      </c>
      <c r="N2532" t="str">
        <f t="shared" si="117"/>
        <v>Non-Trading Day</v>
      </c>
      <c r="O2532" t="str">
        <f t="shared" si="118"/>
        <v>No Change</v>
      </c>
      <c r="P2532" t="str">
        <f t="shared" si="119"/>
        <v>Negative</v>
      </c>
    </row>
    <row r="2533" spans="1:16" x14ac:dyDescent="0.3">
      <c r="A2533" s="1">
        <v>45886</v>
      </c>
      <c r="B2533">
        <v>123.89</v>
      </c>
      <c r="C2533">
        <v>0</v>
      </c>
      <c r="D2533">
        <v>0</v>
      </c>
      <c r="E2533">
        <v>0</v>
      </c>
      <c r="H2533">
        <v>0</v>
      </c>
      <c r="J2533">
        <v>0</v>
      </c>
      <c r="K2533">
        <f>YEAR(NetflixData[[#This Row],[date]])</f>
        <v>2025</v>
      </c>
      <c r="L2533" t="str">
        <f>TEXT(NetflixData[[#This Row],[date]],"mmm")</f>
        <v>Aug</v>
      </c>
      <c r="M2533" t="str">
        <f>TEXT(NetflixData[[#This Row],[date]],"mmm yyyy")</f>
        <v>Aug 2025</v>
      </c>
      <c r="N2533" t="str">
        <f t="shared" si="117"/>
        <v>Trading Day</v>
      </c>
      <c r="O2533" t="str">
        <f t="shared" si="118"/>
        <v>No Change</v>
      </c>
      <c r="P2533" t="str">
        <f t="shared" si="119"/>
        <v>Neutral</v>
      </c>
    </row>
    <row r="2534" spans="1:16" x14ac:dyDescent="0.3">
      <c r="A2534" s="1">
        <v>45887</v>
      </c>
      <c r="B2534">
        <v>124.51</v>
      </c>
      <c r="C2534">
        <v>21111000</v>
      </c>
      <c r="D2534">
        <v>0.76600000000000001</v>
      </c>
      <c r="E2534">
        <v>1</v>
      </c>
      <c r="F2534">
        <v>5</v>
      </c>
      <c r="G2534">
        <v>0</v>
      </c>
      <c r="H2534">
        <v>0</v>
      </c>
      <c r="J2534">
        <v>1</v>
      </c>
      <c r="K2534">
        <f>YEAR(NetflixData[[#This Row],[date]])</f>
        <v>2025</v>
      </c>
      <c r="L2534" t="str">
        <f>TEXT(NetflixData[[#This Row],[date]],"mmm")</f>
        <v>Aug</v>
      </c>
      <c r="M2534" t="str">
        <f>TEXT(NetflixData[[#This Row],[date]],"mmm yyyy")</f>
        <v>Aug 2025</v>
      </c>
      <c r="N2534" t="str">
        <f t="shared" si="117"/>
        <v>Trading Day</v>
      </c>
      <c r="O2534" t="str">
        <f t="shared" si="118"/>
        <v>Positive</v>
      </c>
      <c r="P2534" t="str">
        <f t="shared" si="119"/>
        <v>Neutral</v>
      </c>
    </row>
    <row r="2535" spans="1:16" x14ac:dyDescent="0.3">
      <c r="A2535" s="1">
        <v>45888</v>
      </c>
      <c r="B2535">
        <v>121.42</v>
      </c>
      <c r="C2535">
        <v>37077000</v>
      </c>
      <c r="D2535">
        <v>-2.1</v>
      </c>
      <c r="E2535">
        <v>0</v>
      </c>
      <c r="H2535">
        <v>0</v>
      </c>
      <c r="J2535">
        <v>1</v>
      </c>
      <c r="K2535">
        <f>YEAR(NetflixData[[#This Row],[date]])</f>
        <v>2025</v>
      </c>
      <c r="L2535" t="str">
        <f>TEXT(NetflixData[[#This Row],[date]],"mmm")</f>
        <v>Aug</v>
      </c>
      <c r="M2535" t="str">
        <f>TEXT(NetflixData[[#This Row],[date]],"mmm yyyy")</f>
        <v>Aug 2025</v>
      </c>
      <c r="N2535" t="str">
        <f t="shared" si="117"/>
        <v>Trading Day</v>
      </c>
      <c r="O2535" t="str">
        <f t="shared" si="118"/>
        <v>Negative</v>
      </c>
      <c r="P2535" t="str">
        <f t="shared" si="119"/>
        <v>Neutral</v>
      </c>
    </row>
    <row r="2536" spans="1:16" x14ac:dyDescent="0.3">
      <c r="A2536" s="1">
        <v>45889</v>
      </c>
      <c r="B2536">
        <v>121.39</v>
      </c>
      <c r="C2536">
        <v>24344000</v>
      </c>
      <c r="D2536">
        <v>-0.34</v>
      </c>
      <c r="E2536">
        <v>0</v>
      </c>
      <c r="H2536">
        <v>0</v>
      </c>
      <c r="J2536">
        <v>1</v>
      </c>
      <c r="K2536">
        <f>YEAR(NetflixData[[#This Row],[date]])</f>
        <v>2025</v>
      </c>
      <c r="L2536" t="str">
        <f>TEXT(NetflixData[[#This Row],[date]],"mmm")</f>
        <v>Aug</v>
      </c>
      <c r="M2536" t="str">
        <f>TEXT(NetflixData[[#This Row],[date]],"mmm yyyy")</f>
        <v>Aug 2025</v>
      </c>
      <c r="N2536" t="str">
        <f t="shared" si="117"/>
        <v>Trading Day</v>
      </c>
      <c r="O2536" t="str">
        <f t="shared" si="118"/>
        <v>Negative</v>
      </c>
      <c r="P2536" t="str">
        <f t="shared" si="119"/>
        <v>Neutral</v>
      </c>
    </row>
    <row r="2537" spans="1:16" x14ac:dyDescent="0.3">
      <c r="A2537" s="1">
        <v>45890</v>
      </c>
      <c r="B2537">
        <v>120.62</v>
      </c>
      <c r="C2537">
        <v>20472000</v>
      </c>
      <c r="D2537">
        <v>-0.43099999999999999</v>
      </c>
      <c r="E2537">
        <v>0</v>
      </c>
      <c r="H2537">
        <v>0</v>
      </c>
      <c r="J2537">
        <v>1</v>
      </c>
      <c r="K2537">
        <f>YEAR(NetflixData[[#This Row],[date]])</f>
        <v>2025</v>
      </c>
      <c r="L2537" t="str">
        <f>TEXT(NetflixData[[#This Row],[date]],"mmm")</f>
        <v>Aug</v>
      </c>
      <c r="M2537" t="str">
        <f>TEXT(NetflixData[[#This Row],[date]],"mmm yyyy")</f>
        <v>Aug 2025</v>
      </c>
      <c r="N2537" t="str">
        <f t="shared" si="117"/>
        <v>Trading Day</v>
      </c>
      <c r="O2537" t="str">
        <f t="shared" si="118"/>
        <v>Negative</v>
      </c>
      <c r="P2537" t="str">
        <f t="shared" si="119"/>
        <v>Neutral</v>
      </c>
    </row>
    <row r="2538" spans="1:16" x14ac:dyDescent="0.3">
      <c r="A2538" s="1">
        <v>45891</v>
      </c>
      <c r="B2538">
        <v>120.46</v>
      </c>
      <c r="C2538">
        <v>31281000</v>
      </c>
      <c r="D2538">
        <v>-0.35</v>
      </c>
      <c r="E2538">
        <v>0</v>
      </c>
      <c r="H2538">
        <v>0</v>
      </c>
      <c r="J2538">
        <v>1</v>
      </c>
      <c r="K2538">
        <f>YEAR(NetflixData[[#This Row],[date]])</f>
        <v>2025</v>
      </c>
      <c r="L2538" t="str">
        <f>TEXT(NetflixData[[#This Row],[date]],"mmm")</f>
        <v>Aug</v>
      </c>
      <c r="M2538" t="str">
        <f>TEXT(NetflixData[[#This Row],[date]],"mmm yyyy")</f>
        <v>Aug 2025</v>
      </c>
      <c r="N2538" t="str">
        <f t="shared" si="117"/>
        <v>Non-Trading Day</v>
      </c>
      <c r="O2538" t="str">
        <f t="shared" si="118"/>
        <v>Negative</v>
      </c>
      <c r="P2538" t="str">
        <f t="shared" si="119"/>
        <v>Neutral</v>
      </c>
    </row>
    <row r="2539" spans="1:16" x14ac:dyDescent="0.3">
      <c r="A2539" s="1">
        <v>45892</v>
      </c>
      <c r="B2539">
        <v>120.46</v>
      </c>
      <c r="C2539">
        <v>0</v>
      </c>
      <c r="D2539">
        <v>0</v>
      </c>
      <c r="E2539">
        <v>1</v>
      </c>
      <c r="F2539">
        <v>1</v>
      </c>
      <c r="G2539">
        <v>0.55740000000000001</v>
      </c>
      <c r="H2539">
        <v>0</v>
      </c>
      <c r="J2539">
        <v>0</v>
      </c>
      <c r="K2539">
        <f>YEAR(NetflixData[[#This Row],[date]])</f>
        <v>2025</v>
      </c>
      <c r="L2539" t="str">
        <f>TEXT(NetflixData[[#This Row],[date]],"mmm")</f>
        <v>Aug</v>
      </c>
      <c r="M2539" t="str">
        <f>TEXT(NetflixData[[#This Row],[date]],"mmm yyyy")</f>
        <v>Aug 2025</v>
      </c>
      <c r="N2539" t="str">
        <f t="shared" si="117"/>
        <v>Non-Trading Day</v>
      </c>
      <c r="O2539" t="str">
        <f t="shared" si="118"/>
        <v>No Change</v>
      </c>
      <c r="P2539" t="str">
        <f t="shared" si="119"/>
        <v>Positive</v>
      </c>
    </row>
    <row r="2540" spans="1:16" x14ac:dyDescent="0.3">
      <c r="A2540" s="1">
        <v>45893</v>
      </c>
      <c r="B2540">
        <v>120.46</v>
      </c>
      <c r="C2540">
        <v>0</v>
      </c>
      <c r="D2540">
        <v>0</v>
      </c>
      <c r="E2540">
        <v>1</v>
      </c>
      <c r="F2540">
        <v>2</v>
      </c>
      <c r="G2540">
        <v>7.6200000000000004E-2</v>
      </c>
      <c r="H2540">
        <v>0</v>
      </c>
      <c r="J2540">
        <v>0</v>
      </c>
      <c r="K2540">
        <f>YEAR(NetflixData[[#This Row],[date]])</f>
        <v>2025</v>
      </c>
      <c r="L2540" t="str">
        <f>TEXT(NetflixData[[#This Row],[date]],"mmm")</f>
        <v>Aug</v>
      </c>
      <c r="M2540" t="str">
        <f>TEXT(NetflixData[[#This Row],[date]],"mmm yyyy")</f>
        <v>Aug 2025</v>
      </c>
      <c r="N2540" t="str">
        <f t="shared" si="117"/>
        <v>Trading Day</v>
      </c>
      <c r="O2540" t="str">
        <f t="shared" si="118"/>
        <v>No Change</v>
      </c>
      <c r="P2540" t="str">
        <f t="shared" si="119"/>
        <v>Neutral</v>
      </c>
    </row>
    <row r="2541" spans="1:16" x14ac:dyDescent="0.3">
      <c r="A2541" s="1">
        <v>45894</v>
      </c>
      <c r="B2541">
        <v>121.81</v>
      </c>
      <c r="C2541">
        <v>28120000</v>
      </c>
      <c r="D2541">
        <v>1.3660000000000001</v>
      </c>
      <c r="E2541">
        <v>0</v>
      </c>
      <c r="H2541">
        <v>0</v>
      </c>
      <c r="J2541">
        <v>1</v>
      </c>
      <c r="K2541">
        <f>YEAR(NetflixData[[#This Row],[date]])</f>
        <v>2025</v>
      </c>
      <c r="L2541" t="str">
        <f>TEXT(NetflixData[[#This Row],[date]],"mmm")</f>
        <v>Aug</v>
      </c>
      <c r="M2541" t="str">
        <f>TEXT(NetflixData[[#This Row],[date]],"mmm yyyy")</f>
        <v>Aug 2025</v>
      </c>
      <c r="N2541" t="str">
        <f t="shared" si="117"/>
        <v>Trading Day</v>
      </c>
      <c r="O2541" t="str">
        <f t="shared" si="118"/>
        <v>Positive</v>
      </c>
      <c r="P2541" t="str">
        <f t="shared" si="119"/>
        <v>Neutral</v>
      </c>
    </row>
    <row r="2542" spans="1:16" x14ac:dyDescent="0.3">
      <c r="A2542" s="1">
        <v>45895</v>
      </c>
      <c r="B2542">
        <v>122.61</v>
      </c>
      <c r="C2542">
        <v>19857000</v>
      </c>
      <c r="D2542">
        <v>0.48199999999999998</v>
      </c>
      <c r="E2542">
        <v>1</v>
      </c>
      <c r="F2542">
        <v>5</v>
      </c>
      <c r="G2542">
        <v>0</v>
      </c>
      <c r="H2542">
        <v>0</v>
      </c>
      <c r="J2542">
        <v>1</v>
      </c>
      <c r="K2542">
        <f>YEAR(NetflixData[[#This Row],[date]])</f>
        <v>2025</v>
      </c>
      <c r="L2542" t="str">
        <f>TEXT(NetflixData[[#This Row],[date]],"mmm")</f>
        <v>Aug</v>
      </c>
      <c r="M2542" t="str">
        <f>TEXT(NetflixData[[#This Row],[date]],"mmm yyyy")</f>
        <v>Aug 2025</v>
      </c>
      <c r="N2542" t="str">
        <f t="shared" si="117"/>
        <v>Trading Day</v>
      </c>
      <c r="O2542" t="str">
        <f t="shared" si="118"/>
        <v>Positive</v>
      </c>
      <c r="P2542" t="str">
        <f t="shared" si="119"/>
        <v>Neutral</v>
      </c>
    </row>
    <row r="2543" spans="1:16" x14ac:dyDescent="0.3">
      <c r="A2543" s="1">
        <v>45896</v>
      </c>
      <c r="B2543">
        <v>122.35</v>
      </c>
      <c r="C2543">
        <v>16645000</v>
      </c>
      <c r="D2543">
        <v>-8.9999999999999993E-3</v>
      </c>
      <c r="E2543">
        <v>0</v>
      </c>
      <c r="H2543">
        <v>0</v>
      </c>
      <c r="J2543">
        <v>1</v>
      </c>
      <c r="K2543">
        <f>YEAR(NetflixData[[#This Row],[date]])</f>
        <v>2025</v>
      </c>
      <c r="L2543" t="str">
        <f>TEXT(NetflixData[[#This Row],[date]],"mmm")</f>
        <v>Aug</v>
      </c>
      <c r="M2543" t="str">
        <f>TEXT(NetflixData[[#This Row],[date]],"mmm yyyy")</f>
        <v>Aug 2025</v>
      </c>
      <c r="N2543" t="str">
        <f t="shared" si="117"/>
        <v>Trading Day</v>
      </c>
      <c r="O2543" t="str">
        <f t="shared" si="118"/>
        <v>Negative</v>
      </c>
      <c r="P2543" t="str">
        <f t="shared" si="119"/>
        <v>Neutral</v>
      </c>
    </row>
    <row r="2544" spans="1:16" x14ac:dyDescent="0.3">
      <c r="A2544" s="1">
        <v>45897</v>
      </c>
      <c r="B2544">
        <v>123.14</v>
      </c>
      <c r="C2544">
        <v>19503000</v>
      </c>
      <c r="D2544">
        <v>0.70799999999999996</v>
      </c>
      <c r="E2544">
        <v>0</v>
      </c>
      <c r="H2544">
        <v>0</v>
      </c>
      <c r="J2544">
        <v>1</v>
      </c>
      <c r="K2544">
        <f>YEAR(NetflixData[[#This Row],[date]])</f>
        <v>2025</v>
      </c>
      <c r="L2544" t="str">
        <f>TEXT(NetflixData[[#This Row],[date]],"mmm")</f>
        <v>Aug</v>
      </c>
      <c r="M2544" t="str">
        <f>TEXT(NetflixData[[#This Row],[date]],"mmm yyyy")</f>
        <v>Aug 2025</v>
      </c>
      <c r="N2544" t="str">
        <f t="shared" si="117"/>
        <v>Trading Day</v>
      </c>
      <c r="O2544" t="str">
        <f t="shared" si="118"/>
        <v>Positive</v>
      </c>
      <c r="P2544" t="str">
        <f t="shared" si="119"/>
        <v>Neutral</v>
      </c>
    </row>
    <row r="2545" spans="1:16" x14ac:dyDescent="0.3">
      <c r="A2545" s="1">
        <v>45898</v>
      </c>
      <c r="B2545">
        <v>120.82</v>
      </c>
      <c r="C2545">
        <v>32098000</v>
      </c>
      <c r="D2545">
        <v>-1.6060000000000001</v>
      </c>
      <c r="E2545">
        <v>0</v>
      </c>
      <c r="H2545">
        <v>0</v>
      </c>
      <c r="J2545">
        <v>1</v>
      </c>
      <c r="K2545">
        <f>YEAR(NetflixData[[#This Row],[date]])</f>
        <v>2025</v>
      </c>
      <c r="L2545" t="str">
        <f>TEXT(NetflixData[[#This Row],[date]],"mmm")</f>
        <v>Aug</v>
      </c>
      <c r="M2545" t="str">
        <f>TEXT(NetflixData[[#This Row],[date]],"mmm yyyy")</f>
        <v>Aug 2025</v>
      </c>
      <c r="N2545" t="str">
        <f t="shared" si="117"/>
        <v>Non-Trading Day</v>
      </c>
      <c r="O2545" t="str">
        <f t="shared" si="118"/>
        <v>Negative</v>
      </c>
      <c r="P2545" t="str">
        <f t="shared" si="119"/>
        <v>Neutral</v>
      </c>
    </row>
    <row r="2546" spans="1:16" x14ac:dyDescent="0.3">
      <c r="A2546" s="1">
        <v>45899</v>
      </c>
      <c r="B2546">
        <v>120.82</v>
      </c>
      <c r="C2546">
        <v>0</v>
      </c>
      <c r="D2546">
        <v>0</v>
      </c>
      <c r="E2546">
        <v>1</v>
      </c>
      <c r="F2546">
        <v>5</v>
      </c>
      <c r="G2546">
        <v>0</v>
      </c>
      <c r="H2546">
        <v>0</v>
      </c>
      <c r="J2546">
        <v>0</v>
      </c>
      <c r="K2546">
        <f>YEAR(NetflixData[[#This Row],[date]])</f>
        <v>2025</v>
      </c>
      <c r="L2546" t="str">
        <f>TEXT(NetflixData[[#This Row],[date]],"mmm")</f>
        <v>Aug</v>
      </c>
      <c r="M2546" t="str">
        <f>TEXT(NetflixData[[#This Row],[date]],"mmm yyyy")</f>
        <v>Aug 2025</v>
      </c>
      <c r="N2546" t="str">
        <f t="shared" si="117"/>
        <v>Non-Trading Day</v>
      </c>
      <c r="O2546" t="str">
        <f t="shared" si="118"/>
        <v>No Change</v>
      </c>
      <c r="P2546" t="str">
        <f t="shared" si="119"/>
        <v>Neutral</v>
      </c>
    </row>
    <row r="2547" spans="1:16" x14ac:dyDescent="0.3">
      <c r="A2547" s="1">
        <v>45900</v>
      </c>
      <c r="B2547">
        <v>120.82</v>
      </c>
      <c r="C2547">
        <v>0</v>
      </c>
      <c r="D2547">
        <v>0</v>
      </c>
      <c r="E2547">
        <v>0</v>
      </c>
      <c r="H2547">
        <v>0</v>
      </c>
      <c r="J2547">
        <v>0</v>
      </c>
      <c r="K2547">
        <f>YEAR(NetflixData[[#This Row],[date]])</f>
        <v>2025</v>
      </c>
      <c r="L2547" t="str">
        <f>TEXT(NetflixData[[#This Row],[date]],"mmm")</f>
        <v>Aug</v>
      </c>
      <c r="M2547" t="str">
        <f>TEXT(NetflixData[[#This Row],[date]],"mmm yyyy")</f>
        <v>Aug 2025</v>
      </c>
      <c r="N2547" t="str">
        <f t="shared" si="117"/>
        <v>Non-Trading Day</v>
      </c>
      <c r="O2547" t="str">
        <f t="shared" si="118"/>
        <v>No Change</v>
      </c>
      <c r="P2547" t="str">
        <f t="shared" si="119"/>
        <v>Neutral</v>
      </c>
    </row>
    <row r="2548" spans="1:16" x14ac:dyDescent="0.3">
      <c r="A2548" s="1">
        <v>45901</v>
      </c>
      <c r="B2548">
        <v>120.82</v>
      </c>
      <c r="C2548">
        <v>0</v>
      </c>
      <c r="D2548">
        <v>0</v>
      </c>
      <c r="E2548">
        <v>0</v>
      </c>
      <c r="H2548">
        <v>0</v>
      </c>
      <c r="J2548">
        <v>0</v>
      </c>
      <c r="K2548">
        <f>YEAR(NetflixData[[#This Row],[date]])</f>
        <v>2025</v>
      </c>
      <c r="L2548" t="str">
        <f>TEXT(NetflixData[[#This Row],[date]],"mmm")</f>
        <v>Sep</v>
      </c>
      <c r="M2548" t="str">
        <f>TEXT(NetflixData[[#This Row],[date]],"mmm yyyy")</f>
        <v>Sep 2025</v>
      </c>
      <c r="N2548" t="str">
        <f t="shared" si="117"/>
        <v>Trading Day</v>
      </c>
      <c r="O2548" t="str">
        <f t="shared" si="118"/>
        <v>No Change</v>
      </c>
      <c r="P2548" t="str">
        <f t="shared" si="119"/>
        <v>Neutral</v>
      </c>
    </row>
    <row r="2549" spans="1:16" x14ac:dyDescent="0.3">
      <c r="A2549" s="1">
        <v>45902</v>
      </c>
      <c r="B2549">
        <v>121.41</v>
      </c>
      <c r="C2549">
        <v>23033000</v>
      </c>
      <c r="D2549">
        <v>1.429</v>
      </c>
      <c r="E2549">
        <v>0</v>
      </c>
      <c r="H2549">
        <v>0</v>
      </c>
      <c r="J2549">
        <v>1</v>
      </c>
      <c r="K2549">
        <f>YEAR(NetflixData[[#This Row],[date]])</f>
        <v>2025</v>
      </c>
      <c r="L2549" t="str">
        <f>TEXT(NetflixData[[#This Row],[date]],"mmm")</f>
        <v>Sep</v>
      </c>
      <c r="M2549" t="str">
        <f>TEXT(NetflixData[[#This Row],[date]],"mmm yyyy")</f>
        <v>Sep 2025</v>
      </c>
      <c r="N2549" t="str">
        <f t="shared" si="117"/>
        <v>Trading Day</v>
      </c>
      <c r="O2549" t="str">
        <f t="shared" si="118"/>
        <v>Positive</v>
      </c>
      <c r="P2549" t="str">
        <f t="shared" si="119"/>
        <v>Neutral</v>
      </c>
    </row>
    <row r="2550" spans="1:16" x14ac:dyDescent="0.3">
      <c r="A2550" s="1">
        <v>45903</v>
      </c>
      <c r="B2550">
        <v>122.62</v>
      </c>
      <c r="C2550">
        <v>24715000</v>
      </c>
      <c r="D2550">
        <v>1.746</v>
      </c>
      <c r="E2550">
        <v>11</v>
      </c>
      <c r="F2550">
        <v>3.73</v>
      </c>
      <c r="G2550">
        <v>0.1946</v>
      </c>
      <c r="H2550">
        <v>0</v>
      </c>
      <c r="J2550">
        <v>1</v>
      </c>
      <c r="K2550">
        <f>YEAR(NetflixData[[#This Row],[date]])</f>
        <v>2025</v>
      </c>
      <c r="L2550" t="str">
        <f>TEXT(NetflixData[[#This Row],[date]],"mmm")</f>
        <v>Sep</v>
      </c>
      <c r="M2550" t="str">
        <f>TEXT(NetflixData[[#This Row],[date]],"mmm yyyy")</f>
        <v>Sep 2025</v>
      </c>
      <c r="N2550" t="str">
        <f t="shared" si="117"/>
        <v>Trading Day</v>
      </c>
      <c r="O2550" t="str">
        <f t="shared" si="118"/>
        <v>Positive</v>
      </c>
      <c r="P2550" t="str">
        <f t="shared" si="119"/>
        <v>Positive</v>
      </c>
    </row>
    <row r="2551" spans="1:16" x14ac:dyDescent="0.3">
      <c r="A2551" s="1">
        <v>45904</v>
      </c>
      <c r="B2551">
        <v>125.75</v>
      </c>
      <c r="C2551">
        <v>30235000</v>
      </c>
      <c r="D2551">
        <v>2.802</v>
      </c>
      <c r="E2551">
        <v>48</v>
      </c>
      <c r="F2551">
        <v>3.12</v>
      </c>
      <c r="G2551">
        <v>9.6799999999999997E-2</v>
      </c>
      <c r="H2551">
        <v>0</v>
      </c>
      <c r="J2551">
        <v>1</v>
      </c>
      <c r="K2551">
        <f>YEAR(NetflixData[[#This Row],[date]])</f>
        <v>2025</v>
      </c>
      <c r="L2551" t="str">
        <f>TEXT(NetflixData[[#This Row],[date]],"mmm")</f>
        <v>Sep</v>
      </c>
      <c r="M2551" t="str">
        <f>TEXT(NetflixData[[#This Row],[date]],"mmm yyyy")</f>
        <v>Sep 2025</v>
      </c>
      <c r="N2551" t="str">
        <f t="shared" si="117"/>
        <v>Trading Day</v>
      </c>
      <c r="O2551" t="str">
        <f t="shared" si="118"/>
        <v>Positive</v>
      </c>
      <c r="P2551" t="str">
        <f t="shared" si="119"/>
        <v>Neutral</v>
      </c>
    </row>
    <row r="2552" spans="1:16" x14ac:dyDescent="0.3">
      <c r="A2552" s="1">
        <v>45905</v>
      </c>
      <c r="B2552">
        <v>124.38</v>
      </c>
      <c r="C2552">
        <v>23797000</v>
      </c>
      <c r="D2552">
        <v>-1.284</v>
      </c>
      <c r="E2552">
        <v>48</v>
      </c>
      <c r="F2552">
        <v>3.23</v>
      </c>
      <c r="G2552">
        <v>0.24809999999999999</v>
      </c>
      <c r="H2552">
        <v>0</v>
      </c>
      <c r="J2552">
        <v>1</v>
      </c>
      <c r="K2552">
        <f>YEAR(NetflixData[[#This Row],[date]])</f>
        <v>2025</v>
      </c>
      <c r="L2552" t="str">
        <f>TEXT(NetflixData[[#This Row],[date]],"mmm")</f>
        <v>Sep</v>
      </c>
      <c r="M2552" t="str">
        <f>TEXT(NetflixData[[#This Row],[date]],"mmm yyyy")</f>
        <v>Sep 2025</v>
      </c>
      <c r="N2552" t="str">
        <f t="shared" si="117"/>
        <v>Non-Trading Day</v>
      </c>
      <c r="O2552" t="str">
        <f t="shared" si="118"/>
        <v>Negative</v>
      </c>
      <c r="P2552" t="str">
        <f t="shared" si="119"/>
        <v>Positive</v>
      </c>
    </row>
    <row r="2553" spans="1:16" x14ac:dyDescent="0.3">
      <c r="A2553" s="1">
        <v>45906</v>
      </c>
      <c r="B2553">
        <v>124.38</v>
      </c>
      <c r="C2553">
        <v>0</v>
      </c>
      <c r="D2553">
        <v>0</v>
      </c>
      <c r="E2553">
        <v>63</v>
      </c>
      <c r="F2553">
        <v>2.75</v>
      </c>
      <c r="G2553">
        <v>0.1867</v>
      </c>
      <c r="H2553">
        <v>0</v>
      </c>
      <c r="J2553">
        <v>0</v>
      </c>
      <c r="K2553">
        <f>YEAR(NetflixData[[#This Row],[date]])</f>
        <v>2025</v>
      </c>
      <c r="L2553" t="str">
        <f>TEXT(NetflixData[[#This Row],[date]],"mmm")</f>
        <v>Sep</v>
      </c>
      <c r="M2553" t="str">
        <f>TEXT(NetflixData[[#This Row],[date]],"mmm yyyy")</f>
        <v>Sep 2025</v>
      </c>
      <c r="N2553" t="str">
        <f t="shared" si="117"/>
        <v>Non-Trading Day</v>
      </c>
      <c r="O2553" t="str">
        <f t="shared" si="118"/>
        <v>No Change</v>
      </c>
      <c r="P2553" t="str">
        <f t="shared" si="119"/>
        <v>Positive</v>
      </c>
    </row>
    <row r="2554" spans="1:16" x14ac:dyDescent="0.3">
      <c r="A2554" s="1">
        <v>45907</v>
      </c>
      <c r="B2554">
        <v>124.38</v>
      </c>
      <c r="C2554">
        <v>0</v>
      </c>
      <c r="D2554">
        <v>0</v>
      </c>
      <c r="E2554">
        <v>60</v>
      </c>
      <c r="F2554">
        <v>3.43</v>
      </c>
      <c r="G2554">
        <v>0.1893</v>
      </c>
      <c r="H2554">
        <v>0</v>
      </c>
      <c r="J2554">
        <v>0</v>
      </c>
      <c r="K2554">
        <f>YEAR(NetflixData[[#This Row],[date]])</f>
        <v>2025</v>
      </c>
      <c r="L2554" t="str">
        <f>TEXT(NetflixData[[#This Row],[date]],"mmm")</f>
        <v>Sep</v>
      </c>
      <c r="M2554" t="str">
        <f>TEXT(NetflixData[[#This Row],[date]],"mmm yyyy")</f>
        <v>Sep 2025</v>
      </c>
      <c r="N2554" t="str">
        <f t="shared" si="117"/>
        <v>Trading Day</v>
      </c>
      <c r="O2554" t="str">
        <f t="shared" si="118"/>
        <v>No Change</v>
      </c>
      <c r="P2554" t="str">
        <f t="shared" si="119"/>
        <v>Positive</v>
      </c>
    </row>
    <row r="2555" spans="1:16" x14ac:dyDescent="0.3">
      <c r="A2555" s="1">
        <v>45908</v>
      </c>
      <c r="B2555">
        <v>124.48</v>
      </c>
      <c r="C2555">
        <v>19151000</v>
      </c>
      <c r="D2555">
        <v>-0.30299999999999999</v>
      </c>
      <c r="E2555">
        <v>37</v>
      </c>
      <c r="F2555">
        <v>3.35</v>
      </c>
      <c r="G2555">
        <v>0.21740000000000001</v>
      </c>
      <c r="H2555">
        <v>0</v>
      </c>
      <c r="J2555">
        <v>1</v>
      </c>
      <c r="K2555">
        <f>YEAR(NetflixData[[#This Row],[date]])</f>
        <v>2025</v>
      </c>
      <c r="L2555" t="str">
        <f>TEXT(NetflixData[[#This Row],[date]],"mmm")</f>
        <v>Sep</v>
      </c>
      <c r="M2555" t="str">
        <f>TEXT(NetflixData[[#This Row],[date]],"mmm yyyy")</f>
        <v>Sep 2025</v>
      </c>
      <c r="N2555" t="str">
        <f t="shared" si="117"/>
        <v>Trading Day</v>
      </c>
      <c r="O2555" t="str">
        <f t="shared" si="118"/>
        <v>Negative</v>
      </c>
      <c r="P2555" t="str">
        <f t="shared" si="119"/>
        <v>Positive</v>
      </c>
    </row>
    <row r="2556" spans="1:16" x14ac:dyDescent="0.3">
      <c r="A2556" s="1">
        <v>45909</v>
      </c>
      <c r="B2556">
        <v>126.32</v>
      </c>
      <c r="C2556">
        <v>22197000</v>
      </c>
      <c r="D2556">
        <v>1.33</v>
      </c>
      <c r="E2556">
        <v>54</v>
      </c>
      <c r="F2556">
        <v>3.2</v>
      </c>
      <c r="G2556">
        <v>9.5200000000000007E-2</v>
      </c>
      <c r="H2556">
        <v>0</v>
      </c>
      <c r="J2556">
        <v>1</v>
      </c>
      <c r="K2556">
        <f>YEAR(NetflixData[[#This Row],[date]])</f>
        <v>2025</v>
      </c>
      <c r="L2556" t="str">
        <f>TEXT(NetflixData[[#This Row],[date]],"mmm")</f>
        <v>Sep</v>
      </c>
      <c r="M2556" t="str">
        <f>TEXT(NetflixData[[#This Row],[date]],"mmm yyyy")</f>
        <v>Sep 2025</v>
      </c>
      <c r="N2556" t="str">
        <f t="shared" si="117"/>
        <v>Trading Day</v>
      </c>
      <c r="O2556" t="str">
        <f t="shared" si="118"/>
        <v>Positive</v>
      </c>
      <c r="P2556" t="str">
        <f t="shared" si="119"/>
        <v>Neutral</v>
      </c>
    </row>
    <row r="2557" spans="1:16" x14ac:dyDescent="0.3">
      <c r="A2557" s="1">
        <v>45910</v>
      </c>
      <c r="B2557">
        <v>124.77</v>
      </c>
      <c r="C2557">
        <v>27010000</v>
      </c>
      <c r="D2557">
        <v>-1.286</v>
      </c>
      <c r="E2557">
        <v>42</v>
      </c>
      <c r="F2557">
        <v>3.71</v>
      </c>
      <c r="G2557">
        <v>0.25019999999999998</v>
      </c>
      <c r="H2557">
        <v>0</v>
      </c>
      <c r="J2557">
        <v>1</v>
      </c>
      <c r="K2557">
        <f>YEAR(NetflixData[[#This Row],[date]])</f>
        <v>2025</v>
      </c>
      <c r="L2557" t="str">
        <f>TEXT(NetflixData[[#This Row],[date]],"mmm")</f>
        <v>Sep</v>
      </c>
      <c r="M2557" t="str">
        <f>TEXT(NetflixData[[#This Row],[date]],"mmm yyyy")</f>
        <v>Sep 2025</v>
      </c>
      <c r="N2557" t="str">
        <f t="shared" si="117"/>
        <v>Trading Day</v>
      </c>
      <c r="O2557" t="str">
        <f t="shared" si="118"/>
        <v>Negative</v>
      </c>
      <c r="P2557" t="str">
        <f t="shared" si="119"/>
        <v>Positive</v>
      </c>
    </row>
    <row r="2558" spans="1:16" x14ac:dyDescent="0.3">
      <c r="A2558" s="1">
        <v>45911</v>
      </c>
      <c r="B2558">
        <v>120.35</v>
      </c>
      <c r="C2558">
        <v>56823000</v>
      </c>
      <c r="D2558">
        <v>-3.7970000000000002</v>
      </c>
      <c r="E2558">
        <v>41</v>
      </c>
      <c r="F2558">
        <v>3.22</v>
      </c>
      <c r="G2558">
        <v>0.1744</v>
      </c>
      <c r="H2558">
        <v>0</v>
      </c>
      <c r="J2558">
        <v>1</v>
      </c>
      <c r="K2558">
        <f>YEAR(NetflixData[[#This Row],[date]])</f>
        <v>2025</v>
      </c>
      <c r="L2558" t="str">
        <f>TEXT(NetflixData[[#This Row],[date]],"mmm")</f>
        <v>Sep</v>
      </c>
      <c r="M2558" t="str">
        <f>TEXT(NetflixData[[#This Row],[date]],"mmm yyyy")</f>
        <v>Sep 2025</v>
      </c>
      <c r="N2558" t="str">
        <f t="shared" si="117"/>
        <v>Trading Day</v>
      </c>
      <c r="O2558" t="str">
        <f t="shared" si="118"/>
        <v>Negative</v>
      </c>
      <c r="P2558" t="str">
        <f t="shared" si="119"/>
        <v>Positive</v>
      </c>
    </row>
    <row r="2559" spans="1:16" x14ac:dyDescent="0.3">
      <c r="A2559" s="1">
        <v>45912</v>
      </c>
      <c r="B2559">
        <v>118.84</v>
      </c>
      <c r="C2559">
        <v>37849000</v>
      </c>
      <c r="D2559">
        <v>-1.2150000000000001</v>
      </c>
      <c r="E2559">
        <v>42</v>
      </c>
      <c r="F2559">
        <v>3.74</v>
      </c>
      <c r="G2559">
        <v>0.2167</v>
      </c>
      <c r="H2559">
        <v>0</v>
      </c>
      <c r="J2559">
        <v>1</v>
      </c>
      <c r="K2559">
        <f>YEAR(NetflixData[[#This Row],[date]])</f>
        <v>2025</v>
      </c>
      <c r="L2559" t="str">
        <f>TEXT(NetflixData[[#This Row],[date]],"mmm")</f>
        <v>Sep</v>
      </c>
      <c r="M2559" t="str">
        <f>TEXT(NetflixData[[#This Row],[date]],"mmm yyyy")</f>
        <v>Sep 2025</v>
      </c>
      <c r="N2559" t="str">
        <f t="shared" si="117"/>
        <v>Non-Trading Day</v>
      </c>
      <c r="O2559" t="str">
        <f t="shared" si="118"/>
        <v>Negative</v>
      </c>
      <c r="P2559" t="str">
        <f t="shared" si="119"/>
        <v>Positive</v>
      </c>
    </row>
    <row r="2560" spans="1:16" x14ac:dyDescent="0.3">
      <c r="A2560" s="1">
        <v>45913</v>
      </c>
      <c r="B2560">
        <v>118.84</v>
      </c>
      <c r="C2560">
        <v>0</v>
      </c>
      <c r="D2560">
        <v>0</v>
      </c>
      <c r="E2560">
        <v>46</v>
      </c>
      <c r="F2560">
        <v>3.2</v>
      </c>
      <c r="G2560">
        <v>0.10879999999999999</v>
      </c>
      <c r="H2560">
        <v>0</v>
      </c>
      <c r="J2560">
        <v>0</v>
      </c>
      <c r="K2560">
        <f>YEAR(NetflixData[[#This Row],[date]])</f>
        <v>2025</v>
      </c>
      <c r="L2560" t="str">
        <f>TEXT(NetflixData[[#This Row],[date]],"mmm")</f>
        <v>Sep</v>
      </c>
      <c r="M2560" t="str">
        <f>TEXT(NetflixData[[#This Row],[date]],"mmm yyyy")</f>
        <v>Sep 2025</v>
      </c>
      <c r="N2560" t="str">
        <f t="shared" si="117"/>
        <v>Non-Trading Day</v>
      </c>
      <c r="O2560" t="str">
        <f t="shared" si="118"/>
        <v>No Change</v>
      </c>
      <c r="P2560" t="str">
        <f t="shared" si="119"/>
        <v>Positive</v>
      </c>
    </row>
    <row r="2561" spans="1:16" x14ac:dyDescent="0.3">
      <c r="A2561" s="1">
        <v>45914</v>
      </c>
      <c r="B2561">
        <v>118.84</v>
      </c>
      <c r="C2561">
        <v>0</v>
      </c>
      <c r="D2561">
        <v>0</v>
      </c>
      <c r="E2561">
        <v>77</v>
      </c>
      <c r="F2561">
        <v>2.71</v>
      </c>
      <c r="G2561">
        <v>5.4100000000000002E-2</v>
      </c>
      <c r="H2561">
        <v>0</v>
      </c>
      <c r="J2561">
        <v>0</v>
      </c>
      <c r="K2561">
        <f>YEAR(NetflixData[[#This Row],[date]])</f>
        <v>2025</v>
      </c>
      <c r="L2561" t="str">
        <f>TEXT(NetflixData[[#This Row],[date]],"mmm")</f>
        <v>Sep</v>
      </c>
      <c r="M2561" t="str">
        <f>TEXT(NetflixData[[#This Row],[date]],"mmm yyyy")</f>
        <v>Sep 2025</v>
      </c>
      <c r="N2561" t="str">
        <f t="shared" si="117"/>
        <v>Trading Day</v>
      </c>
      <c r="O2561" t="str">
        <f t="shared" si="118"/>
        <v>No Change</v>
      </c>
      <c r="P2561" t="str">
        <f t="shared" si="119"/>
        <v>Neutral</v>
      </c>
    </row>
    <row r="2562" spans="1:16" x14ac:dyDescent="0.3">
      <c r="A2562" s="1">
        <v>45915</v>
      </c>
      <c r="B2562">
        <v>120.23</v>
      </c>
      <c r="C2562">
        <v>29093000</v>
      </c>
      <c r="D2562">
        <v>1.1659999999999999</v>
      </c>
      <c r="E2562">
        <v>53</v>
      </c>
      <c r="F2562">
        <v>3.11</v>
      </c>
      <c r="G2562">
        <v>5.62E-2</v>
      </c>
      <c r="H2562">
        <v>0</v>
      </c>
      <c r="J2562">
        <v>1</v>
      </c>
      <c r="K2562">
        <f>YEAR(NetflixData[[#This Row],[date]])</f>
        <v>2025</v>
      </c>
      <c r="L2562" t="str">
        <f>TEXT(NetflixData[[#This Row],[date]],"mmm")</f>
        <v>Sep</v>
      </c>
      <c r="M2562" t="str">
        <f>TEXT(NetflixData[[#This Row],[date]],"mmm yyyy")</f>
        <v>Sep 2025</v>
      </c>
      <c r="N2562" t="str">
        <f t="shared" ref="N2562:N2625" si="120">IF(J2563=1,"Trading Day","Non-Trading Day")</f>
        <v>Trading Day</v>
      </c>
      <c r="O2562" t="str">
        <f t="shared" ref="O2562:O2625" si="121">IF(D2562&gt;0,"Positive",IF(D2562&lt;0,"Negative","No Change"))</f>
        <v>Positive</v>
      </c>
      <c r="P2562" t="str">
        <f t="shared" ref="P2562:P2625" si="122">IF(G2562&gt;0.1,"Positive",IF(G2562&lt;-0.1,"Negative","Neutral"))</f>
        <v>Neutral</v>
      </c>
    </row>
    <row r="2563" spans="1:16" x14ac:dyDescent="0.3">
      <c r="A2563" s="1">
        <v>45916</v>
      </c>
      <c r="B2563">
        <v>120.05</v>
      </c>
      <c r="C2563">
        <v>24047000</v>
      </c>
      <c r="D2563">
        <v>-0.42599999999999999</v>
      </c>
      <c r="E2563">
        <v>50</v>
      </c>
      <c r="F2563">
        <v>3.4</v>
      </c>
      <c r="G2563">
        <v>0.19969999999999999</v>
      </c>
      <c r="H2563">
        <v>0</v>
      </c>
      <c r="J2563">
        <v>1</v>
      </c>
      <c r="K2563">
        <f>YEAR(NetflixData[[#This Row],[date]])</f>
        <v>2025</v>
      </c>
      <c r="L2563" t="str">
        <f>TEXT(NetflixData[[#This Row],[date]],"mmm")</f>
        <v>Sep</v>
      </c>
      <c r="M2563" t="str">
        <f>TEXT(NetflixData[[#This Row],[date]],"mmm yyyy")</f>
        <v>Sep 2025</v>
      </c>
      <c r="N2563" t="str">
        <f t="shared" si="120"/>
        <v>Trading Day</v>
      </c>
      <c r="O2563" t="str">
        <f t="shared" si="121"/>
        <v>Negative</v>
      </c>
      <c r="P2563" t="str">
        <f t="shared" si="122"/>
        <v>Positive</v>
      </c>
    </row>
    <row r="2564" spans="1:16" x14ac:dyDescent="0.3">
      <c r="A2564" s="1">
        <v>45917</v>
      </c>
      <c r="B2564">
        <v>122.85</v>
      </c>
      <c r="C2564">
        <v>34598000</v>
      </c>
      <c r="D2564">
        <v>0.61299999999999999</v>
      </c>
      <c r="E2564">
        <v>51</v>
      </c>
      <c r="F2564">
        <v>2.67</v>
      </c>
      <c r="G2564">
        <v>4.1399999999999999E-2</v>
      </c>
      <c r="H2564">
        <v>0</v>
      </c>
      <c r="J2564">
        <v>1</v>
      </c>
      <c r="K2564">
        <f>YEAR(NetflixData[[#This Row],[date]])</f>
        <v>2025</v>
      </c>
      <c r="L2564" t="str">
        <f>TEXT(NetflixData[[#This Row],[date]],"mmm")</f>
        <v>Sep</v>
      </c>
      <c r="M2564" t="str">
        <f>TEXT(NetflixData[[#This Row],[date]],"mmm yyyy")</f>
        <v>Sep 2025</v>
      </c>
      <c r="N2564" t="str">
        <f t="shared" si="120"/>
        <v>Trading Day</v>
      </c>
      <c r="O2564" t="str">
        <f t="shared" si="121"/>
        <v>Positive</v>
      </c>
      <c r="P2564" t="str">
        <f t="shared" si="122"/>
        <v>Neutral</v>
      </c>
    </row>
    <row r="2565" spans="1:16" x14ac:dyDescent="0.3">
      <c r="A2565" s="1">
        <v>45918</v>
      </c>
      <c r="B2565">
        <v>120.78</v>
      </c>
      <c r="C2565">
        <v>31691000</v>
      </c>
      <c r="D2565">
        <v>-1.0680000000000001</v>
      </c>
      <c r="E2565">
        <v>55</v>
      </c>
      <c r="F2565">
        <v>2.96</v>
      </c>
      <c r="G2565">
        <v>0.126</v>
      </c>
      <c r="H2565">
        <v>0</v>
      </c>
      <c r="J2565">
        <v>1</v>
      </c>
      <c r="K2565">
        <f>YEAR(NetflixData[[#This Row],[date]])</f>
        <v>2025</v>
      </c>
      <c r="L2565" t="str">
        <f>TEXT(NetflixData[[#This Row],[date]],"mmm")</f>
        <v>Sep</v>
      </c>
      <c r="M2565" t="str">
        <f>TEXT(NetflixData[[#This Row],[date]],"mmm yyyy")</f>
        <v>Sep 2025</v>
      </c>
      <c r="N2565" t="str">
        <f t="shared" si="120"/>
        <v>Trading Day</v>
      </c>
      <c r="O2565" t="str">
        <f t="shared" si="121"/>
        <v>Negative</v>
      </c>
      <c r="P2565" t="str">
        <f t="shared" si="122"/>
        <v>Positive</v>
      </c>
    </row>
    <row r="2566" spans="1:16" x14ac:dyDescent="0.3">
      <c r="A2566" s="1">
        <v>45919</v>
      </c>
      <c r="B2566">
        <v>122.7</v>
      </c>
      <c r="C2566">
        <v>49476000</v>
      </c>
      <c r="D2566">
        <v>0.68500000000000005</v>
      </c>
      <c r="E2566">
        <v>53</v>
      </c>
      <c r="F2566">
        <v>3</v>
      </c>
      <c r="G2566">
        <v>0.151</v>
      </c>
      <c r="H2566">
        <v>0</v>
      </c>
      <c r="J2566">
        <v>1</v>
      </c>
      <c r="K2566">
        <f>YEAR(NetflixData[[#This Row],[date]])</f>
        <v>2025</v>
      </c>
      <c r="L2566" t="str">
        <f>TEXT(NetflixData[[#This Row],[date]],"mmm")</f>
        <v>Sep</v>
      </c>
      <c r="M2566" t="str">
        <f>TEXT(NetflixData[[#This Row],[date]],"mmm yyyy")</f>
        <v>Sep 2025</v>
      </c>
      <c r="N2566" t="str">
        <f t="shared" si="120"/>
        <v>Non-Trading Day</v>
      </c>
      <c r="O2566" t="str">
        <f t="shared" si="121"/>
        <v>Positive</v>
      </c>
      <c r="P2566" t="str">
        <f t="shared" si="122"/>
        <v>Positive</v>
      </c>
    </row>
    <row r="2567" spans="1:16" x14ac:dyDescent="0.3">
      <c r="A2567" s="1">
        <v>45920</v>
      </c>
      <c r="B2567">
        <v>122.7</v>
      </c>
      <c r="C2567">
        <v>0</v>
      </c>
      <c r="D2567">
        <v>0</v>
      </c>
      <c r="E2567">
        <v>53</v>
      </c>
      <c r="F2567">
        <v>3</v>
      </c>
      <c r="G2567">
        <v>0.126</v>
      </c>
      <c r="H2567">
        <v>0</v>
      </c>
      <c r="J2567">
        <v>0</v>
      </c>
      <c r="K2567">
        <f>YEAR(NetflixData[[#This Row],[date]])</f>
        <v>2025</v>
      </c>
      <c r="L2567" t="str">
        <f>TEXT(NetflixData[[#This Row],[date]],"mmm")</f>
        <v>Sep</v>
      </c>
      <c r="M2567" t="str">
        <f>TEXT(NetflixData[[#This Row],[date]],"mmm yyyy")</f>
        <v>Sep 2025</v>
      </c>
      <c r="N2567" t="str">
        <f t="shared" si="120"/>
        <v>Non-Trading Day</v>
      </c>
      <c r="O2567" t="str">
        <f t="shared" si="121"/>
        <v>No Change</v>
      </c>
      <c r="P2567" t="str">
        <f t="shared" si="122"/>
        <v>Positive</v>
      </c>
    </row>
    <row r="2568" spans="1:16" x14ac:dyDescent="0.3">
      <c r="A2568" s="1">
        <v>45921</v>
      </c>
      <c r="B2568">
        <v>122.7</v>
      </c>
      <c r="C2568">
        <v>0</v>
      </c>
      <c r="D2568">
        <v>0</v>
      </c>
      <c r="E2568">
        <v>71</v>
      </c>
      <c r="F2568">
        <v>2.77</v>
      </c>
      <c r="G2568">
        <v>8.5300000000000001E-2</v>
      </c>
      <c r="H2568">
        <v>0</v>
      </c>
      <c r="J2568">
        <v>0</v>
      </c>
      <c r="K2568">
        <f>YEAR(NetflixData[[#This Row],[date]])</f>
        <v>2025</v>
      </c>
      <c r="L2568" t="str">
        <f>TEXT(NetflixData[[#This Row],[date]],"mmm")</f>
        <v>Sep</v>
      </c>
      <c r="M2568" t="str">
        <f>TEXT(NetflixData[[#This Row],[date]],"mmm yyyy")</f>
        <v>Sep 2025</v>
      </c>
      <c r="N2568" t="str">
        <f t="shared" si="120"/>
        <v>Trading Day</v>
      </c>
      <c r="O2568" t="str">
        <f t="shared" si="121"/>
        <v>No Change</v>
      </c>
      <c r="P2568" t="str">
        <f t="shared" si="122"/>
        <v>Neutral</v>
      </c>
    </row>
    <row r="2569" spans="1:16" x14ac:dyDescent="0.3">
      <c r="A2569" s="1">
        <v>45922</v>
      </c>
      <c r="B2569">
        <v>122.74</v>
      </c>
      <c r="C2569">
        <v>25468000</v>
      </c>
      <c r="D2569">
        <v>0.44800000000000001</v>
      </c>
      <c r="E2569">
        <v>43</v>
      </c>
      <c r="F2569">
        <v>2.5299999999999998</v>
      </c>
      <c r="G2569">
        <v>0.13439999999999999</v>
      </c>
      <c r="H2569">
        <v>0</v>
      </c>
      <c r="J2569">
        <v>1</v>
      </c>
      <c r="K2569">
        <f>YEAR(NetflixData[[#This Row],[date]])</f>
        <v>2025</v>
      </c>
      <c r="L2569" t="str">
        <f>TEXT(NetflixData[[#This Row],[date]],"mmm")</f>
        <v>Sep</v>
      </c>
      <c r="M2569" t="str">
        <f>TEXT(NetflixData[[#This Row],[date]],"mmm yyyy")</f>
        <v>Sep 2025</v>
      </c>
      <c r="N2569" t="str">
        <f t="shared" si="120"/>
        <v>Trading Day</v>
      </c>
      <c r="O2569" t="str">
        <f t="shared" si="121"/>
        <v>Positive</v>
      </c>
      <c r="P2569" t="str">
        <f t="shared" si="122"/>
        <v>Positive</v>
      </c>
    </row>
    <row r="2570" spans="1:16" x14ac:dyDescent="0.3">
      <c r="A2570" s="1">
        <v>45923</v>
      </c>
      <c r="B2570">
        <v>121.85</v>
      </c>
      <c r="C2570">
        <v>24991000</v>
      </c>
      <c r="D2570">
        <v>-0.72199999999999998</v>
      </c>
      <c r="E2570">
        <v>47</v>
      </c>
      <c r="F2570">
        <v>2.91</v>
      </c>
      <c r="G2570">
        <v>0.1363</v>
      </c>
      <c r="H2570">
        <v>0</v>
      </c>
      <c r="J2570">
        <v>1</v>
      </c>
      <c r="K2570">
        <f>YEAR(NetflixData[[#This Row],[date]])</f>
        <v>2025</v>
      </c>
      <c r="L2570" t="str">
        <f>TEXT(NetflixData[[#This Row],[date]],"mmm")</f>
        <v>Sep</v>
      </c>
      <c r="M2570" t="str">
        <f>TEXT(NetflixData[[#This Row],[date]],"mmm yyyy")</f>
        <v>Sep 2025</v>
      </c>
      <c r="N2570" t="str">
        <f t="shared" si="120"/>
        <v>Trading Day</v>
      </c>
      <c r="O2570" t="str">
        <f t="shared" si="121"/>
        <v>Negative</v>
      </c>
      <c r="P2570" t="str">
        <f t="shared" si="122"/>
        <v>Positive</v>
      </c>
    </row>
    <row r="2571" spans="1:16" x14ac:dyDescent="0.3">
      <c r="A2571" s="1">
        <v>45924</v>
      </c>
      <c r="B2571">
        <v>120.39</v>
      </c>
      <c r="C2571">
        <v>27731000</v>
      </c>
      <c r="D2571">
        <v>-1.2030000000000001</v>
      </c>
      <c r="E2571">
        <v>54</v>
      </c>
      <c r="F2571">
        <v>3.22</v>
      </c>
      <c r="G2571">
        <v>0.1779</v>
      </c>
      <c r="H2571">
        <v>0</v>
      </c>
      <c r="J2571">
        <v>1</v>
      </c>
      <c r="K2571">
        <f>YEAR(NetflixData[[#This Row],[date]])</f>
        <v>2025</v>
      </c>
      <c r="L2571" t="str">
        <f>TEXT(NetflixData[[#This Row],[date]],"mmm")</f>
        <v>Sep</v>
      </c>
      <c r="M2571" t="str">
        <f>TEXT(NetflixData[[#This Row],[date]],"mmm yyyy")</f>
        <v>Sep 2025</v>
      </c>
      <c r="N2571" t="str">
        <f t="shared" si="120"/>
        <v>Trading Day</v>
      </c>
      <c r="O2571" t="str">
        <f t="shared" si="121"/>
        <v>Negative</v>
      </c>
      <c r="P2571" t="str">
        <f t="shared" si="122"/>
        <v>Positive</v>
      </c>
    </row>
    <row r="2572" spans="1:16" x14ac:dyDescent="0.3">
      <c r="A2572" s="1">
        <v>45925</v>
      </c>
      <c r="B2572">
        <v>120.82</v>
      </c>
      <c r="C2572">
        <v>19978000</v>
      </c>
      <c r="D2572">
        <v>0.42799999999999999</v>
      </c>
      <c r="E2572">
        <v>57</v>
      </c>
      <c r="F2572">
        <v>3.42</v>
      </c>
      <c r="G2572">
        <v>0.19900000000000001</v>
      </c>
      <c r="H2572">
        <v>0</v>
      </c>
      <c r="J2572">
        <v>1</v>
      </c>
      <c r="K2572">
        <f>YEAR(NetflixData[[#This Row],[date]])</f>
        <v>2025</v>
      </c>
      <c r="L2572" t="str">
        <f>TEXT(NetflixData[[#This Row],[date]],"mmm")</f>
        <v>Sep</v>
      </c>
      <c r="M2572" t="str">
        <f>TEXT(NetflixData[[#This Row],[date]],"mmm yyyy")</f>
        <v>Sep 2025</v>
      </c>
      <c r="N2572" t="str">
        <f t="shared" si="120"/>
        <v>Trading Day</v>
      </c>
      <c r="O2572" t="str">
        <f t="shared" si="121"/>
        <v>Positive</v>
      </c>
      <c r="P2572" t="str">
        <f t="shared" si="122"/>
        <v>Positive</v>
      </c>
    </row>
    <row r="2573" spans="1:16" x14ac:dyDescent="0.3">
      <c r="A2573" s="1">
        <v>45926</v>
      </c>
      <c r="B2573">
        <v>121.06</v>
      </c>
      <c r="C2573">
        <v>19450000</v>
      </c>
      <c r="D2573">
        <v>0.43099999999999999</v>
      </c>
      <c r="E2573">
        <v>54</v>
      </c>
      <c r="F2573">
        <v>2.93</v>
      </c>
      <c r="G2573">
        <v>0.23710000000000001</v>
      </c>
      <c r="H2573">
        <v>0</v>
      </c>
      <c r="J2573">
        <v>1</v>
      </c>
      <c r="K2573">
        <f>YEAR(NetflixData[[#This Row],[date]])</f>
        <v>2025</v>
      </c>
      <c r="L2573" t="str">
        <f>TEXT(NetflixData[[#This Row],[date]],"mmm")</f>
        <v>Sep</v>
      </c>
      <c r="M2573" t="str">
        <f>TEXT(NetflixData[[#This Row],[date]],"mmm yyyy")</f>
        <v>Sep 2025</v>
      </c>
      <c r="N2573" t="str">
        <f t="shared" si="120"/>
        <v>Non-Trading Day</v>
      </c>
      <c r="O2573" t="str">
        <f t="shared" si="121"/>
        <v>Positive</v>
      </c>
      <c r="P2573" t="str">
        <f t="shared" si="122"/>
        <v>Positive</v>
      </c>
    </row>
    <row r="2574" spans="1:16" x14ac:dyDescent="0.3">
      <c r="A2574" s="1">
        <v>45927</v>
      </c>
      <c r="B2574">
        <v>121.06</v>
      </c>
      <c r="C2574">
        <v>0</v>
      </c>
      <c r="D2574">
        <v>0</v>
      </c>
      <c r="E2574">
        <v>59</v>
      </c>
      <c r="F2574">
        <v>2.88</v>
      </c>
      <c r="G2574">
        <v>0.1389</v>
      </c>
      <c r="H2574">
        <v>0</v>
      </c>
      <c r="J2574">
        <v>0</v>
      </c>
      <c r="K2574">
        <f>YEAR(NetflixData[[#This Row],[date]])</f>
        <v>2025</v>
      </c>
      <c r="L2574" t="str">
        <f>TEXT(NetflixData[[#This Row],[date]],"mmm")</f>
        <v>Sep</v>
      </c>
      <c r="M2574" t="str">
        <f>TEXT(NetflixData[[#This Row],[date]],"mmm yyyy")</f>
        <v>Sep 2025</v>
      </c>
      <c r="N2574" t="str">
        <f t="shared" si="120"/>
        <v>Non-Trading Day</v>
      </c>
      <c r="O2574" t="str">
        <f t="shared" si="121"/>
        <v>No Change</v>
      </c>
      <c r="P2574" t="str">
        <f t="shared" si="122"/>
        <v>Positive</v>
      </c>
    </row>
    <row r="2575" spans="1:16" x14ac:dyDescent="0.3">
      <c r="A2575" s="1">
        <v>45928</v>
      </c>
      <c r="B2575">
        <v>121.06</v>
      </c>
      <c r="C2575">
        <v>0</v>
      </c>
      <c r="D2575">
        <v>0</v>
      </c>
      <c r="E2575">
        <v>52</v>
      </c>
      <c r="F2575">
        <v>3.38</v>
      </c>
      <c r="G2575">
        <v>0.12790000000000001</v>
      </c>
      <c r="H2575">
        <v>0</v>
      </c>
      <c r="J2575">
        <v>0</v>
      </c>
      <c r="K2575">
        <f>YEAR(NetflixData[[#This Row],[date]])</f>
        <v>2025</v>
      </c>
      <c r="L2575" t="str">
        <f>TEXT(NetflixData[[#This Row],[date]],"mmm")</f>
        <v>Sep</v>
      </c>
      <c r="M2575" t="str">
        <f>TEXT(NetflixData[[#This Row],[date]],"mmm yyyy")</f>
        <v>Sep 2025</v>
      </c>
      <c r="N2575" t="str">
        <f t="shared" si="120"/>
        <v>Trading Day</v>
      </c>
      <c r="O2575" t="str">
        <f t="shared" si="121"/>
        <v>No Change</v>
      </c>
      <c r="P2575" t="str">
        <f t="shared" si="122"/>
        <v>Positive</v>
      </c>
    </row>
    <row r="2576" spans="1:16" x14ac:dyDescent="0.3">
      <c r="A2576" s="1">
        <v>45929</v>
      </c>
      <c r="B2576">
        <v>120.64</v>
      </c>
      <c r="C2576">
        <v>30332000</v>
      </c>
      <c r="D2576">
        <v>0.11700000000000001</v>
      </c>
      <c r="E2576">
        <v>41</v>
      </c>
      <c r="F2576">
        <v>3.29</v>
      </c>
      <c r="G2576">
        <v>0.1239</v>
      </c>
      <c r="H2576">
        <v>0</v>
      </c>
      <c r="J2576">
        <v>1</v>
      </c>
      <c r="K2576">
        <f>YEAR(NetflixData[[#This Row],[date]])</f>
        <v>2025</v>
      </c>
      <c r="L2576" t="str">
        <f>TEXT(NetflixData[[#This Row],[date]],"mmm")</f>
        <v>Sep</v>
      </c>
      <c r="M2576" t="str">
        <f>TEXT(NetflixData[[#This Row],[date]],"mmm yyyy")</f>
        <v>Sep 2025</v>
      </c>
      <c r="N2576" t="str">
        <f t="shared" si="120"/>
        <v>Trading Day</v>
      </c>
      <c r="O2576" t="str">
        <f t="shared" si="121"/>
        <v>Positive</v>
      </c>
      <c r="P2576" t="str">
        <f t="shared" si="122"/>
        <v>Positive</v>
      </c>
    </row>
    <row r="2577" spans="1:16" x14ac:dyDescent="0.3">
      <c r="A2577" s="1">
        <v>45930</v>
      </c>
      <c r="B2577">
        <v>119.89</v>
      </c>
      <c r="C2577">
        <v>38303000</v>
      </c>
      <c r="D2577">
        <v>-0.621</v>
      </c>
      <c r="E2577">
        <v>45</v>
      </c>
      <c r="F2577">
        <v>2.89</v>
      </c>
      <c r="G2577">
        <v>0.12039999999999999</v>
      </c>
      <c r="H2577">
        <v>0</v>
      </c>
      <c r="J2577">
        <v>1</v>
      </c>
      <c r="K2577">
        <f>YEAR(NetflixData[[#This Row],[date]])</f>
        <v>2025</v>
      </c>
      <c r="L2577" t="str">
        <f>TEXT(NetflixData[[#This Row],[date]],"mmm")</f>
        <v>Sep</v>
      </c>
      <c r="M2577" t="str">
        <f>TEXT(NetflixData[[#This Row],[date]],"mmm yyyy")</f>
        <v>Sep 2025</v>
      </c>
      <c r="N2577" t="str">
        <f t="shared" si="120"/>
        <v>Trading Day</v>
      </c>
      <c r="O2577" t="str">
        <f t="shared" si="121"/>
        <v>Negative</v>
      </c>
      <c r="P2577" t="str">
        <f t="shared" si="122"/>
        <v>Positive</v>
      </c>
    </row>
    <row r="2578" spans="1:16" x14ac:dyDescent="0.3">
      <c r="A2578" s="1">
        <v>45931</v>
      </c>
      <c r="B2578">
        <v>117.09</v>
      </c>
      <c r="C2578">
        <v>41102000</v>
      </c>
      <c r="D2578">
        <v>-0.39</v>
      </c>
      <c r="E2578">
        <v>56</v>
      </c>
      <c r="F2578">
        <v>2.34</v>
      </c>
      <c r="G2578">
        <v>-6.9000000000000006E-2</v>
      </c>
      <c r="H2578">
        <v>0</v>
      </c>
      <c r="J2578">
        <v>1</v>
      </c>
      <c r="K2578">
        <f>YEAR(NetflixData[[#This Row],[date]])</f>
        <v>2025</v>
      </c>
      <c r="L2578" t="str">
        <f>TEXT(NetflixData[[#This Row],[date]],"mmm")</f>
        <v>Oct</v>
      </c>
      <c r="M2578" t="str">
        <f>TEXT(NetflixData[[#This Row],[date]],"mmm yyyy")</f>
        <v>Oct 2025</v>
      </c>
      <c r="N2578" t="str">
        <f t="shared" si="120"/>
        <v>Trading Day</v>
      </c>
      <c r="O2578" t="str">
        <f t="shared" si="121"/>
        <v>Negative</v>
      </c>
      <c r="P2578" t="str">
        <f t="shared" si="122"/>
        <v>Neutral</v>
      </c>
    </row>
    <row r="2579" spans="1:16" x14ac:dyDescent="0.3">
      <c r="A2579" s="1">
        <v>45932</v>
      </c>
      <c r="B2579">
        <v>116.25</v>
      </c>
      <c r="C2579">
        <v>46855000</v>
      </c>
      <c r="D2579">
        <v>8.8999999999999996E-2</v>
      </c>
      <c r="E2579">
        <v>0</v>
      </c>
      <c r="H2579">
        <v>0</v>
      </c>
      <c r="J2579">
        <v>1</v>
      </c>
      <c r="K2579">
        <f>YEAR(NetflixData[[#This Row],[date]])</f>
        <v>2025</v>
      </c>
      <c r="L2579" t="str">
        <f>TEXT(NetflixData[[#This Row],[date]],"mmm")</f>
        <v>Oct</v>
      </c>
      <c r="M2579" t="str">
        <f>TEXT(NetflixData[[#This Row],[date]],"mmm yyyy")</f>
        <v>Oct 2025</v>
      </c>
      <c r="N2579" t="str">
        <f t="shared" si="120"/>
        <v>Trading Day</v>
      </c>
      <c r="O2579" t="str">
        <f t="shared" si="121"/>
        <v>Positive</v>
      </c>
      <c r="P2579" t="str">
        <f t="shared" si="122"/>
        <v>Neutral</v>
      </c>
    </row>
    <row r="2580" spans="1:16" x14ac:dyDescent="0.3">
      <c r="A2580" s="1">
        <v>45933</v>
      </c>
      <c r="B2580">
        <v>115.33</v>
      </c>
      <c r="C2580">
        <v>31374000</v>
      </c>
      <c r="D2580">
        <v>-1.0029999999999999</v>
      </c>
      <c r="E2580">
        <v>0</v>
      </c>
      <c r="H2580">
        <v>0</v>
      </c>
      <c r="J2580">
        <v>1</v>
      </c>
      <c r="K2580">
        <f>YEAR(NetflixData[[#This Row],[date]])</f>
        <v>2025</v>
      </c>
      <c r="L2580" t="str">
        <f>TEXT(NetflixData[[#This Row],[date]],"mmm")</f>
        <v>Oct</v>
      </c>
      <c r="M2580" t="str">
        <f>TEXT(NetflixData[[#This Row],[date]],"mmm yyyy")</f>
        <v>Oct 2025</v>
      </c>
      <c r="N2580" t="str">
        <f t="shared" si="120"/>
        <v>Non-Trading Day</v>
      </c>
      <c r="O2580" t="str">
        <f t="shared" si="121"/>
        <v>Negative</v>
      </c>
      <c r="P2580" t="str">
        <f t="shared" si="122"/>
        <v>Neutral</v>
      </c>
    </row>
    <row r="2581" spans="1:16" x14ac:dyDescent="0.3">
      <c r="A2581" s="1">
        <v>45934</v>
      </c>
      <c r="B2581">
        <v>115.33</v>
      </c>
      <c r="C2581">
        <v>0</v>
      </c>
      <c r="D2581">
        <v>0</v>
      </c>
      <c r="E2581">
        <v>0</v>
      </c>
      <c r="H2581">
        <v>0</v>
      </c>
      <c r="J2581">
        <v>0</v>
      </c>
      <c r="K2581">
        <f>YEAR(NetflixData[[#This Row],[date]])</f>
        <v>2025</v>
      </c>
      <c r="L2581" t="str">
        <f>TEXT(NetflixData[[#This Row],[date]],"mmm")</f>
        <v>Oct</v>
      </c>
      <c r="M2581" t="str">
        <f>TEXT(NetflixData[[#This Row],[date]],"mmm yyyy")</f>
        <v>Oct 2025</v>
      </c>
      <c r="N2581" t="str">
        <f t="shared" si="120"/>
        <v>Non-Trading Day</v>
      </c>
      <c r="O2581" t="str">
        <f t="shared" si="121"/>
        <v>No Change</v>
      </c>
      <c r="P2581" t="str">
        <f t="shared" si="122"/>
        <v>Neutral</v>
      </c>
    </row>
    <row r="2582" spans="1:16" x14ac:dyDescent="0.3">
      <c r="A2582" s="1">
        <v>45935</v>
      </c>
      <c r="B2582">
        <v>115.33</v>
      </c>
      <c r="C2582">
        <v>0</v>
      </c>
      <c r="D2582">
        <v>0</v>
      </c>
      <c r="E2582">
        <v>0</v>
      </c>
      <c r="H2582">
        <v>0</v>
      </c>
      <c r="J2582">
        <v>0</v>
      </c>
      <c r="K2582">
        <f>YEAR(NetflixData[[#This Row],[date]])</f>
        <v>2025</v>
      </c>
      <c r="L2582" t="str">
        <f>TEXT(NetflixData[[#This Row],[date]],"mmm")</f>
        <v>Oct</v>
      </c>
      <c r="M2582" t="str">
        <f>TEXT(NetflixData[[#This Row],[date]],"mmm yyyy")</f>
        <v>Oct 2025</v>
      </c>
      <c r="N2582" t="str">
        <f t="shared" si="120"/>
        <v>Trading Day</v>
      </c>
      <c r="O2582" t="str">
        <f t="shared" si="121"/>
        <v>No Change</v>
      </c>
      <c r="P2582" t="str">
        <f t="shared" si="122"/>
        <v>Neutral</v>
      </c>
    </row>
    <row r="2583" spans="1:16" x14ac:dyDescent="0.3">
      <c r="A2583" s="1">
        <v>45936</v>
      </c>
      <c r="B2583">
        <v>116.33</v>
      </c>
      <c r="C2583">
        <v>29686000</v>
      </c>
      <c r="D2583">
        <v>0.253</v>
      </c>
      <c r="E2583">
        <v>71</v>
      </c>
      <c r="F2583">
        <v>2.35</v>
      </c>
      <c r="G2583">
        <v>7.4200000000000002E-2</v>
      </c>
      <c r="H2583">
        <v>0</v>
      </c>
      <c r="J2583">
        <v>1</v>
      </c>
      <c r="K2583">
        <f>YEAR(NetflixData[[#This Row],[date]])</f>
        <v>2025</v>
      </c>
      <c r="L2583" t="str">
        <f>TEXT(NetflixData[[#This Row],[date]],"mmm")</f>
        <v>Oct</v>
      </c>
      <c r="M2583" t="str">
        <f>TEXT(NetflixData[[#This Row],[date]],"mmm yyyy")</f>
        <v>Oct 2025</v>
      </c>
      <c r="N2583" t="str">
        <f t="shared" si="120"/>
        <v>Trading Day</v>
      </c>
      <c r="O2583" t="str">
        <f t="shared" si="121"/>
        <v>Positive</v>
      </c>
      <c r="P2583" t="str">
        <f t="shared" si="122"/>
        <v>Neutral</v>
      </c>
    </row>
    <row r="2584" spans="1:16" x14ac:dyDescent="0.3">
      <c r="A2584" s="1">
        <v>45937</v>
      </c>
      <c r="B2584">
        <v>119.11</v>
      </c>
      <c r="C2584">
        <v>33091000</v>
      </c>
      <c r="D2584">
        <v>1.127</v>
      </c>
      <c r="E2584">
        <v>57</v>
      </c>
      <c r="F2584">
        <v>2.4</v>
      </c>
      <c r="G2584">
        <v>9.4500000000000001E-2</v>
      </c>
      <c r="H2584">
        <v>0</v>
      </c>
      <c r="J2584">
        <v>1</v>
      </c>
      <c r="K2584">
        <f>YEAR(NetflixData[[#This Row],[date]])</f>
        <v>2025</v>
      </c>
      <c r="L2584" t="str">
        <f>TEXT(NetflixData[[#This Row],[date]],"mmm")</f>
        <v>Oct</v>
      </c>
      <c r="M2584" t="str">
        <f>TEXT(NetflixData[[#This Row],[date]],"mmm yyyy")</f>
        <v>Oct 2025</v>
      </c>
      <c r="N2584" t="str">
        <f t="shared" si="120"/>
        <v>Trading Day</v>
      </c>
      <c r="O2584" t="str">
        <f t="shared" si="121"/>
        <v>Positive</v>
      </c>
      <c r="P2584" t="str">
        <f t="shared" si="122"/>
        <v>Neutral</v>
      </c>
    </row>
    <row r="2585" spans="1:16" x14ac:dyDescent="0.3">
      <c r="A2585" s="1">
        <v>45938</v>
      </c>
      <c r="B2585">
        <v>121.43</v>
      </c>
      <c r="C2585">
        <v>28514000</v>
      </c>
      <c r="D2585">
        <v>1.4319999999999999</v>
      </c>
      <c r="E2585">
        <v>61</v>
      </c>
      <c r="F2585">
        <v>2.39</v>
      </c>
      <c r="G2585">
        <v>-1.37E-2</v>
      </c>
      <c r="H2585">
        <v>0</v>
      </c>
      <c r="J2585">
        <v>1</v>
      </c>
      <c r="K2585">
        <f>YEAR(NetflixData[[#This Row],[date]])</f>
        <v>2025</v>
      </c>
      <c r="L2585" t="str">
        <f>TEXT(NetflixData[[#This Row],[date]],"mmm")</f>
        <v>Oct</v>
      </c>
      <c r="M2585" t="str">
        <f>TEXT(NetflixData[[#This Row],[date]],"mmm yyyy")</f>
        <v>Oct 2025</v>
      </c>
      <c r="N2585" t="str">
        <f t="shared" si="120"/>
        <v>Trading Day</v>
      </c>
      <c r="O2585" t="str">
        <f t="shared" si="121"/>
        <v>Positive</v>
      </c>
      <c r="P2585" t="str">
        <f t="shared" si="122"/>
        <v>Neutral</v>
      </c>
    </row>
    <row r="2586" spans="1:16" x14ac:dyDescent="0.3">
      <c r="A2586" s="1">
        <v>45939</v>
      </c>
      <c r="B2586">
        <v>123.11</v>
      </c>
      <c r="C2586">
        <v>28241000</v>
      </c>
      <c r="D2586">
        <v>1.385</v>
      </c>
      <c r="E2586">
        <v>56</v>
      </c>
      <c r="F2586">
        <v>2.61</v>
      </c>
      <c r="G2586">
        <v>0.1484</v>
      </c>
      <c r="H2586">
        <v>0</v>
      </c>
      <c r="J2586">
        <v>1</v>
      </c>
      <c r="K2586">
        <f>YEAR(NetflixData[[#This Row],[date]])</f>
        <v>2025</v>
      </c>
      <c r="L2586" t="str">
        <f>TEXT(NetflixData[[#This Row],[date]],"mmm")</f>
        <v>Oct</v>
      </c>
      <c r="M2586" t="str">
        <f>TEXT(NetflixData[[#This Row],[date]],"mmm yyyy")</f>
        <v>Oct 2025</v>
      </c>
      <c r="N2586" t="str">
        <f t="shared" si="120"/>
        <v>Trading Day</v>
      </c>
      <c r="O2586" t="str">
        <f t="shared" si="121"/>
        <v>Positive</v>
      </c>
      <c r="P2586" t="str">
        <f t="shared" si="122"/>
        <v>Positive</v>
      </c>
    </row>
    <row r="2587" spans="1:16" x14ac:dyDescent="0.3">
      <c r="A2587" s="1">
        <v>45940</v>
      </c>
      <c r="B2587">
        <v>122.01</v>
      </c>
      <c r="C2587">
        <v>42798000</v>
      </c>
      <c r="D2587">
        <v>-0.72599999999999998</v>
      </c>
      <c r="E2587">
        <v>87</v>
      </c>
      <c r="F2587">
        <v>3.53</v>
      </c>
      <c r="G2587">
        <v>0.29780000000000001</v>
      </c>
      <c r="H2587">
        <v>0</v>
      </c>
      <c r="J2587">
        <v>1</v>
      </c>
      <c r="K2587">
        <f>YEAR(NetflixData[[#This Row],[date]])</f>
        <v>2025</v>
      </c>
      <c r="L2587" t="str">
        <f>TEXT(NetflixData[[#This Row],[date]],"mmm")</f>
        <v>Oct</v>
      </c>
      <c r="M2587" t="str">
        <f>TEXT(NetflixData[[#This Row],[date]],"mmm yyyy")</f>
        <v>Oct 2025</v>
      </c>
      <c r="N2587" t="str">
        <f t="shared" si="120"/>
        <v>Non-Trading Day</v>
      </c>
      <c r="O2587" t="str">
        <f t="shared" si="121"/>
        <v>Negative</v>
      </c>
      <c r="P2587" t="str">
        <f t="shared" si="122"/>
        <v>Positive</v>
      </c>
    </row>
    <row r="2588" spans="1:16" x14ac:dyDescent="0.3">
      <c r="A2588" s="1">
        <v>45941</v>
      </c>
      <c r="B2588">
        <v>122.01</v>
      </c>
      <c r="C2588">
        <v>0</v>
      </c>
      <c r="D2588">
        <v>0</v>
      </c>
      <c r="E2588">
        <v>59</v>
      </c>
      <c r="F2588">
        <v>2.86</v>
      </c>
      <c r="G2588">
        <v>0.20979999999999999</v>
      </c>
      <c r="H2588">
        <v>0</v>
      </c>
      <c r="J2588">
        <v>0</v>
      </c>
      <c r="K2588">
        <f>YEAR(NetflixData[[#This Row],[date]])</f>
        <v>2025</v>
      </c>
      <c r="L2588" t="str">
        <f>TEXT(NetflixData[[#This Row],[date]],"mmm")</f>
        <v>Oct</v>
      </c>
      <c r="M2588" t="str">
        <f>TEXT(NetflixData[[#This Row],[date]],"mmm yyyy")</f>
        <v>Oct 2025</v>
      </c>
      <c r="N2588" t="str">
        <f t="shared" si="120"/>
        <v>Non-Trading Day</v>
      </c>
      <c r="O2588" t="str">
        <f t="shared" si="121"/>
        <v>No Change</v>
      </c>
      <c r="P2588" t="str">
        <f t="shared" si="122"/>
        <v>Positive</v>
      </c>
    </row>
    <row r="2589" spans="1:16" x14ac:dyDescent="0.3">
      <c r="A2589" s="1">
        <v>45942</v>
      </c>
      <c r="B2589">
        <v>122.01</v>
      </c>
      <c r="C2589">
        <v>0</v>
      </c>
      <c r="D2589">
        <v>0</v>
      </c>
      <c r="E2589">
        <v>53</v>
      </c>
      <c r="F2589">
        <v>3.09</v>
      </c>
      <c r="G2589">
        <v>0.15160000000000001</v>
      </c>
      <c r="H2589">
        <v>0</v>
      </c>
      <c r="J2589">
        <v>0</v>
      </c>
      <c r="K2589">
        <f>YEAR(NetflixData[[#This Row],[date]])</f>
        <v>2025</v>
      </c>
      <c r="L2589" t="str">
        <f>TEXT(NetflixData[[#This Row],[date]],"mmm")</f>
        <v>Oct</v>
      </c>
      <c r="M2589" t="str">
        <f>TEXT(NetflixData[[#This Row],[date]],"mmm yyyy")</f>
        <v>Oct 2025</v>
      </c>
      <c r="N2589" t="str">
        <f t="shared" si="120"/>
        <v>Trading Day</v>
      </c>
      <c r="O2589" t="str">
        <f t="shared" si="121"/>
        <v>No Change</v>
      </c>
      <c r="P2589" t="str">
        <f t="shared" si="122"/>
        <v>Positive</v>
      </c>
    </row>
    <row r="2590" spans="1:16" x14ac:dyDescent="0.3">
      <c r="A2590" s="1">
        <v>45943</v>
      </c>
      <c r="B2590">
        <v>121.9</v>
      </c>
      <c r="C2590">
        <v>24608000</v>
      </c>
      <c r="D2590">
        <v>-0.19</v>
      </c>
      <c r="E2590">
        <v>45</v>
      </c>
      <c r="F2590">
        <v>2.96</v>
      </c>
      <c r="G2590">
        <v>0.18049999999999999</v>
      </c>
      <c r="H2590">
        <v>0</v>
      </c>
      <c r="J2590">
        <v>1</v>
      </c>
      <c r="K2590">
        <f>YEAR(NetflixData[[#This Row],[date]])</f>
        <v>2025</v>
      </c>
      <c r="L2590" t="str">
        <f>TEXT(NetflixData[[#This Row],[date]],"mmm")</f>
        <v>Oct</v>
      </c>
      <c r="M2590" t="str">
        <f>TEXT(NetflixData[[#This Row],[date]],"mmm yyyy")</f>
        <v>Oct 2025</v>
      </c>
      <c r="N2590" t="str">
        <f t="shared" si="120"/>
        <v>Trading Day</v>
      </c>
      <c r="O2590" t="str">
        <f t="shared" si="121"/>
        <v>Negative</v>
      </c>
      <c r="P2590" t="str">
        <f t="shared" si="122"/>
        <v>Positive</v>
      </c>
    </row>
    <row r="2591" spans="1:16" x14ac:dyDescent="0.3">
      <c r="A2591" s="1">
        <v>45944</v>
      </c>
      <c r="B2591">
        <v>121.54</v>
      </c>
      <c r="C2591">
        <v>23624000</v>
      </c>
      <c r="D2591">
        <v>4.9000000000000002E-2</v>
      </c>
      <c r="E2591">
        <v>55</v>
      </c>
      <c r="F2591">
        <v>3.33</v>
      </c>
      <c r="G2591">
        <v>0.21510000000000001</v>
      </c>
      <c r="H2591">
        <v>0</v>
      </c>
      <c r="J2591">
        <v>1</v>
      </c>
      <c r="K2591">
        <f>YEAR(NetflixData[[#This Row],[date]])</f>
        <v>2025</v>
      </c>
      <c r="L2591" t="str">
        <f>TEXT(NetflixData[[#This Row],[date]],"mmm")</f>
        <v>Oct</v>
      </c>
      <c r="M2591" t="str">
        <f>TEXT(NetflixData[[#This Row],[date]],"mmm yyyy")</f>
        <v>Oct 2025</v>
      </c>
      <c r="N2591" t="str">
        <f t="shared" si="120"/>
        <v>Trading Day</v>
      </c>
      <c r="O2591" t="str">
        <f t="shared" si="121"/>
        <v>Positive</v>
      </c>
      <c r="P2591" t="str">
        <f t="shared" si="122"/>
        <v>Positive</v>
      </c>
    </row>
    <row r="2592" spans="1:16" x14ac:dyDescent="0.3">
      <c r="A2592" s="1">
        <v>45945</v>
      </c>
      <c r="B2592">
        <v>120.33</v>
      </c>
      <c r="C2592">
        <v>20252000</v>
      </c>
      <c r="D2592">
        <v>-0.80100000000000005</v>
      </c>
      <c r="E2592">
        <v>49</v>
      </c>
      <c r="F2592">
        <v>3.18</v>
      </c>
      <c r="G2592">
        <v>0.1444</v>
      </c>
      <c r="H2592">
        <v>0</v>
      </c>
      <c r="J2592">
        <v>1</v>
      </c>
      <c r="K2592">
        <f>YEAR(NetflixData[[#This Row],[date]])</f>
        <v>2025</v>
      </c>
      <c r="L2592" t="str">
        <f>TEXT(NetflixData[[#This Row],[date]],"mmm")</f>
        <v>Oct</v>
      </c>
      <c r="M2592" t="str">
        <f>TEXT(NetflixData[[#This Row],[date]],"mmm yyyy")</f>
        <v>Oct 2025</v>
      </c>
      <c r="N2592" t="str">
        <f t="shared" si="120"/>
        <v>Trading Day</v>
      </c>
      <c r="O2592" t="str">
        <f t="shared" si="121"/>
        <v>Negative</v>
      </c>
      <c r="P2592" t="str">
        <f t="shared" si="122"/>
        <v>Positive</v>
      </c>
    </row>
    <row r="2593" spans="1:16" x14ac:dyDescent="0.3">
      <c r="A2593" s="1">
        <v>45946</v>
      </c>
      <c r="B2593">
        <v>118.36</v>
      </c>
      <c r="C2593">
        <v>28326000</v>
      </c>
      <c r="D2593">
        <v>-2.3559999999999999</v>
      </c>
      <c r="E2593">
        <v>40</v>
      </c>
      <c r="F2593">
        <v>2.82</v>
      </c>
      <c r="G2593">
        <v>0.1216</v>
      </c>
      <c r="H2593">
        <v>0</v>
      </c>
      <c r="J2593">
        <v>1</v>
      </c>
      <c r="K2593">
        <f>YEAR(NetflixData[[#This Row],[date]])</f>
        <v>2025</v>
      </c>
      <c r="L2593" t="str">
        <f>TEXT(NetflixData[[#This Row],[date]],"mmm")</f>
        <v>Oct</v>
      </c>
      <c r="M2593" t="str">
        <f>TEXT(NetflixData[[#This Row],[date]],"mmm yyyy")</f>
        <v>Oct 2025</v>
      </c>
      <c r="N2593" t="str">
        <f t="shared" si="120"/>
        <v>Trading Day</v>
      </c>
      <c r="O2593" t="str">
        <f t="shared" si="121"/>
        <v>Negative</v>
      </c>
      <c r="P2593" t="str">
        <f t="shared" si="122"/>
        <v>Positive</v>
      </c>
    </row>
    <row r="2594" spans="1:16" x14ac:dyDescent="0.3">
      <c r="A2594" s="1">
        <v>45947</v>
      </c>
      <c r="B2594">
        <v>119.94</v>
      </c>
      <c r="C2594">
        <v>29571000</v>
      </c>
      <c r="D2594">
        <v>1.3320000000000001</v>
      </c>
      <c r="E2594">
        <v>70</v>
      </c>
      <c r="F2594">
        <v>3.11</v>
      </c>
      <c r="G2594">
        <v>0.24529999999999999</v>
      </c>
      <c r="H2594">
        <v>0</v>
      </c>
      <c r="J2594">
        <v>1</v>
      </c>
      <c r="K2594">
        <f>YEAR(NetflixData[[#This Row],[date]])</f>
        <v>2025</v>
      </c>
      <c r="L2594" t="str">
        <f>TEXT(NetflixData[[#This Row],[date]],"mmm")</f>
        <v>Oct</v>
      </c>
      <c r="M2594" t="str">
        <f>TEXT(NetflixData[[#This Row],[date]],"mmm yyyy")</f>
        <v>Oct 2025</v>
      </c>
      <c r="N2594" t="str">
        <f t="shared" si="120"/>
        <v>Non-Trading Day</v>
      </c>
      <c r="O2594" t="str">
        <f t="shared" si="121"/>
        <v>Positive</v>
      </c>
      <c r="P2594" t="str">
        <f t="shared" si="122"/>
        <v>Positive</v>
      </c>
    </row>
    <row r="2595" spans="1:16" x14ac:dyDescent="0.3">
      <c r="A2595" s="1">
        <v>45948</v>
      </c>
      <c r="B2595">
        <v>119.94</v>
      </c>
      <c r="C2595">
        <v>0</v>
      </c>
      <c r="D2595">
        <v>0</v>
      </c>
      <c r="E2595">
        <v>53</v>
      </c>
      <c r="F2595">
        <v>2.94</v>
      </c>
      <c r="G2595">
        <v>0.25180000000000002</v>
      </c>
      <c r="H2595">
        <v>0</v>
      </c>
      <c r="J2595">
        <v>0</v>
      </c>
      <c r="K2595">
        <f>YEAR(NetflixData[[#This Row],[date]])</f>
        <v>2025</v>
      </c>
      <c r="L2595" t="str">
        <f>TEXT(NetflixData[[#This Row],[date]],"mmm")</f>
        <v>Oct</v>
      </c>
      <c r="M2595" t="str">
        <f>TEXT(NetflixData[[#This Row],[date]],"mmm yyyy")</f>
        <v>Oct 2025</v>
      </c>
      <c r="N2595" t="str">
        <f t="shared" si="120"/>
        <v>Non-Trading Day</v>
      </c>
      <c r="O2595" t="str">
        <f t="shared" si="121"/>
        <v>No Change</v>
      </c>
      <c r="P2595" t="str">
        <f t="shared" si="122"/>
        <v>Positive</v>
      </c>
    </row>
    <row r="2596" spans="1:16" x14ac:dyDescent="0.3">
      <c r="A2596" s="1">
        <v>45949</v>
      </c>
      <c r="B2596">
        <v>119.94</v>
      </c>
      <c r="C2596">
        <v>0</v>
      </c>
      <c r="D2596">
        <v>0</v>
      </c>
      <c r="E2596">
        <v>0</v>
      </c>
      <c r="H2596">
        <v>0</v>
      </c>
      <c r="J2596">
        <v>0</v>
      </c>
      <c r="K2596">
        <f>YEAR(NetflixData[[#This Row],[date]])</f>
        <v>2025</v>
      </c>
      <c r="L2596" t="str">
        <f>TEXT(NetflixData[[#This Row],[date]],"mmm")</f>
        <v>Oct</v>
      </c>
      <c r="M2596" t="str">
        <f>TEXT(NetflixData[[#This Row],[date]],"mmm yyyy")</f>
        <v>Oct 2025</v>
      </c>
      <c r="N2596" t="str">
        <f t="shared" si="120"/>
        <v>Trading Day</v>
      </c>
      <c r="O2596" t="str">
        <f t="shared" si="121"/>
        <v>No Change</v>
      </c>
      <c r="P2596" t="str">
        <f t="shared" si="122"/>
        <v>Neutral</v>
      </c>
    </row>
    <row r="2597" spans="1:16" x14ac:dyDescent="0.3">
      <c r="A2597" s="1">
        <v>45950</v>
      </c>
      <c r="B2597">
        <v>123.86</v>
      </c>
      <c r="C2597">
        <v>39862000</v>
      </c>
      <c r="D2597">
        <v>2.54</v>
      </c>
      <c r="E2597">
        <v>60</v>
      </c>
      <c r="F2597">
        <v>2.5299999999999998</v>
      </c>
      <c r="G2597">
        <v>0.11650000000000001</v>
      </c>
      <c r="H2597">
        <v>0</v>
      </c>
      <c r="J2597">
        <v>1</v>
      </c>
      <c r="K2597">
        <f>YEAR(NetflixData[[#This Row],[date]])</f>
        <v>2025</v>
      </c>
      <c r="L2597" t="str">
        <f>TEXT(NetflixData[[#This Row],[date]],"mmm")</f>
        <v>Oct</v>
      </c>
      <c r="M2597" t="str">
        <f>TEXT(NetflixData[[#This Row],[date]],"mmm yyyy")</f>
        <v>Oct 2025</v>
      </c>
      <c r="N2597" t="str">
        <f t="shared" si="120"/>
        <v>Trading Day</v>
      </c>
      <c r="O2597" t="str">
        <f t="shared" si="121"/>
        <v>Positive</v>
      </c>
      <c r="P2597" t="str">
        <f t="shared" si="122"/>
        <v>Positive</v>
      </c>
    </row>
    <row r="2598" spans="1:16" x14ac:dyDescent="0.3">
      <c r="A2598" s="1">
        <v>45951</v>
      </c>
      <c r="B2598">
        <v>124.14</v>
      </c>
      <c r="C2598">
        <v>65082000</v>
      </c>
      <c r="D2598">
        <v>-0.11899999999999999</v>
      </c>
      <c r="E2598">
        <v>62</v>
      </c>
      <c r="F2598">
        <v>2.76</v>
      </c>
      <c r="G2598">
        <v>0.1024</v>
      </c>
      <c r="H2598">
        <v>0</v>
      </c>
      <c r="J2598">
        <v>1</v>
      </c>
      <c r="K2598">
        <f>YEAR(NetflixData[[#This Row],[date]])</f>
        <v>2025</v>
      </c>
      <c r="L2598" t="str">
        <f>TEXT(NetflixData[[#This Row],[date]],"mmm")</f>
        <v>Oct</v>
      </c>
      <c r="M2598" t="str">
        <f>TEXT(NetflixData[[#This Row],[date]],"mmm yyyy")</f>
        <v>Oct 2025</v>
      </c>
      <c r="N2598" t="str">
        <f t="shared" si="120"/>
        <v>Trading Day</v>
      </c>
      <c r="O2598" t="str">
        <f t="shared" si="121"/>
        <v>Negative</v>
      </c>
      <c r="P2598" t="str">
        <f t="shared" si="122"/>
        <v>Positive</v>
      </c>
    </row>
    <row r="2599" spans="1:16" x14ac:dyDescent="0.3">
      <c r="A2599" s="1">
        <v>45952</v>
      </c>
      <c r="B2599">
        <v>111.64</v>
      </c>
      <c r="C2599">
        <v>147890000</v>
      </c>
      <c r="D2599">
        <v>-2.3210000000000002</v>
      </c>
      <c r="E2599">
        <v>52</v>
      </c>
      <c r="F2599">
        <v>2.5</v>
      </c>
      <c r="G2599">
        <v>8.2100000000000006E-2</v>
      </c>
      <c r="H2599">
        <v>0</v>
      </c>
      <c r="J2599">
        <v>1</v>
      </c>
      <c r="K2599">
        <f>YEAR(NetflixData[[#This Row],[date]])</f>
        <v>2025</v>
      </c>
      <c r="L2599" t="str">
        <f>TEXT(NetflixData[[#This Row],[date]],"mmm")</f>
        <v>Oct</v>
      </c>
      <c r="M2599" t="str">
        <f>TEXT(NetflixData[[#This Row],[date]],"mmm yyyy")</f>
        <v>Oct 2025</v>
      </c>
      <c r="N2599" t="str">
        <f t="shared" si="120"/>
        <v>Trading Day</v>
      </c>
      <c r="O2599" t="str">
        <f t="shared" si="121"/>
        <v>Negative</v>
      </c>
      <c r="P2599" t="str">
        <f t="shared" si="122"/>
        <v>Neutral</v>
      </c>
    </row>
    <row r="2600" spans="1:16" x14ac:dyDescent="0.3">
      <c r="A2600" s="1">
        <v>45953</v>
      </c>
      <c r="B2600">
        <v>111.36</v>
      </c>
      <c r="C2600">
        <v>68497000</v>
      </c>
      <c r="D2600">
        <v>-1.181</v>
      </c>
      <c r="E2600">
        <v>55</v>
      </c>
      <c r="F2600">
        <v>3.35</v>
      </c>
      <c r="G2600">
        <v>0.15210000000000001</v>
      </c>
      <c r="H2600">
        <v>0</v>
      </c>
      <c r="J2600">
        <v>1</v>
      </c>
      <c r="K2600">
        <f>YEAR(NetflixData[[#This Row],[date]])</f>
        <v>2025</v>
      </c>
      <c r="L2600" t="str">
        <f>TEXT(NetflixData[[#This Row],[date]],"mmm")</f>
        <v>Oct</v>
      </c>
      <c r="M2600" t="str">
        <f>TEXT(NetflixData[[#This Row],[date]],"mmm yyyy")</f>
        <v>Oct 2025</v>
      </c>
      <c r="N2600" t="str">
        <f t="shared" si="120"/>
        <v>Trading Day</v>
      </c>
      <c r="O2600" t="str">
        <f t="shared" si="121"/>
        <v>Negative</v>
      </c>
      <c r="P2600" t="str">
        <f t="shared" si="122"/>
        <v>Positive</v>
      </c>
    </row>
    <row r="2601" spans="1:16" x14ac:dyDescent="0.3">
      <c r="A2601" s="1">
        <v>45954</v>
      </c>
      <c r="B2601">
        <v>109.47</v>
      </c>
      <c r="C2601">
        <v>60280000</v>
      </c>
      <c r="D2601">
        <v>-1.468</v>
      </c>
      <c r="E2601">
        <v>50</v>
      </c>
      <c r="F2601">
        <v>2.7</v>
      </c>
      <c r="G2601">
        <v>9.3200000000000005E-2</v>
      </c>
      <c r="H2601">
        <v>0</v>
      </c>
      <c r="J2601">
        <v>1</v>
      </c>
      <c r="K2601">
        <f>YEAR(NetflixData[[#This Row],[date]])</f>
        <v>2025</v>
      </c>
      <c r="L2601" t="str">
        <f>TEXT(NetflixData[[#This Row],[date]],"mmm")</f>
        <v>Oct</v>
      </c>
      <c r="M2601" t="str">
        <f>TEXT(NetflixData[[#This Row],[date]],"mmm yyyy")</f>
        <v>Oct 2025</v>
      </c>
      <c r="N2601" t="str">
        <f t="shared" si="120"/>
        <v>Non-Trading Day</v>
      </c>
      <c r="O2601" t="str">
        <f t="shared" si="121"/>
        <v>Negative</v>
      </c>
      <c r="P2601" t="str">
        <f t="shared" si="122"/>
        <v>Neutral</v>
      </c>
    </row>
    <row r="2602" spans="1:16" x14ac:dyDescent="0.3">
      <c r="A2602" s="1">
        <v>45955</v>
      </c>
      <c r="B2602">
        <v>109.47</v>
      </c>
      <c r="C2602">
        <v>0</v>
      </c>
      <c r="D2602">
        <v>0</v>
      </c>
      <c r="E2602">
        <v>48</v>
      </c>
      <c r="F2602">
        <v>2.9</v>
      </c>
      <c r="G2602">
        <v>0.13100000000000001</v>
      </c>
      <c r="H2602">
        <v>0</v>
      </c>
      <c r="J2602">
        <v>0</v>
      </c>
      <c r="K2602">
        <f>YEAR(NetflixData[[#This Row],[date]])</f>
        <v>2025</v>
      </c>
      <c r="L2602" t="str">
        <f>TEXT(NetflixData[[#This Row],[date]],"mmm")</f>
        <v>Oct</v>
      </c>
      <c r="M2602" t="str">
        <f>TEXT(NetflixData[[#This Row],[date]],"mmm yyyy")</f>
        <v>Oct 2025</v>
      </c>
      <c r="N2602" t="str">
        <f t="shared" si="120"/>
        <v>Non-Trading Day</v>
      </c>
      <c r="O2602" t="str">
        <f t="shared" si="121"/>
        <v>No Change</v>
      </c>
      <c r="P2602" t="str">
        <f t="shared" si="122"/>
        <v>Positive</v>
      </c>
    </row>
    <row r="2603" spans="1:16" x14ac:dyDescent="0.3">
      <c r="A2603" s="1">
        <v>45956</v>
      </c>
      <c r="B2603">
        <v>109.47</v>
      </c>
      <c r="C2603">
        <v>0</v>
      </c>
      <c r="D2603">
        <v>0</v>
      </c>
      <c r="E2603">
        <v>64</v>
      </c>
      <c r="F2603">
        <v>3.5</v>
      </c>
      <c r="G2603">
        <v>0.15540000000000001</v>
      </c>
      <c r="H2603">
        <v>0</v>
      </c>
      <c r="J2603">
        <v>0</v>
      </c>
      <c r="K2603">
        <f>YEAR(NetflixData[[#This Row],[date]])</f>
        <v>2025</v>
      </c>
      <c r="L2603" t="str">
        <f>TEXT(NetflixData[[#This Row],[date]],"mmm")</f>
        <v>Oct</v>
      </c>
      <c r="M2603" t="str">
        <f>TEXT(NetflixData[[#This Row],[date]],"mmm yyyy")</f>
        <v>Oct 2025</v>
      </c>
      <c r="N2603" t="str">
        <f t="shared" si="120"/>
        <v>Trading Day</v>
      </c>
      <c r="O2603" t="str">
        <f t="shared" si="121"/>
        <v>No Change</v>
      </c>
      <c r="P2603" t="str">
        <f t="shared" si="122"/>
        <v>Positive</v>
      </c>
    </row>
    <row r="2604" spans="1:16" x14ac:dyDescent="0.3">
      <c r="A2604" s="1">
        <v>45957</v>
      </c>
      <c r="B2604">
        <v>109.46</v>
      </c>
      <c r="C2604">
        <v>46911000</v>
      </c>
      <c r="D2604">
        <v>-0.55500000000000005</v>
      </c>
      <c r="E2604">
        <v>58</v>
      </c>
      <c r="F2604">
        <v>3.43</v>
      </c>
      <c r="G2604">
        <v>0.23569999999999999</v>
      </c>
      <c r="H2604">
        <v>0</v>
      </c>
      <c r="J2604">
        <v>1</v>
      </c>
      <c r="K2604">
        <f>YEAR(NetflixData[[#This Row],[date]])</f>
        <v>2025</v>
      </c>
      <c r="L2604" t="str">
        <f>TEXT(NetflixData[[#This Row],[date]],"mmm")</f>
        <v>Oct</v>
      </c>
      <c r="M2604" t="str">
        <f>TEXT(NetflixData[[#This Row],[date]],"mmm yyyy")</f>
        <v>Oct 2025</v>
      </c>
      <c r="N2604" t="str">
        <f t="shared" si="120"/>
        <v>Trading Day</v>
      </c>
      <c r="O2604" t="str">
        <f t="shared" si="121"/>
        <v>Negative</v>
      </c>
      <c r="P2604" t="str">
        <f t="shared" si="122"/>
        <v>Positive</v>
      </c>
    </row>
    <row r="2605" spans="1:16" x14ac:dyDescent="0.3">
      <c r="A2605" s="1">
        <v>45958</v>
      </c>
      <c r="B2605">
        <v>110.25</v>
      </c>
      <c r="C2605">
        <v>40209000</v>
      </c>
      <c r="D2605">
        <v>0.77700000000000002</v>
      </c>
      <c r="E2605">
        <v>50</v>
      </c>
      <c r="F2605">
        <v>3.24</v>
      </c>
      <c r="G2605">
        <v>0.10780000000000001</v>
      </c>
      <c r="H2605">
        <v>0</v>
      </c>
      <c r="J2605">
        <v>1</v>
      </c>
      <c r="K2605">
        <f>YEAR(NetflixData[[#This Row],[date]])</f>
        <v>2025</v>
      </c>
      <c r="L2605" t="str">
        <f>TEXT(NetflixData[[#This Row],[date]],"mmm")</f>
        <v>Oct</v>
      </c>
      <c r="M2605" t="str">
        <f>TEXT(NetflixData[[#This Row],[date]],"mmm yyyy")</f>
        <v>Oct 2025</v>
      </c>
      <c r="N2605" t="str">
        <f t="shared" si="120"/>
        <v>Trading Day</v>
      </c>
      <c r="O2605" t="str">
        <f t="shared" si="121"/>
        <v>Positive</v>
      </c>
      <c r="P2605" t="str">
        <f t="shared" si="122"/>
        <v>Positive</v>
      </c>
    </row>
    <row r="2606" spans="1:16" x14ac:dyDescent="0.3">
      <c r="A2606" s="1">
        <v>45959</v>
      </c>
      <c r="B2606">
        <v>110.04</v>
      </c>
      <c r="C2606">
        <v>33995000</v>
      </c>
      <c r="D2606">
        <v>5.1999999999999998E-2</v>
      </c>
      <c r="E2606">
        <v>44</v>
      </c>
      <c r="F2606">
        <v>3.2</v>
      </c>
      <c r="G2606">
        <v>0.15629999999999999</v>
      </c>
      <c r="H2606">
        <v>0</v>
      </c>
      <c r="J2606">
        <v>1</v>
      </c>
      <c r="K2606">
        <f>YEAR(NetflixData[[#This Row],[date]])</f>
        <v>2025</v>
      </c>
      <c r="L2606" t="str">
        <f>TEXT(NetflixData[[#This Row],[date]],"mmm")</f>
        <v>Oct</v>
      </c>
      <c r="M2606" t="str">
        <f>TEXT(NetflixData[[#This Row],[date]],"mmm yyyy")</f>
        <v>Oct 2025</v>
      </c>
      <c r="N2606" t="str">
        <f t="shared" si="120"/>
        <v>Trading Day</v>
      </c>
      <c r="O2606" t="str">
        <f t="shared" si="121"/>
        <v>Positive</v>
      </c>
      <c r="P2606" t="str">
        <f t="shared" si="122"/>
        <v>Positive</v>
      </c>
    </row>
    <row r="2607" spans="1:16" x14ac:dyDescent="0.3">
      <c r="A2607" s="1">
        <v>45960</v>
      </c>
      <c r="B2607">
        <v>108.9</v>
      </c>
      <c r="C2607">
        <v>41581000</v>
      </c>
      <c r="D2607">
        <v>-0.49299999999999999</v>
      </c>
      <c r="E2607">
        <v>58</v>
      </c>
      <c r="F2607">
        <v>3.21</v>
      </c>
      <c r="G2607">
        <v>0.13</v>
      </c>
      <c r="H2607">
        <v>0</v>
      </c>
      <c r="J2607">
        <v>1</v>
      </c>
      <c r="K2607">
        <f>YEAR(NetflixData[[#This Row],[date]])</f>
        <v>2025</v>
      </c>
      <c r="L2607" t="str">
        <f>TEXT(NetflixData[[#This Row],[date]],"mmm")</f>
        <v>Oct</v>
      </c>
      <c r="M2607" t="str">
        <f>TEXT(NetflixData[[#This Row],[date]],"mmm yyyy")</f>
        <v>Oct 2025</v>
      </c>
      <c r="N2607" t="str">
        <f t="shared" si="120"/>
        <v>Trading Day</v>
      </c>
      <c r="O2607" t="str">
        <f t="shared" si="121"/>
        <v>Negative</v>
      </c>
      <c r="P2607" t="str">
        <f t="shared" si="122"/>
        <v>Positive</v>
      </c>
    </row>
    <row r="2608" spans="1:16" x14ac:dyDescent="0.3">
      <c r="A2608" s="1">
        <v>45961</v>
      </c>
      <c r="B2608">
        <v>111.89</v>
      </c>
      <c r="C2608">
        <v>68665000</v>
      </c>
      <c r="D2608">
        <v>1.2190000000000001</v>
      </c>
      <c r="E2608">
        <v>49</v>
      </c>
      <c r="F2608">
        <v>3</v>
      </c>
      <c r="G2608">
        <v>0.12770000000000001</v>
      </c>
      <c r="H2608">
        <v>0</v>
      </c>
      <c r="J2608">
        <v>1</v>
      </c>
      <c r="K2608">
        <f>YEAR(NetflixData[[#This Row],[date]])</f>
        <v>2025</v>
      </c>
      <c r="L2608" t="str">
        <f>TEXT(NetflixData[[#This Row],[date]],"mmm")</f>
        <v>Oct</v>
      </c>
      <c r="M2608" t="str">
        <f>TEXT(NetflixData[[#This Row],[date]],"mmm yyyy")</f>
        <v>Oct 2025</v>
      </c>
      <c r="N2608" t="str">
        <f t="shared" si="120"/>
        <v>Non-Trading Day</v>
      </c>
      <c r="O2608" t="str">
        <f t="shared" si="121"/>
        <v>Positive</v>
      </c>
      <c r="P2608" t="str">
        <f t="shared" si="122"/>
        <v>Positive</v>
      </c>
    </row>
    <row r="2609" spans="1:16" x14ac:dyDescent="0.3">
      <c r="A2609" s="1">
        <v>45962</v>
      </c>
      <c r="B2609">
        <v>111.89</v>
      </c>
      <c r="C2609">
        <v>0</v>
      </c>
      <c r="D2609">
        <v>0</v>
      </c>
      <c r="E2609">
        <v>55</v>
      </c>
      <c r="F2609">
        <v>3.15</v>
      </c>
      <c r="G2609">
        <v>0.2082</v>
      </c>
      <c r="H2609">
        <v>0</v>
      </c>
      <c r="J2609">
        <v>0</v>
      </c>
      <c r="K2609">
        <f>YEAR(NetflixData[[#This Row],[date]])</f>
        <v>2025</v>
      </c>
      <c r="L2609" t="str">
        <f>TEXT(NetflixData[[#This Row],[date]],"mmm")</f>
        <v>Nov</v>
      </c>
      <c r="M2609" t="str">
        <f>TEXT(NetflixData[[#This Row],[date]],"mmm yyyy")</f>
        <v>Nov 2025</v>
      </c>
      <c r="N2609" t="str">
        <f t="shared" si="120"/>
        <v>Non-Trading Day</v>
      </c>
      <c r="O2609" t="str">
        <f t="shared" si="121"/>
        <v>No Change</v>
      </c>
      <c r="P2609" t="str">
        <f t="shared" si="122"/>
        <v>Positive</v>
      </c>
    </row>
    <row r="2610" spans="1:16" x14ac:dyDescent="0.3">
      <c r="A2610" s="1">
        <v>45963</v>
      </c>
      <c r="B2610">
        <v>111.89</v>
      </c>
      <c r="C2610">
        <v>0</v>
      </c>
      <c r="D2610">
        <v>0</v>
      </c>
      <c r="E2610">
        <v>48</v>
      </c>
      <c r="F2610">
        <v>2.94</v>
      </c>
      <c r="G2610">
        <v>0.21299999999999999</v>
      </c>
      <c r="H2610">
        <v>0</v>
      </c>
      <c r="J2610">
        <v>0</v>
      </c>
      <c r="K2610">
        <f>YEAR(NetflixData[[#This Row],[date]])</f>
        <v>2025</v>
      </c>
      <c r="L2610" t="str">
        <f>TEXT(NetflixData[[#This Row],[date]],"mmm")</f>
        <v>Nov</v>
      </c>
      <c r="M2610" t="str">
        <f>TEXT(NetflixData[[#This Row],[date]],"mmm yyyy")</f>
        <v>Nov 2025</v>
      </c>
      <c r="N2610" t="str">
        <f t="shared" si="120"/>
        <v>Trading Day</v>
      </c>
      <c r="O2610" t="str">
        <f t="shared" si="121"/>
        <v>No Change</v>
      </c>
      <c r="P2610" t="str">
        <f t="shared" si="122"/>
        <v>Positive</v>
      </c>
    </row>
    <row r="2611" spans="1:16" x14ac:dyDescent="0.3">
      <c r="A2611" s="1">
        <v>45964</v>
      </c>
      <c r="B2611">
        <v>110.01</v>
      </c>
      <c r="C2611">
        <v>58634000</v>
      </c>
      <c r="D2611">
        <v>-2.9249999999999998</v>
      </c>
      <c r="E2611">
        <v>47</v>
      </c>
      <c r="F2611">
        <v>2.96</v>
      </c>
      <c r="G2611">
        <v>0.18729999999999999</v>
      </c>
      <c r="H2611">
        <v>0</v>
      </c>
      <c r="J2611">
        <v>1</v>
      </c>
      <c r="K2611">
        <f>YEAR(NetflixData[[#This Row],[date]])</f>
        <v>2025</v>
      </c>
      <c r="L2611" t="str">
        <f>TEXT(NetflixData[[#This Row],[date]],"mmm")</f>
        <v>Nov</v>
      </c>
      <c r="M2611" t="str">
        <f>TEXT(NetflixData[[#This Row],[date]],"mmm yyyy")</f>
        <v>Nov 2025</v>
      </c>
      <c r="N2611" t="str">
        <f t="shared" si="120"/>
        <v>Trading Day</v>
      </c>
      <c r="O2611" t="str">
        <f t="shared" si="121"/>
        <v>Negative</v>
      </c>
      <c r="P2611" t="str">
        <f t="shared" si="122"/>
        <v>Positive</v>
      </c>
    </row>
    <row r="2612" spans="1:16" x14ac:dyDescent="0.3">
      <c r="A2612" s="1">
        <v>45965</v>
      </c>
      <c r="B2612">
        <v>109.3</v>
      </c>
      <c r="C2612">
        <v>38718000</v>
      </c>
      <c r="D2612">
        <v>-0.63900000000000001</v>
      </c>
      <c r="E2612">
        <v>35</v>
      </c>
      <c r="F2612">
        <v>2.57</v>
      </c>
      <c r="G2612">
        <v>6.4999999999999997E-3</v>
      </c>
      <c r="H2612">
        <v>0</v>
      </c>
      <c r="J2612">
        <v>1</v>
      </c>
      <c r="K2612">
        <f>YEAR(NetflixData[[#This Row],[date]])</f>
        <v>2025</v>
      </c>
      <c r="L2612" t="str">
        <f>TEXT(NetflixData[[#This Row],[date]],"mmm")</f>
        <v>Nov</v>
      </c>
      <c r="M2612" t="str">
        <f>TEXT(NetflixData[[#This Row],[date]],"mmm yyyy")</f>
        <v>Nov 2025</v>
      </c>
      <c r="N2612" t="str">
        <f t="shared" si="120"/>
        <v>Trading Day</v>
      </c>
      <c r="O2612" t="str">
        <f t="shared" si="121"/>
        <v>Negative</v>
      </c>
      <c r="P2612" t="str">
        <f t="shared" si="122"/>
        <v>Neutral</v>
      </c>
    </row>
    <row r="2613" spans="1:16" x14ac:dyDescent="0.3">
      <c r="A2613" s="1">
        <v>45966</v>
      </c>
      <c r="B2613">
        <v>109.85</v>
      </c>
      <c r="C2613">
        <v>35539000</v>
      </c>
      <c r="D2613">
        <v>1.2410000000000001</v>
      </c>
      <c r="E2613">
        <v>43</v>
      </c>
      <c r="F2613">
        <v>2.95</v>
      </c>
      <c r="G2613">
        <v>0.21709999999999999</v>
      </c>
      <c r="H2613">
        <v>0</v>
      </c>
      <c r="J2613">
        <v>1</v>
      </c>
      <c r="K2613">
        <f>YEAR(NetflixData[[#This Row],[date]])</f>
        <v>2025</v>
      </c>
      <c r="L2613" t="str">
        <f>TEXT(NetflixData[[#This Row],[date]],"mmm")</f>
        <v>Nov</v>
      </c>
      <c r="M2613" t="str">
        <f>TEXT(NetflixData[[#This Row],[date]],"mmm yyyy")</f>
        <v>Nov 2025</v>
      </c>
      <c r="N2613" t="str">
        <f t="shared" si="120"/>
        <v>Trading Day</v>
      </c>
      <c r="O2613" t="str">
        <f t="shared" si="121"/>
        <v>Positive</v>
      </c>
      <c r="P2613" t="str">
        <f t="shared" si="122"/>
        <v>Positive</v>
      </c>
    </row>
    <row r="2614" spans="1:16" x14ac:dyDescent="0.3">
      <c r="A2614" s="1">
        <v>45967</v>
      </c>
      <c r="B2614">
        <v>109.7</v>
      </c>
      <c r="C2614">
        <v>36532000</v>
      </c>
      <c r="D2614">
        <v>0.223</v>
      </c>
      <c r="E2614">
        <v>38</v>
      </c>
      <c r="F2614">
        <v>3.18</v>
      </c>
      <c r="G2614">
        <v>0.217</v>
      </c>
      <c r="H2614">
        <v>0</v>
      </c>
      <c r="J2614">
        <v>1</v>
      </c>
      <c r="K2614">
        <f>YEAR(NetflixData[[#This Row],[date]])</f>
        <v>2025</v>
      </c>
      <c r="L2614" t="str">
        <f>TEXT(NetflixData[[#This Row],[date]],"mmm")</f>
        <v>Nov</v>
      </c>
      <c r="M2614" t="str">
        <f>TEXT(NetflixData[[#This Row],[date]],"mmm yyyy")</f>
        <v>Nov 2025</v>
      </c>
      <c r="N2614" t="str">
        <f t="shared" si="120"/>
        <v>Trading Day</v>
      </c>
      <c r="O2614" t="str">
        <f t="shared" si="121"/>
        <v>Positive</v>
      </c>
      <c r="P2614" t="str">
        <f t="shared" si="122"/>
        <v>Positive</v>
      </c>
    </row>
    <row r="2615" spans="1:16" x14ac:dyDescent="0.3">
      <c r="A2615" s="1">
        <v>45968</v>
      </c>
      <c r="B2615">
        <v>110.37</v>
      </c>
      <c r="C2615">
        <v>44125000</v>
      </c>
      <c r="D2615">
        <v>0.86599999999999999</v>
      </c>
      <c r="E2615">
        <v>40</v>
      </c>
      <c r="F2615">
        <v>3.08</v>
      </c>
      <c r="G2615">
        <v>0.17979999999999999</v>
      </c>
      <c r="H2615">
        <v>0</v>
      </c>
      <c r="J2615">
        <v>1</v>
      </c>
      <c r="K2615">
        <f>YEAR(NetflixData[[#This Row],[date]])</f>
        <v>2025</v>
      </c>
      <c r="L2615" t="str">
        <f>TEXT(NetflixData[[#This Row],[date]],"mmm")</f>
        <v>Nov</v>
      </c>
      <c r="M2615" t="str">
        <f>TEXT(NetflixData[[#This Row],[date]],"mmm yyyy")</f>
        <v>Nov 2025</v>
      </c>
      <c r="N2615" t="str">
        <f t="shared" si="120"/>
        <v>Non-Trading Day</v>
      </c>
      <c r="O2615" t="str">
        <f t="shared" si="121"/>
        <v>Positive</v>
      </c>
      <c r="P2615" t="str">
        <f t="shared" si="122"/>
        <v>Positive</v>
      </c>
    </row>
    <row r="2616" spans="1:16" x14ac:dyDescent="0.3">
      <c r="A2616" s="1">
        <v>45969</v>
      </c>
      <c r="B2616">
        <v>110.37</v>
      </c>
      <c r="C2616">
        <v>0</v>
      </c>
      <c r="D2616">
        <v>0</v>
      </c>
      <c r="E2616">
        <v>36</v>
      </c>
      <c r="F2616">
        <v>3.17</v>
      </c>
      <c r="G2616">
        <v>0.14499999999999999</v>
      </c>
      <c r="H2616">
        <v>0</v>
      </c>
      <c r="J2616">
        <v>0</v>
      </c>
      <c r="K2616">
        <f>YEAR(NetflixData[[#This Row],[date]])</f>
        <v>2025</v>
      </c>
      <c r="L2616" t="str">
        <f>TEXT(NetflixData[[#This Row],[date]],"mmm")</f>
        <v>Nov</v>
      </c>
      <c r="M2616" t="str">
        <f>TEXT(NetflixData[[#This Row],[date]],"mmm yyyy")</f>
        <v>Nov 2025</v>
      </c>
      <c r="N2616" t="str">
        <f t="shared" si="120"/>
        <v>Non-Trading Day</v>
      </c>
      <c r="O2616" t="str">
        <f t="shared" si="121"/>
        <v>No Change</v>
      </c>
      <c r="P2616" t="str">
        <f t="shared" si="122"/>
        <v>Positive</v>
      </c>
    </row>
    <row r="2617" spans="1:16" x14ac:dyDescent="0.3">
      <c r="A2617" s="1">
        <v>45970</v>
      </c>
      <c r="B2617">
        <v>110.37</v>
      </c>
      <c r="C2617">
        <v>0</v>
      </c>
      <c r="D2617">
        <v>0</v>
      </c>
      <c r="E2617">
        <v>40</v>
      </c>
      <c r="F2617">
        <v>3.55</v>
      </c>
      <c r="G2617">
        <v>0.30130000000000001</v>
      </c>
      <c r="H2617">
        <v>0</v>
      </c>
      <c r="J2617">
        <v>0</v>
      </c>
      <c r="K2617">
        <f>YEAR(NetflixData[[#This Row],[date]])</f>
        <v>2025</v>
      </c>
      <c r="L2617" t="str">
        <f>TEXT(NetflixData[[#This Row],[date]],"mmm")</f>
        <v>Nov</v>
      </c>
      <c r="M2617" t="str">
        <f>TEXT(NetflixData[[#This Row],[date]],"mmm yyyy")</f>
        <v>Nov 2025</v>
      </c>
      <c r="N2617" t="str">
        <f t="shared" si="120"/>
        <v>Trading Day</v>
      </c>
      <c r="O2617" t="str">
        <f t="shared" si="121"/>
        <v>No Change</v>
      </c>
      <c r="P2617" t="str">
        <f t="shared" si="122"/>
        <v>Positive</v>
      </c>
    </row>
    <row r="2618" spans="1:16" x14ac:dyDescent="0.3">
      <c r="A2618" s="1">
        <v>45971</v>
      </c>
      <c r="B2618">
        <v>112.01</v>
      </c>
      <c r="C2618">
        <v>36929000</v>
      </c>
      <c r="D2618">
        <v>1.206</v>
      </c>
      <c r="E2618">
        <v>36</v>
      </c>
      <c r="F2618">
        <v>3.47</v>
      </c>
      <c r="G2618">
        <v>0.2437</v>
      </c>
      <c r="H2618">
        <v>0</v>
      </c>
      <c r="J2618">
        <v>1</v>
      </c>
      <c r="K2618">
        <f>YEAR(NetflixData[[#This Row],[date]])</f>
        <v>2025</v>
      </c>
      <c r="L2618" t="str">
        <f>TEXT(NetflixData[[#This Row],[date]],"mmm")</f>
        <v>Nov</v>
      </c>
      <c r="M2618" t="str">
        <f>TEXT(NetflixData[[#This Row],[date]],"mmm yyyy")</f>
        <v>Nov 2025</v>
      </c>
      <c r="N2618" t="str">
        <f t="shared" si="120"/>
        <v>Trading Day</v>
      </c>
      <c r="O2618" t="str">
        <f t="shared" si="121"/>
        <v>Positive</v>
      </c>
      <c r="P2618" t="str">
        <f t="shared" si="122"/>
        <v>Positive</v>
      </c>
    </row>
    <row r="2619" spans="1:16" x14ac:dyDescent="0.3">
      <c r="A2619" s="1">
        <v>45972</v>
      </c>
      <c r="B2619">
        <v>113.64</v>
      </c>
      <c r="C2619">
        <v>27966000</v>
      </c>
      <c r="D2619">
        <v>1.6859999999999999</v>
      </c>
      <c r="E2619">
        <v>55</v>
      </c>
      <c r="F2619">
        <v>2.89</v>
      </c>
      <c r="G2619">
        <v>4.1700000000000001E-2</v>
      </c>
      <c r="H2619">
        <v>0</v>
      </c>
      <c r="J2619">
        <v>1</v>
      </c>
      <c r="K2619">
        <f>YEAR(NetflixData[[#This Row],[date]])</f>
        <v>2025</v>
      </c>
      <c r="L2619" t="str">
        <f>TEXT(NetflixData[[#This Row],[date]],"mmm")</f>
        <v>Nov</v>
      </c>
      <c r="M2619" t="str">
        <f>TEXT(NetflixData[[#This Row],[date]],"mmm yyyy")</f>
        <v>Nov 2025</v>
      </c>
      <c r="N2619" t="str">
        <f t="shared" si="120"/>
        <v>Trading Day</v>
      </c>
      <c r="O2619" t="str">
        <f t="shared" si="121"/>
        <v>Positive</v>
      </c>
      <c r="P2619" t="str">
        <f t="shared" si="122"/>
        <v>Neutral</v>
      </c>
    </row>
    <row r="2620" spans="1:16" x14ac:dyDescent="0.3">
      <c r="A2620" s="1">
        <v>45973</v>
      </c>
      <c r="B2620">
        <v>115.75</v>
      </c>
      <c r="C2620">
        <v>39221000</v>
      </c>
      <c r="D2620">
        <v>1.698</v>
      </c>
      <c r="E2620">
        <v>46</v>
      </c>
      <c r="F2620">
        <v>3.09</v>
      </c>
      <c r="G2620">
        <v>7.46E-2</v>
      </c>
      <c r="H2620">
        <v>0</v>
      </c>
      <c r="J2620">
        <v>1</v>
      </c>
      <c r="K2620">
        <f>YEAR(NetflixData[[#This Row],[date]])</f>
        <v>2025</v>
      </c>
      <c r="L2620" t="str">
        <f>TEXT(NetflixData[[#This Row],[date]],"mmm")</f>
        <v>Nov</v>
      </c>
      <c r="M2620" t="str">
        <f>TEXT(NetflixData[[#This Row],[date]],"mmm yyyy")</f>
        <v>Nov 2025</v>
      </c>
      <c r="N2620" t="str">
        <f t="shared" si="120"/>
        <v>Trading Day</v>
      </c>
      <c r="O2620" t="str">
        <f t="shared" si="121"/>
        <v>Positive</v>
      </c>
      <c r="P2620" t="str">
        <f t="shared" si="122"/>
        <v>Neutral</v>
      </c>
    </row>
    <row r="2621" spans="1:16" x14ac:dyDescent="0.3">
      <c r="A2621" s="1">
        <v>45974</v>
      </c>
      <c r="B2621">
        <v>115.42</v>
      </c>
      <c r="C2621">
        <v>40144000</v>
      </c>
      <c r="D2621">
        <v>-0.36899999999999999</v>
      </c>
      <c r="E2621">
        <v>31</v>
      </c>
      <c r="F2621">
        <v>3.16</v>
      </c>
      <c r="G2621">
        <v>7.3099999999999998E-2</v>
      </c>
      <c r="H2621">
        <v>0</v>
      </c>
      <c r="J2621">
        <v>1</v>
      </c>
      <c r="K2621">
        <f>YEAR(NetflixData[[#This Row],[date]])</f>
        <v>2025</v>
      </c>
      <c r="L2621" t="str">
        <f>TEXT(NetflixData[[#This Row],[date]],"mmm")</f>
        <v>Nov</v>
      </c>
      <c r="M2621" t="str">
        <f>TEXT(NetflixData[[#This Row],[date]],"mmm yyyy")</f>
        <v>Nov 2025</v>
      </c>
      <c r="N2621" t="str">
        <f t="shared" si="120"/>
        <v>Trading Day</v>
      </c>
      <c r="O2621" t="str">
        <f t="shared" si="121"/>
        <v>Negative</v>
      </c>
      <c r="P2621" t="str">
        <f t="shared" si="122"/>
        <v>Neutral</v>
      </c>
    </row>
    <row r="2622" spans="1:16" x14ac:dyDescent="0.3">
      <c r="A2622" s="1">
        <v>45975</v>
      </c>
      <c r="B2622">
        <v>111.22</v>
      </c>
      <c r="C2622">
        <v>47607000</v>
      </c>
      <c r="D2622">
        <v>-2.6739999999999999</v>
      </c>
      <c r="E2622">
        <v>46</v>
      </c>
      <c r="F2622">
        <v>3.02</v>
      </c>
      <c r="G2622">
        <v>0.15359999999999999</v>
      </c>
      <c r="H2622">
        <v>0</v>
      </c>
      <c r="J2622">
        <v>1</v>
      </c>
      <c r="K2622">
        <f>YEAR(NetflixData[[#This Row],[date]])</f>
        <v>2025</v>
      </c>
      <c r="L2622" t="str">
        <f>TEXT(NetflixData[[#This Row],[date]],"mmm")</f>
        <v>Nov</v>
      </c>
      <c r="M2622" t="str">
        <f>TEXT(NetflixData[[#This Row],[date]],"mmm yyyy")</f>
        <v>Nov 2025</v>
      </c>
      <c r="N2622" t="str">
        <f t="shared" si="120"/>
        <v>Non-Trading Day</v>
      </c>
      <c r="O2622" t="str">
        <f t="shared" si="121"/>
        <v>Negative</v>
      </c>
      <c r="P2622" t="str">
        <f t="shared" si="122"/>
        <v>Positive</v>
      </c>
    </row>
    <row r="2623" spans="1:16" x14ac:dyDescent="0.3">
      <c r="A2623" s="1">
        <v>45976</v>
      </c>
      <c r="B2623">
        <v>111.22</v>
      </c>
      <c r="C2623">
        <v>0</v>
      </c>
      <c r="D2623">
        <v>0</v>
      </c>
      <c r="E2623">
        <v>49</v>
      </c>
      <c r="F2623">
        <v>3.31</v>
      </c>
      <c r="G2623">
        <v>0.2334</v>
      </c>
      <c r="H2623">
        <v>0</v>
      </c>
      <c r="J2623">
        <v>0</v>
      </c>
      <c r="K2623">
        <f>YEAR(NetflixData[[#This Row],[date]])</f>
        <v>2025</v>
      </c>
      <c r="L2623" t="str">
        <f>TEXT(NetflixData[[#This Row],[date]],"mmm")</f>
        <v>Nov</v>
      </c>
      <c r="M2623" t="str">
        <f>TEXT(NetflixData[[#This Row],[date]],"mmm yyyy")</f>
        <v>Nov 2025</v>
      </c>
      <c r="N2623" t="str">
        <f t="shared" si="120"/>
        <v>Non-Trading Day</v>
      </c>
      <c r="O2623" t="str">
        <f t="shared" si="121"/>
        <v>No Change</v>
      </c>
      <c r="P2623" t="str">
        <f t="shared" si="122"/>
        <v>Positive</v>
      </c>
    </row>
    <row r="2624" spans="1:16" x14ac:dyDescent="0.3">
      <c r="A2624" s="1">
        <v>45977</v>
      </c>
      <c r="B2624">
        <v>111.22</v>
      </c>
      <c r="C2624">
        <v>0</v>
      </c>
      <c r="D2624">
        <v>0</v>
      </c>
      <c r="E2624">
        <v>54</v>
      </c>
      <c r="F2624">
        <v>2.96</v>
      </c>
      <c r="G2624">
        <v>0.2009</v>
      </c>
      <c r="H2624">
        <v>0</v>
      </c>
      <c r="J2624">
        <v>0</v>
      </c>
      <c r="K2624">
        <f>YEAR(NetflixData[[#This Row],[date]])</f>
        <v>2025</v>
      </c>
      <c r="L2624" t="str">
        <f>TEXT(NetflixData[[#This Row],[date]],"mmm")</f>
        <v>Nov</v>
      </c>
      <c r="M2624" t="str">
        <f>TEXT(NetflixData[[#This Row],[date]],"mmm yyyy")</f>
        <v>Nov 2025</v>
      </c>
      <c r="N2624" t="str">
        <f t="shared" si="120"/>
        <v>Trading Day</v>
      </c>
      <c r="O2624" t="str">
        <f t="shared" si="121"/>
        <v>No Change</v>
      </c>
      <c r="P2624" t="str">
        <f t="shared" si="122"/>
        <v>Positive</v>
      </c>
    </row>
    <row r="2625" spans="1:16" x14ac:dyDescent="0.3">
      <c r="A2625" s="1">
        <v>45978</v>
      </c>
      <c r="B2625">
        <v>110.29</v>
      </c>
      <c r="C2625">
        <v>26082700</v>
      </c>
      <c r="D2625">
        <v>-0.41499999999999998</v>
      </c>
      <c r="E2625">
        <v>35</v>
      </c>
      <c r="F2625">
        <v>3.29</v>
      </c>
      <c r="G2625">
        <v>0.20039999999999999</v>
      </c>
      <c r="H2625">
        <v>0</v>
      </c>
      <c r="J2625">
        <v>1</v>
      </c>
      <c r="K2625">
        <f>YEAR(NetflixData[[#This Row],[date]])</f>
        <v>2025</v>
      </c>
      <c r="L2625" t="str">
        <f>TEXT(NetflixData[[#This Row],[date]],"mmm")</f>
        <v>Nov</v>
      </c>
      <c r="M2625" t="str">
        <f>TEXT(NetflixData[[#This Row],[date]],"mmm yyyy")</f>
        <v>Nov 2025</v>
      </c>
      <c r="N2625" t="str">
        <f t="shared" si="120"/>
        <v>Trading Day</v>
      </c>
      <c r="O2625" t="str">
        <f t="shared" si="121"/>
        <v>Negative</v>
      </c>
      <c r="P2625" t="str">
        <f t="shared" si="122"/>
        <v>Positive</v>
      </c>
    </row>
    <row r="2626" spans="1:16" x14ac:dyDescent="0.3">
      <c r="A2626" s="1">
        <v>45979</v>
      </c>
      <c r="B2626">
        <v>114.09</v>
      </c>
      <c r="C2626">
        <v>43440600</v>
      </c>
      <c r="D2626">
        <v>3.4449999999999998</v>
      </c>
      <c r="E2626">
        <v>37</v>
      </c>
      <c r="F2626">
        <v>2.5099999999999998</v>
      </c>
      <c r="G2626">
        <v>0.1512</v>
      </c>
      <c r="H2626">
        <v>0</v>
      </c>
      <c r="J2626">
        <v>1</v>
      </c>
      <c r="K2626">
        <f>YEAR(NetflixData[[#This Row],[date]])</f>
        <v>2025</v>
      </c>
      <c r="L2626" t="str">
        <f>TEXT(NetflixData[[#This Row],[date]],"mmm")</f>
        <v>Nov</v>
      </c>
      <c r="M2626" t="str">
        <f>TEXT(NetflixData[[#This Row],[date]],"mmm yyyy")</f>
        <v>Nov 2025</v>
      </c>
      <c r="N2626" t="str">
        <f t="shared" ref="N2626:N2689" si="123">IF(J2627=1,"Trading Day","Non-Trading Day")</f>
        <v>Trading Day</v>
      </c>
      <c r="O2626" t="str">
        <f t="shared" ref="O2626:O2689" si="124">IF(D2626&gt;0,"Positive",IF(D2626&lt;0,"Negative","No Change"))</f>
        <v>Positive</v>
      </c>
      <c r="P2626" t="str">
        <f t="shared" ref="P2626:P2689" si="125">IF(G2626&gt;0.1,"Positive",IF(G2626&lt;-0.1,"Negative","Neutral"))</f>
        <v>Positive</v>
      </c>
    </row>
    <row r="2627" spans="1:16" x14ac:dyDescent="0.3">
      <c r="A2627" s="1">
        <v>45980</v>
      </c>
      <c r="B2627">
        <v>110</v>
      </c>
      <c r="C2627">
        <v>31868100</v>
      </c>
      <c r="D2627">
        <v>-2.6549999999999998</v>
      </c>
      <c r="E2627">
        <v>37</v>
      </c>
      <c r="F2627">
        <v>3.3</v>
      </c>
      <c r="G2627">
        <v>0.1231</v>
      </c>
      <c r="H2627">
        <v>0</v>
      </c>
      <c r="J2627">
        <v>1</v>
      </c>
      <c r="K2627">
        <f>YEAR(NetflixData[[#This Row],[date]])</f>
        <v>2025</v>
      </c>
      <c r="L2627" t="str">
        <f>TEXT(NetflixData[[#This Row],[date]],"mmm")</f>
        <v>Nov</v>
      </c>
      <c r="M2627" t="str">
        <f>TEXT(NetflixData[[#This Row],[date]],"mmm yyyy")</f>
        <v>Nov 2025</v>
      </c>
      <c r="N2627" t="str">
        <f t="shared" si="123"/>
        <v>Trading Day</v>
      </c>
      <c r="O2627" t="str">
        <f t="shared" si="124"/>
        <v>Negative</v>
      </c>
      <c r="P2627" t="str">
        <f t="shared" si="125"/>
        <v>Positive</v>
      </c>
    </row>
    <row r="2628" spans="1:16" x14ac:dyDescent="0.3">
      <c r="A2628" s="1">
        <v>45981</v>
      </c>
      <c r="B2628">
        <v>105.67</v>
      </c>
      <c r="C2628">
        <v>36918500</v>
      </c>
      <c r="D2628">
        <v>-4.8019999999999996</v>
      </c>
      <c r="E2628">
        <v>49</v>
      </c>
      <c r="F2628">
        <v>2.78</v>
      </c>
      <c r="G2628">
        <v>0.16400000000000001</v>
      </c>
      <c r="H2628">
        <v>0</v>
      </c>
      <c r="J2628">
        <v>1</v>
      </c>
      <c r="K2628">
        <f>YEAR(NetflixData[[#This Row],[date]])</f>
        <v>2025</v>
      </c>
      <c r="L2628" t="str">
        <f>TEXT(NetflixData[[#This Row],[date]],"mmm")</f>
        <v>Nov</v>
      </c>
      <c r="M2628" t="str">
        <f>TEXT(NetflixData[[#This Row],[date]],"mmm yyyy")</f>
        <v>Nov 2025</v>
      </c>
      <c r="N2628" t="str">
        <f t="shared" si="123"/>
        <v>Trading Day</v>
      </c>
      <c r="O2628" t="str">
        <f t="shared" si="124"/>
        <v>Negative</v>
      </c>
      <c r="P2628" t="str">
        <f t="shared" si="125"/>
        <v>Positive</v>
      </c>
    </row>
    <row r="2629" spans="1:16" x14ac:dyDescent="0.3">
      <c r="A2629" s="1">
        <v>45982</v>
      </c>
      <c r="B2629">
        <v>104.31</v>
      </c>
      <c r="C2629">
        <v>41232700</v>
      </c>
      <c r="D2629">
        <v>-0.78</v>
      </c>
      <c r="E2629">
        <v>30</v>
      </c>
      <c r="F2629">
        <v>3.1</v>
      </c>
      <c r="G2629">
        <v>0.24490000000000001</v>
      </c>
      <c r="H2629">
        <v>0</v>
      </c>
      <c r="J2629">
        <v>1</v>
      </c>
      <c r="K2629">
        <f>YEAR(NetflixData[[#This Row],[date]])</f>
        <v>2025</v>
      </c>
      <c r="L2629" t="str">
        <f>TEXT(NetflixData[[#This Row],[date]],"mmm")</f>
        <v>Nov</v>
      </c>
      <c r="M2629" t="str">
        <f>TEXT(NetflixData[[#This Row],[date]],"mmm yyyy")</f>
        <v>Nov 2025</v>
      </c>
      <c r="N2629" t="str">
        <f t="shared" si="123"/>
        <v>Non-Trading Day</v>
      </c>
      <c r="O2629" t="str">
        <f t="shared" si="124"/>
        <v>Negative</v>
      </c>
      <c r="P2629" t="str">
        <f t="shared" si="125"/>
        <v>Positive</v>
      </c>
    </row>
    <row r="2630" spans="1:16" x14ac:dyDescent="0.3">
      <c r="A2630" s="1">
        <v>45983</v>
      </c>
      <c r="B2630">
        <v>104.31</v>
      </c>
      <c r="C2630">
        <v>0</v>
      </c>
      <c r="D2630">
        <v>0</v>
      </c>
      <c r="E2630">
        <v>34</v>
      </c>
      <c r="F2630">
        <v>2.65</v>
      </c>
      <c r="G2630">
        <v>0.17280000000000001</v>
      </c>
      <c r="H2630">
        <v>0</v>
      </c>
      <c r="J2630">
        <v>0</v>
      </c>
      <c r="K2630">
        <f>YEAR(NetflixData[[#This Row],[date]])</f>
        <v>2025</v>
      </c>
      <c r="L2630" t="str">
        <f>TEXT(NetflixData[[#This Row],[date]],"mmm")</f>
        <v>Nov</v>
      </c>
      <c r="M2630" t="str">
        <f>TEXT(NetflixData[[#This Row],[date]],"mmm yyyy")</f>
        <v>Nov 2025</v>
      </c>
      <c r="N2630" t="str">
        <f t="shared" si="123"/>
        <v>Non-Trading Day</v>
      </c>
      <c r="O2630" t="str">
        <f t="shared" si="124"/>
        <v>No Change</v>
      </c>
      <c r="P2630" t="str">
        <f t="shared" si="125"/>
        <v>Positive</v>
      </c>
    </row>
    <row r="2631" spans="1:16" x14ac:dyDescent="0.3">
      <c r="A2631" s="1">
        <v>45984</v>
      </c>
      <c r="B2631">
        <v>104.31</v>
      </c>
      <c r="C2631">
        <v>0</v>
      </c>
      <c r="D2631">
        <v>0</v>
      </c>
      <c r="E2631">
        <v>46</v>
      </c>
      <c r="F2631">
        <v>3.63</v>
      </c>
      <c r="G2631">
        <v>0.28749999999999998</v>
      </c>
      <c r="H2631">
        <v>0</v>
      </c>
      <c r="J2631">
        <v>0</v>
      </c>
      <c r="K2631">
        <f>YEAR(NetflixData[[#This Row],[date]])</f>
        <v>2025</v>
      </c>
      <c r="L2631" t="str">
        <f>TEXT(NetflixData[[#This Row],[date]],"mmm")</f>
        <v>Nov</v>
      </c>
      <c r="M2631" t="str">
        <f>TEXT(NetflixData[[#This Row],[date]],"mmm yyyy")</f>
        <v>Nov 2025</v>
      </c>
      <c r="N2631" t="str">
        <f t="shared" si="123"/>
        <v>Trading Day</v>
      </c>
      <c r="O2631" t="str">
        <f t="shared" si="124"/>
        <v>No Change</v>
      </c>
      <c r="P2631" t="str">
        <f t="shared" si="125"/>
        <v>Positive</v>
      </c>
    </row>
    <row r="2632" spans="1:16" x14ac:dyDescent="0.3">
      <c r="A2632" s="1">
        <v>45985</v>
      </c>
      <c r="B2632">
        <v>106.97</v>
      </c>
      <c r="C2632">
        <v>62918300</v>
      </c>
      <c r="D2632">
        <v>2.609</v>
      </c>
      <c r="E2632">
        <v>58</v>
      </c>
      <c r="F2632">
        <v>2.71</v>
      </c>
      <c r="G2632">
        <v>0.14149999999999999</v>
      </c>
      <c r="H2632">
        <v>0</v>
      </c>
      <c r="J2632">
        <v>1</v>
      </c>
      <c r="K2632">
        <f>YEAR(NetflixData[[#This Row],[date]])</f>
        <v>2025</v>
      </c>
      <c r="L2632" t="str">
        <f>TEXT(NetflixData[[#This Row],[date]],"mmm")</f>
        <v>Nov</v>
      </c>
      <c r="M2632" t="str">
        <f>TEXT(NetflixData[[#This Row],[date]],"mmm yyyy")</f>
        <v>Nov 2025</v>
      </c>
      <c r="N2632" t="str">
        <f t="shared" si="123"/>
        <v>Trading Day</v>
      </c>
      <c r="O2632" t="str">
        <f t="shared" si="124"/>
        <v>Positive</v>
      </c>
      <c r="P2632" t="str">
        <f t="shared" si="125"/>
        <v>Positive</v>
      </c>
    </row>
    <row r="2633" spans="1:16" x14ac:dyDescent="0.3">
      <c r="A2633" s="1">
        <v>45986</v>
      </c>
      <c r="B2633">
        <v>104.4</v>
      </c>
      <c r="C2633">
        <v>35122600</v>
      </c>
      <c r="D2633">
        <v>-1.621</v>
      </c>
      <c r="E2633">
        <v>46</v>
      </c>
      <c r="F2633">
        <v>2.98</v>
      </c>
      <c r="G2633">
        <v>9.69E-2</v>
      </c>
      <c r="H2633">
        <v>0</v>
      </c>
      <c r="J2633">
        <v>1</v>
      </c>
      <c r="K2633">
        <f>YEAR(NetflixData[[#This Row],[date]])</f>
        <v>2025</v>
      </c>
      <c r="L2633" t="str">
        <f>TEXT(NetflixData[[#This Row],[date]],"mmm")</f>
        <v>Nov</v>
      </c>
      <c r="M2633" t="str">
        <f>TEXT(NetflixData[[#This Row],[date]],"mmm yyyy")</f>
        <v>Nov 2025</v>
      </c>
      <c r="N2633" t="str">
        <f t="shared" si="123"/>
        <v>Trading Day</v>
      </c>
      <c r="O2633" t="str">
        <f t="shared" si="124"/>
        <v>Negative</v>
      </c>
      <c r="P2633" t="str">
        <f t="shared" si="125"/>
        <v>Neutral</v>
      </c>
    </row>
    <row r="2634" spans="1:16" x14ac:dyDescent="0.3">
      <c r="A2634" s="1">
        <v>45987</v>
      </c>
      <c r="B2634">
        <v>106.14</v>
      </c>
      <c r="C2634">
        <v>27951000</v>
      </c>
      <c r="D2634">
        <v>0.378</v>
      </c>
      <c r="E2634">
        <v>43</v>
      </c>
      <c r="F2634">
        <v>3</v>
      </c>
      <c r="G2634">
        <v>7.0400000000000004E-2</v>
      </c>
      <c r="H2634">
        <v>0</v>
      </c>
      <c r="J2634">
        <v>1</v>
      </c>
      <c r="K2634">
        <f>YEAR(NetflixData[[#This Row],[date]])</f>
        <v>2025</v>
      </c>
      <c r="L2634" t="str">
        <f>TEXT(NetflixData[[#This Row],[date]],"mmm")</f>
        <v>Nov</v>
      </c>
      <c r="M2634" t="str">
        <f>TEXT(NetflixData[[#This Row],[date]],"mmm yyyy")</f>
        <v>Nov 2025</v>
      </c>
      <c r="N2634" t="str">
        <f t="shared" si="123"/>
        <v>Non-Trading Day</v>
      </c>
      <c r="O2634" t="str">
        <f t="shared" si="124"/>
        <v>Positive</v>
      </c>
      <c r="P2634" t="str">
        <f t="shared" si="125"/>
        <v>Neutral</v>
      </c>
    </row>
    <row r="2635" spans="1:16" x14ac:dyDescent="0.3">
      <c r="A2635" s="1">
        <v>45988</v>
      </c>
      <c r="B2635">
        <v>106.14</v>
      </c>
      <c r="C2635">
        <v>0</v>
      </c>
      <c r="D2635">
        <v>0</v>
      </c>
      <c r="E2635">
        <v>45</v>
      </c>
      <c r="F2635">
        <v>2.62</v>
      </c>
      <c r="G2635">
        <v>-4.6100000000000002E-2</v>
      </c>
      <c r="H2635">
        <v>0</v>
      </c>
      <c r="J2635">
        <v>0</v>
      </c>
      <c r="K2635">
        <f>YEAR(NetflixData[[#This Row],[date]])</f>
        <v>2025</v>
      </c>
      <c r="L2635" t="str">
        <f>TEXT(NetflixData[[#This Row],[date]],"mmm")</f>
        <v>Nov</v>
      </c>
      <c r="M2635" t="str">
        <f>TEXT(NetflixData[[#This Row],[date]],"mmm yyyy")</f>
        <v>Nov 2025</v>
      </c>
      <c r="N2635" t="str">
        <f t="shared" si="123"/>
        <v>Trading Day</v>
      </c>
      <c r="O2635" t="str">
        <f t="shared" si="124"/>
        <v>No Change</v>
      </c>
      <c r="P2635" t="str">
        <f t="shared" si="125"/>
        <v>Neutral</v>
      </c>
    </row>
    <row r="2636" spans="1:16" x14ac:dyDescent="0.3">
      <c r="A2636" s="1">
        <v>45989</v>
      </c>
      <c r="B2636">
        <v>107.58</v>
      </c>
      <c r="C2636">
        <v>15021600</v>
      </c>
      <c r="D2636">
        <v>1.071</v>
      </c>
      <c r="E2636">
        <v>46</v>
      </c>
      <c r="F2636">
        <v>3.02</v>
      </c>
      <c r="G2636">
        <v>0.2077</v>
      </c>
      <c r="H2636">
        <v>0</v>
      </c>
      <c r="J2636">
        <v>1</v>
      </c>
      <c r="K2636">
        <f>YEAR(NetflixData[[#This Row],[date]])</f>
        <v>2025</v>
      </c>
      <c r="L2636" t="str">
        <f>TEXT(NetflixData[[#This Row],[date]],"mmm")</f>
        <v>Nov</v>
      </c>
      <c r="M2636" t="str">
        <f>TEXT(NetflixData[[#This Row],[date]],"mmm yyyy")</f>
        <v>Nov 2025</v>
      </c>
      <c r="N2636" t="str">
        <f t="shared" si="123"/>
        <v>Non-Trading Day</v>
      </c>
      <c r="O2636" t="str">
        <f t="shared" si="124"/>
        <v>Positive</v>
      </c>
      <c r="P2636" t="str">
        <f t="shared" si="125"/>
        <v>Positive</v>
      </c>
    </row>
    <row r="2637" spans="1:16" x14ac:dyDescent="0.3">
      <c r="A2637" s="1">
        <v>45990</v>
      </c>
      <c r="B2637">
        <v>107.58</v>
      </c>
      <c r="C2637">
        <v>0</v>
      </c>
      <c r="D2637">
        <v>0</v>
      </c>
      <c r="E2637">
        <v>57</v>
      </c>
      <c r="F2637">
        <v>3.25</v>
      </c>
      <c r="G2637">
        <v>0.17399999999999999</v>
      </c>
      <c r="H2637">
        <v>0</v>
      </c>
      <c r="J2637">
        <v>0</v>
      </c>
      <c r="K2637">
        <f>YEAR(NetflixData[[#This Row],[date]])</f>
        <v>2025</v>
      </c>
      <c r="L2637" t="str">
        <f>TEXT(NetflixData[[#This Row],[date]],"mmm")</f>
        <v>Nov</v>
      </c>
      <c r="M2637" t="str">
        <f>TEXT(NetflixData[[#This Row],[date]],"mmm yyyy")</f>
        <v>Nov 2025</v>
      </c>
      <c r="N2637" t="str">
        <f t="shared" si="123"/>
        <v>Non-Trading Day</v>
      </c>
      <c r="O2637" t="str">
        <f t="shared" si="124"/>
        <v>No Change</v>
      </c>
      <c r="P2637" t="str">
        <f t="shared" si="125"/>
        <v>Positive</v>
      </c>
    </row>
    <row r="2638" spans="1:16" x14ac:dyDescent="0.3">
      <c r="A2638" s="1">
        <v>45991</v>
      </c>
      <c r="B2638">
        <v>107.58</v>
      </c>
      <c r="C2638">
        <v>0</v>
      </c>
      <c r="D2638">
        <v>0</v>
      </c>
      <c r="E2638">
        <v>56</v>
      </c>
      <c r="F2638">
        <v>3.21</v>
      </c>
      <c r="G2638">
        <v>0.13669999999999999</v>
      </c>
      <c r="H2638">
        <v>0</v>
      </c>
      <c r="J2638">
        <v>0</v>
      </c>
      <c r="K2638">
        <f>YEAR(NetflixData[[#This Row],[date]])</f>
        <v>2025</v>
      </c>
      <c r="L2638" t="str">
        <f>TEXT(NetflixData[[#This Row],[date]],"mmm")</f>
        <v>Nov</v>
      </c>
      <c r="M2638" t="str">
        <f>TEXT(NetflixData[[#This Row],[date]],"mmm yyyy")</f>
        <v>Nov 2025</v>
      </c>
      <c r="N2638" t="str">
        <f t="shared" si="123"/>
        <v>Trading Day</v>
      </c>
      <c r="O2638" t="str">
        <f t="shared" si="124"/>
        <v>No Change</v>
      </c>
      <c r="P2638" t="str">
        <f t="shared" si="125"/>
        <v>Positive</v>
      </c>
    </row>
    <row r="2639" spans="1:16" x14ac:dyDescent="0.3">
      <c r="A2639" s="1">
        <v>45992</v>
      </c>
      <c r="B2639">
        <v>109.13</v>
      </c>
      <c r="C2639">
        <v>24873400</v>
      </c>
      <c r="D2639">
        <v>2.46</v>
      </c>
      <c r="E2639">
        <v>35</v>
      </c>
      <c r="F2639">
        <v>2.5099999999999998</v>
      </c>
      <c r="G2639">
        <v>0.14449999999999999</v>
      </c>
      <c r="H2639">
        <v>0</v>
      </c>
      <c r="J2639">
        <v>1</v>
      </c>
      <c r="K2639">
        <f>YEAR(NetflixData[[#This Row],[date]])</f>
        <v>2025</v>
      </c>
      <c r="L2639" t="str">
        <f>TEXT(NetflixData[[#This Row],[date]],"mmm")</f>
        <v>Dec</v>
      </c>
      <c r="M2639" t="str">
        <f>TEXT(NetflixData[[#This Row],[date]],"mmm yyyy")</f>
        <v>Dec 2025</v>
      </c>
      <c r="N2639" t="str">
        <f t="shared" si="123"/>
        <v>Trading Day</v>
      </c>
      <c r="O2639" t="str">
        <f t="shared" si="124"/>
        <v>Positive</v>
      </c>
      <c r="P2639" t="str">
        <f t="shared" si="125"/>
        <v>Positive</v>
      </c>
    </row>
    <row r="2640" spans="1:16" x14ac:dyDescent="0.3">
      <c r="A2640" s="1">
        <v>45993</v>
      </c>
      <c r="B2640">
        <v>109.35</v>
      </c>
      <c r="C2640">
        <v>25763000</v>
      </c>
      <c r="D2640">
        <v>0.128</v>
      </c>
      <c r="E2640">
        <v>82</v>
      </c>
      <c r="F2640">
        <v>2.2000000000000002</v>
      </c>
      <c r="G2640">
        <v>9.35E-2</v>
      </c>
      <c r="H2640">
        <v>0</v>
      </c>
      <c r="J2640">
        <v>1</v>
      </c>
      <c r="K2640">
        <f>YEAR(NetflixData[[#This Row],[date]])</f>
        <v>2025</v>
      </c>
      <c r="L2640" t="str">
        <f>TEXT(NetflixData[[#This Row],[date]],"mmm")</f>
        <v>Dec</v>
      </c>
      <c r="M2640" t="str">
        <f>TEXT(NetflixData[[#This Row],[date]],"mmm yyyy")</f>
        <v>Dec 2025</v>
      </c>
      <c r="N2640" t="str">
        <f t="shared" si="123"/>
        <v>Trading Day</v>
      </c>
      <c r="O2640" t="str">
        <f t="shared" si="124"/>
        <v>Positive</v>
      </c>
      <c r="P2640" t="str">
        <f t="shared" si="125"/>
        <v>Neutral</v>
      </c>
    </row>
    <row r="2641" spans="1:16" x14ac:dyDescent="0.3">
      <c r="A2641" s="1">
        <v>45994</v>
      </c>
      <c r="B2641">
        <v>103.96</v>
      </c>
      <c r="C2641">
        <v>53593400</v>
      </c>
      <c r="D2641">
        <v>-2.4670000000000001</v>
      </c>
      <c r="E2641">
        <v>75</v>
      </c>
      <c r="F2641">
        <v>2.87</v>
      </c>
      <c r="G2641">
        <v>9.6299999999999997E-2</v>
      </c>
      <c r="H2641">
        <v>0</v>
      </c>
      <c r="J2641">
        <v>1</v>
      </c>
      <c r="K2641">
        <f>YEAR(NetflixData[[#This Row],[date]])</f>
        <v>2025</v>
      </c>
      <c r="L2641" t="str">
        <f>TEXT(NetflixData[[#This Row],[date]],"mmm")</f>
        <v>Dec</v>
      </c>
      <c r="M2641" t="str">
        <f>TEXT(NetflixData[[#This Row],[date]],"mmm yyyy")</f>
        <v>Dec 2025</v>
      </c>
      <c r="N2641" t="str">
        <f t="shared" si="123"/>
        <v>Trading Day</v>
      </c>
      <c r="O2641" t="str">
        <f t="shared" si="124"/>
        <v>Negative</v>
      </c>
      <c r="P2641" t="str">
        <f t="shared" si="125"/>
        <v>Neutral</v>
      </c>
    </row>
    <row r="2642" spans="1:16" x14ac:dyDescent="0.3">
      <c r="A2642" s="1">
        <v>45995</v>
      </c>
      <c r="B2642">
        <v>103.22</v>
      </c>
      <c r="C2642">
        <v>51779100</v>
      </c>
      <c r="D2642">
        <v>-0.33800000000000002</v>
      </c>
      <c r="E2642">
        <v>61</v>
      </c>
      <c r="F2642">
        <v>3.21</v>
      </c>
      <c r="G2642">
        <v>0.24399999999999999</v>
      </c>
      <c r="H2642">
        <v>0</v>
      </c>
      <c r="J2642">
        <v>1</v>
      </c>
      <c r="K2642">
        <f>YEAR(NetflixData[[#This Row],[date]])</f>
        <v>2025</v>
      </c>
      <c r="L2642" t="str">
        <f>TEXT(NetflixData[[#This Row],[date]],"mmm")</f>
        <v>Dec</v>
      </c>
      <c r="M2642" t="str">
        <f>TEXT(NetflixData[[#This Row],[date]],"mmm yyyy")</f>
        <v>Dec 2025</v>
      </c>
      <c r="N2642" t="str">
        <f t="shared" si="123"/>
        <v>Trading Day</v>
      </c>
      <c r="O2642" t="str">
        <f t="shared" si="124"/>
        <v>Negative</v>
      </c>
      <c r="P2642" t="str">
        <f t="shared" si="125"/>
        <v>Positive</v>
      </c>
    </row>
    <row r="2643" spans="1:16" x14ac:dyDescent="0.3">
      <c r="A2643" s="1">
        <v>45996</v>
      </c>
      <c r="B2643">
        <v>100.24</v>
      </c>
      <c r="C2643">
        <v>133363600</v>
      </c>
      <c r="D2643">
        <v>1.478</v>
      </c>
      <c r="E2643">
        <v>0</v>
      </c>
      <c r="H2643">
        <v>0</v>
      </c>
      <c r="J2643">
        <v>1</v>
      </c>
      <c r="K2643">
        <f>YEAR(NetflixData[[#This Row],[date]])</f>
        <v>2025</v>
      </c>
      <c r="L2643" t="str">
        <f>TEXT(NetflixData[[#This Row],[date]],"mmm")</f>
        <v>Dec</v>
      </c>
      <c r="M2643" t="str">
        <f>TEXT(NetflixData[[#This Row],[date]],"mmm yyyy")</f>
        <v>Dec 2025</v>
      </c>
      <c r="N2643" t="str">
        <f t="shared" si="123"/>
        <v>Non-Trading Day</v>
      </c>
      <c r="O2643" t="str">
        <f t="shared" si="124"/>
        <v>Positive</v>
      </c>
      <c r="P2643" t="str">
        <f t="shared" si="125"/>
        <v>Neutral</v>
      </c>
    </row>
    <row r="2644" spans="1:16" x14ac:dyDescent="0.3">
      <c r="A2644" s="1">
        <v>45997</v>
      </c>
      <c r="B2644">
        <v>100.24</v>
      </c>
      <c r="C2644">
        <v>0</v>
      </c>
      <c r="D2644">
        <v>0</v>
      </c>
      <c r="E2644">
        <v>53</v>
      </c>
      <c r="F2644">
        <v>2.94</v>
      </c>
      <c r="G2644">
        <v>0.219</v>
      </c>
      <c r="H2644">
        <v>0</v>
      </c>
      <c r="J2644">
        <v>0</v>
      </c>
      <c r="K2644">
        <f>YEAR(NetflixData[[#This Row],[date]])</f>
        <v>2025</v>
      </c>
      <c r="L2644" t="str">
        <f>TEXT(NetflixData[[#This Row],[date]],"mmm")</f>
        <v>Dec</v>
      </c>
      <c r="M2644" t="str">
        <f>TEXT(NetflixData[[#This Row],[date]],"mmm yyyy")</f>
        <v>Dec 2025</v>
      </c>
      <c r="N2644" t="str">
        <f t="shared" si="123"/>
        <v>Non-Trading Day</v>
      </c>
      <c r="O2644" t="str">
        <f t="shared" si="124"/>
        <v>No Change</v>
      </c>
      <c r="P2644" t="str">
        <f t="shared" si="125"/>
        <v>Positive</v>
      </c>
    </row>
    <row r="2645" spans="1:16" x14ac:dyDescent="0.3">
      <c r="A2645" s="1">
        <v>45998</v>
      </c>
      <c r="B2645">
        <v>100.24</v>
      </c>
      <c r="C2645">
        <v>0</v>
      </c>
      <c r="D2645">
        <v>0</v>
      </c>
      <c r="E2645">
        <v>63</v>
      </c>
      <c r="F2645">
        <v>2.73</v>
      </c>
      <c r="G2645">
        <v>0.10539999999999999</v>
      </c>
      <c r="H2645">
        <v>0</v>
      </c>
      <c r="J2645">
        <v>0</v>
      </c>
      <c r="K2645">
        <f>YEAR(NetflixData[[#This Row],[date]])</f>
        <v>2025</v>
      </c>
      <c r="L2645" t="str">
        <f>TEXT(NetflixData[[#This Row],[date]],"mmm")</f>
        <v>Dec</v>
      </c>
      <c r="M2645" t="str">
        <f>TEXT(NetflixData[[#This Row],[date]],"mmm yyyy")</f>
        <v>Dec 2025</v>
      </c>
      <c r="N2645" t="str">
        <f t="shared" si="123"/>
        <v>Trading Day</v>
      </c>
      <c r="O2645" t="str">
        <f t="shared" si="124"/>
        <v>No Change</v>
      </c>
      <c r="P2645" t="str">
        <f t="shared" si="125"/>
        <v>Positive</v>
      </c>
    </row>
    <row r="2646" spans="1:16" x14ac:dyDescent="0.3">
      <c r="A2646" s="1">
        <v>45999</v>
      </c>
      <c r="B2646">
        <v>96.79</v>
      </c>
      <c r="C2646">
        <v>100906300</v>
      </c>
      <c r="D2646">
        <v>-3.0840000000000001</v>
      </c>
      <c r="E2646">
        <v>47</v>
      </c>
      <c r="F2646">
        <v>2.81</v>
      </c>
      <c r="G2646">
        <v>0.21179999999999999</v>
      </c>
      <c r="H2646">
        <v>0</v>
      </c>
      <c r="J2646">
        <v>1</v>
      </c>
      <c r="K2646">
        <f>YEAR(NetflixData[[#This Row],[date]])</f>
        <v>2025</v>
      </c>
      <c r="L2646" t="str">
        <f>TEXT(NetflixData[[#This Row],[date]],"mmm")</f>
        <v>Dec</v>
      </c>
      <c r="M2646" t="str">
        <f>TEXT(NetflixData[[#This Row],[date]],"mmm yyyy")</f>
        <v>Dec 2025</v>
      </c>
      <c r="N2646" t="str">
        <f t="shared" si="123"/>
        <v>Trading Day</v>
      </c>
      <c r="O2646" t="str">
        <f t="shared" si="124"/>
        <v>Negative</v>
      </c>
      <c r="P2646" t="str">
        <f t="shared" si="125"/>
        <v>Positive</v>
      </c>
    </row>
    <row r="2647" spans="1:16" x14ac:dyDescent="0.3">
      <c r="A2647" s="1">
        <v>46000</v>
      </c>
      <c r="B2647">
        <v>96.71</v>
      </c>
      <c r="C2647">
        <v>51745600</v>
      </c>
      <c r="D2647">
        <v>-0.33</v>
      </c>
      <c r="E2647">
        <v>52</v>
      </c>
      <c r="F2647">
        <v>3.08</v>
      </c>
      <c r="G2647">
        <v>0.16769999999999999</v>
      </c>
      <c r="H2647">
        <v>0</v>
      </c>
      <c r="J2647">
        <v>1</v>
      </c>
      <c r="K2647">
        <f>YEAR(NetflixData[[#This Row],[date]])</f>
        <v>2025</v>
      </c>
      <c r="L2647" t="str">
        <f>TEXT(NetflixData[[#This Row],[date]],"mmm")</f>
        <v>Dec</v>
      </c>
      <c r="M2647" t="str">
        <f>TEXT(NetflixData[[#This Row],[date]],"mmm yyyy")</f>
        <v>Dec 2025</v>
      </c>
      <c r="N2647" t="str">
        <f t="shared" si="123"/>
        <v>Trading Day</v>
      </c>
      <c r="O2647" t="str">
        <f t="shared" si="124"/>
        <v>Negative</v>
      </c>
      <c r="P2647" t="str">
        <f t="shared" si="125"/>
        <v>Positive</v>
      </c>
    </row>
    <row r="2648" spans="1:16" x14ac:dyDescent="0.3">
      <c r="A2648" s="1">
        <v>46001</v>
      </c>
      <c r="B2648">
        <v>92.71</v>
      </c>
      <c r="C2648">
        <v>74129300</v>
      </c>
      <c r="D2648">
        <v>-4.1660000000000004</v>
      </c>
      <c r="E2648">
        <v>51</v>
      </c>
      <c r="F2648">
        <v>3.04</v>
      </c>
      <c r="G2648">
        <v>0.20349999999999999</v>
      </c>
      <c r="H2648">
        <v>0</v>
      </c>
      <c r="J2648">
        <v>1</v>
      </c>
      <c r="K2648">
        <f>YEAR(NetflixData[[#This Row],[date]])</f>
        <v>2025</v>
      </c>
      <c r="L2648" t="str">
        <f>TEXT(NetflixData[[#This Row],[date]],"mmm")</f>
        <v>Dec</v>
      </c>
      <c r="M2648" t="str">
        <f>TEXT(NetflixData[[#This Row],[date]],"mmm yyyy")</f>
        <v>Dec 2025</v>
      </c>
      <c r="N2648" t="str">
        <f t="shared" si="123"/>
        <v>Trading Day</v>
      </c>
      <c r="O2648" t="str">
        <f t="shared" si="124"/>
        <v>Negative</v>
      </c>
      <c r="P2648" t="str">
        <f t="shared" si="125"/>
        <v>Positive</v>
      </c>
    </row>
    <row r="2649" spans="1:16" x14ac:dyDescent="0.3">
      <c r="A2649" s="1">
        <v>46002</v>
      </c>
      <c r="B2649">
        <v>94.09</v>
      </c>
      <c r="C2649">
        <v>43949000</v>
      </c>
      <c r="D2649">
        <v>0.20200000000000001</v>
      </c>
      <c r="E2649">
        <v>39</v>
      </c>
      <c r="F2649">
        <v>2.69</v>
      </c>
      <c r="G2649">
        <v>1.5100000000000001E-2</v>
      </c>
      <c r="H2649">
        <v>0</v>
      </c>
      <c r="J2649">
        <v>1</v>
      </c>
      <c r="K2649">
        <f>YEAR(NetflixData[[#This Row],[date]])</f>
        <v>2025</v>
      </c>
      <c r="L2649" t="str">
        <f>TEXT(NetflixData[[#This Row],[date]],"mmm")</f>
        <v>Dec</v>
      </c>
      <c r="M2649" t="str">
        <f>TEXT(NetflixData[[#This Row],[date]],"mmm yyyy")</f>
        <v>Dec 2025</v>
      </c>
      <c r="N2649" t="str">
        <f t="shared" si="123"/>
        <v>Trading Day</v>
      </c>
      <c r="O2649" t="str">
        <f t="shared" si="124"/>
        <v>Positive</v>
      </c>
      <c r="P2649" t="str">
        <f t="shared" si="125"/>
        <v>Neutral</v>
      </c>
    </row>
    <row r="2650" spans="1:16" x14ac:dyDescent="0.3">
      <c r="A2650" s="1">
        <v>46003</v>
      </c>
      <c r="B2650">
        <v>95.19</v>
      </c>
      <c r="C2650">
        <v>49323100</v>
      </c>
      <c r="D2650">
        <v>-0.32500000000000001</v>
      </c>
      <c r="E2650">
        <v>38</v>
      </c>
      <c r="F2650">
        <v>2.89</v>
      </c>
      <c r="G2650">
        <v>0.21179999999999999</v>
      </c>
      <c r="H2650">
        <v>0</v>
      </c>
      <c r="J2650">
        <v>1</v>
      </c>
      <c r="K2650">
        <f>YEAR(NetflixData[[#This Row],[date]])</f>
        <v>2025</v>
      </c>
      <c r="L2650" t="str">
        <f>TEXT(NetflixData[[#This Row],[date]],"mmm")</f>
        <v>Dec</v>
      </c>
      <c r="M2650" t="str">
        <f>TEXT(NetflixData[[#This Row],[date]],"mmm yyyy")</f>
        <v>Dec 2025</v>
      </c>
      <c r="N2650" t="str">
        <f t="shared" si="123"/>
        <v>Non-Trading Day</v>
      </c>
      <c r="O2650" t="str">
        <f t="shared" si="124"/>
        <v>Negative</v>
      </c>
      <c r="P2650" t="str">
        <f t="shared" si="125"/>
        <v>Positive</v>
      </c>
    </row>
    <row r="2651" spans="1:16" x14ac:dyDescent="0.3">
      <c r="A2651" s="1">
        <v>46004</v>
      </c>
      <c r="B2651">
        <v>95.19</v>
      </c>
      <c r="C2651">
        <v>0</v>
      </c>
      <c r="D2651">
        <v>0</v>
      </c>
      <c r="E2651">
        <v>50</v>
      </c>
      <c r="F2651">
        <v>2.52</v>
      </c>
      <c r="G2651">
        <v>9.5999999999999992E-3</v>
      </c>
      <c r="H2651">
        <v>0</v>
      </c>
      <c r="J2651">
        <v>0</v>
      </c>
      <c r="K2651">
        <f>YEAR(NetflixData[[#This Row],[date]])</f>
        <v>2025</v>
      </c>
      <c r="L2651" t="str">
        <f>TEXT(NetflixData[[#This Row],[date]],"mmm")</f>
        <v>Dec</v>
      </c>
      <c r="M2651" t="str">
        <f>TEXT(NetflixData[[#This Row],[date]],"mmm yyyy")</f>
        <v>Dec 2025</v>
      </c>
      <c r="N2651" t="str">
        <f t="shared" si="123"/>
        <v>Non-Trading Day</v>
      </c>
      <c r="O2651" t="str">
        <f t="shared" si="124"/>
        <v>No Change</v>
      </c>
      <c r="P2651" t="str">
        <f t="shared" si="125"/>
        <v>Neutral</v>
      </c>
    </row>
    <row r="2652" spans="1:16" x14ac:dyDescent="0.3">
      <c r="A2652" s="1">
        <v>46005</v>
      </c>
      <c r="B2652">
        <v>95.19</v>
      </c>
      <c r="C2652">
        <v>0</v>
      </c>
      <c r="D2652">
        <v>0</v>
      </c>
      <c r="E2652">
        <v>51</v>
      </c>
      <c r="F2652">
        <v>3.29</v>
      </c>
      <c r="G2652">
        <v>0.14449999999999999</v>
      </c>
      <c r="H2652">
        <v>0</v>
      </c>
      <c r="J2652">
        <v>0</v>
      </c>
      <c r="K2652">
        <f>YEAR(NetflixData[[#This Row],[date]])</f>
        <v>2025</v>
      </c>
      <c r="L2652" t="str">
        <f>TEXT(NetflixData[[#This Row],[date]],"mmm")</f>
        <v>Dec</v>
      </c>
      <c r="M2652" t="str">
        <f>TEXT(NetflixData[[#This Row],[date]],"mmm yyyy")</f>
        <v>Dec 2025</v>
      </c>
      <c r="N2652" t="str">
        <f t="shared" si="123"/>
        <v>Trading Day</v>
      </c>
      <c r="O2652" t="str">
        <f t="shared" si="124"/>
        <v>No Change</v>
      </c>
      <c r="P2652" t="str">
        <f t="shared" si="125"/>
        <v>Positive</v>
      </c>
    </row>
    <row r="2653" spans="1:16" x14ac:dyDescent="0.3">
      <c r="A2653" s="1">
        <v>46006</v>
      </c>
      <c r="B2653">
        <v>93.77</v>
      </c>
      <c r="C2653">
        <v>40016500</v>
      </c>
      <c r="D2653">
        <v>-2.343</v>
      </c>
      <c r="E2653">
        <v>47</v>
      </c>
      <c r="F2653">
        <v>3.06</v>
      </c>
      <c r="G2653">
        <v>0.1898</v>
      </c>
      <c r="H2653">
        <v>0</v>
      </c>
      <c r="J2653">
        <v>1</v>
      </c>
      <c r="K2653">
        <f>YEAR(NetflixData[[#This Row],[date]])</f>
        <v>2025</v>
      </c>
      <c r="L2653" t="str">
        <f>TEXT(NetflixData[[#This Row],[date]],"mmm")</f>
        <v>Dec</v>
      </c>
      <c r="M2653" t="str">
        <f>TEXT(NetflixData[[#This Row],[date]],"mmm yyyy")</f>
        <v>Dec 2025</v>
      </c>
      <c r="N2653" t="str">
        <f t="shared" si="123"/>
        <v>Trading Day</v>
      </c>
      <c r="O2653" t="str">
        <f t="shared" si="124"/>
        <v>Negative</v>
      </c>
      <c r="P2653" t="str">
        <f t="shared" si="125"/>
        <v>Positive</v>
      </c>
    </row>
    <row r="2654" spans="1:16" x14ac:dyDescent="0.3">
      <c r="A2654" s="1">
        <v>46007</v>
      </c>
      <c r="B2654">
        <v>94.57</v>
      </c>
      <c r="C2654">
        <v>34265000</v>
      </c>
      <c r="D2654">
        <v>0.73499999999999999</v>
      </c>
      <c r="E2654">
        <v>59</v>
      </c>
      <c r="F2654">
        <v>3.32</v>
      </c>
      <c r="G2654">
        <v>0.2099</v>
      </c>
      <c r="H2654">
        <v>0</v>
      </c>
      <c r="J2654">
        <v>1</v>
      </c>
      <c r="K2654">
        <f>YEAR(NetflixData[[#This Row],[date]])</f>
        <v>2025</v>
      </c>
      <c r="L2654" t="str">
        <f>TEXT(NetflixData[[#This Row],[date]],"mmm")</f>
        <v>Dec</v>
      </c>
      <c r="M2654" t="str">
        <f>TEXT(NetflixData[[#This Row],[date]],"mmm yyyy")</f>
        <v>Dec 2025</v>
      </c>
      <c r="N2654" t="str">
        <f t="shared" si="123"/>
        <v>Trading Day</v>
      </c>
      <c r="O2654" t="str">
        <f t="shared" si="124"/>
        <v>Positive</v>
      </c>
      <c r="P2654" t="str">
        <f t="shared" si="125"/>
        <v>Positive</v>
      </c>
    </row>
    <row r="2655" spans="1:16" x14ac:dyDescent="0.3">
      <c r="A2655" s="1">
        <v>46008</v>
      </c>
      <c r="B2655">
        <v>94.79</v>
      </c>
      <c r="C2655">
        <v>50472800</v>
      </c>
      <c r="D2655">
        <v>-1.24</v>
      </c>
      <c r="E2655">
        <v>41</v>
      </c>
      <c r="F2655">
        <v>2.93</v>
      </c>
      <c r="G2655">
        <v>0.20319999999999999</v>
      </c>
      <c r="H2655">
        <v>0</v>
      </c>
      <c r="J2655">
        <v>1</v>
      </c>
      <c r="K2655">
        <f>YEAR(NetflixData[[#This Row],[date]])</f>
        <v>2025</v>
      </c>
      <c r="L2655" t="str">
        <f>TEXT(NetflixData[[#This Row],[date]],"mmm")</f>
        <v>Dec</v>
      </c>
      <c r="M2655" t="str">
        <f>TEXT(NetflixData[[#This Row],[date]],"mmm yyyy")</f>
        <v>Dec 2025</v>
      </c>
      <c r="N2655" t="str">
        <f t="shared" si="123"/>
        <v>Trading Day</v>
      </c>
      <c r="O2655" t="str">
        <f t="shared" si="124"/>
        <v>Negative</v>
      </c>
      <c r="P2655" t="str">
        <f t="shared" si="125"/>
        <v>Positive</v>
      </c>
    </row>
    <row r="2656" spans="1:16" x14ac:dyDescent="0.3">
      <c r="A2656" s="1">
        <v>46009</v>
      </c>
      <c r="B2656">
        <v>94</v>
      </c>
      <c r="C2656">
        <v>37244700</v>
      </c>
      <c r="D2656">
        <v>-1.073</v>
      </c>
      <c r="E2656">
        <v>46</v>
      </c>
      <c r="F2656">
        <v>2.85</v>
      </c>
      <c r="G2656">
        <v>0.1227</v>
      </c>
      <c r="H2656">
        <v>0</v>
      </c>
      <c r="J2656">
        <v>1</v>
      </c>
      <c r="K2656">
        <f>YEAR(NetflixData[[#This Row],[date]])</f>
        <v>2025</v>
      </c>
      <c r="L2656" t="str">
        <f>TEXT(NetflixData[[#This Row],[date]],"mmm")</f>
        <v>Dec</v>
      </c>
      <c r="M2656" t="str">
        <f>TEXT(NetflixData[[#This Row],[date]],"mmm yyyy")</f>
        <v>Dec 2025</v>
      </c>
      <c r="N2656" t="str">
        <f t="shared" si="123"/>
        <v>Trading Day</v>
      </c>
      <c r="O2656" t="str">
        <f t="shared" si="124"/>
        <v>Negative</v>
      </c>
      <c r="P2656" t="str">
        <f t="shared" si="125"/>
        <v>Positive</v>
      </c>
    </row>
    <row r="2657" spans="1:16" x14ac:dyDescent="0.3">
      <c r="A2657" s="1">
        <v>46010</v>
      </c>
      <c r="B2657">
        <v>94.39</v>
      </c>
      <c r="C2657">
        <v>78990200</v>
      </c>
      <c r="D2657">
        <v>0.876</v>
      </c>
      <c r="E2657">
        <v>46</v>
      </c>
      <c r="F2657">
        <v>2.8</v>
      </c>
      <c r="G2657">
        <v>0.15640000000000001</v>
      </c>
      <c r="H2657">
        <v>0</v>
      </c>
      <c r="J2657">
        <v>1</v>
      </c>
      <c r="K2657">
        <f>YEAR(NetflixData[[#This Row],[date]])</f>
        <v>2025</v>
      </c>
      <c r="L2657" t="str">
        <f>TEXT(NetflixData[[#This Row],[date]],"mmm")</f>
        <v>Dec</v>
      </c>
      <c r="M2657" t="str">
        <f>TEXT(NetflixData[[#This Row],[date]],"mmm yyyy")</f>
        <v>Dec 2025</v>
      </c>
      <c r="N2657" t="str">
        <f t="shared" si="123"/>
        <v>Non-Trading Day</v>
      </c>
      <c r="O2657" t="str">
        <f t="shared" si="124"/>
        <v>Positive</v>
      </c>
      <c r="P2657" t="str">
        <f t="shared" si="125"/>
        <v>Positive</v>
      </c>
    </row>
    <row r="2658" spans="1:16" x14ac:dyDescent="0.3">
      <c r="A2658" s="1">
        <v>46011</v>
      </c>
      <c r="B2658">
        <v>94.39</v>
      </c>
      <c r="C2658">
        <v>0</v>
      </c>
      <c r="D2658">
        <v>0</v>
      </c>
      <c r="E2658">
        <v>49</v>
      </c>
      <c r="F2658">
        <v>3.02</v>
      </c>
      <c r="G2658">
        <v>0.18060000000000001</v>
      </c>
      <c r="H2658">
        <v>0</v>
      </c>
      <c r="J2658">
        <v>0</v>
      </c>
      <c r="K2658">
        <f>YEAR(NetflixData[[#This Row],[date]])</f>
        <v>2025</v>
      </c>
      <c r="L2658" t="str">
        <f>TEXT(NetflixData[[#This Row],[date]],"mmm")</f>
        <v>Dec</v>
      </c>
      <c r="M2658" t="str">
        <f>TEXT(NetflixData[[#This Row],[date]],"mmm yyyy")</f>
        <v>Dec 2025</v>
      </c>
      <c r="N2658" t="str">
        <f t="shared" si="123"/>
        <v>Non-Trading Day</v>
      </c>
      <c r="O2658" t="str">
        <f t="shared" si="124"/>
        <v>No Change</v>
      </c>
      <c r="P2658" t="str">
        <f t="shared" si="125"/>
        <v>Positive</v>
      </c>
    </row>
    <row r="2659" spans="1:16" x14ac:dyDescent="0.3">
      <c r="A2659" s="1">
        <v>46012</v>
      </c>
      <c r="B2659">
        <v>94.39</v>
      </c>
      <c r="C2659">
        <v>0</v>
      </c>
      <c r="D2659">
        <v>0</v>
      </c>
      <c r="E2659">
        <v>44</v>
      </c>
      <c r="F2659">
        <v>3.23</v>
      </c>
      <c r="G2659">
        <v>0.27510000000000001</v>
      </c>
      <c r="H2659">
        <v>0</v>
      </c>
      <c r="J2659">
        <v>0</v>
      </c>
      <c r="K2659">
        <f>YEAR(NetflixData[[#This Row],[date]])</f>
        <v>2025</v>
      </c>
      <c r="L2659" t="str">
        <f>TEXT(NetflixData[[#This Row],[date]],"mmm")</f>
        <v>Dec</v>
      </c>
      <c r="M2659" t="str">
        <f>TEXT(NetflixData[[#This Row],[date]],"mmm yyyy")</f>
        <v>Dec 2025</v>
      </c>
      <c r="N2659" t="str">
        <f t="shared" si="123"/>
        <v>Trading Day</v>
      </c>
      <c r="O2659" t="str">
        <f t="shared" si="124"/>
        <v>No Change</v>
      </c>
      <c r="P2659" t="str">
        <f t="shared" si="125"/>
        <v>Positive</v>
      </c>
    </row>
    <row r="2660" spans="1:16" x14ac:dyDescent="0.3">
      <c r="A2660" s="1">
        <v>46013</v>
      </c>
      <c r="B2660">
        <v>93.23</v>
      </c>
      <c r="C2660">
        <v>39484800</v>
      </c>
      <c r="D2660">
        <v>-1.5629999999999999</v>
      </c>
      <c r="E2660">
        <v>35</v>
      </c>
      <c r="F2660">
        <v>3</v>
      </c>
      <c r="G2660">
        <v>0.2878</v>
      </c>
      <c r="H2660">
        <v>0</v>
      </c>
      <c r="J2660">
        <v>1</v>
      </c>
      <c r="K2660">
        <f>YEAR(NetflixData[[#This Row],[date]])</f>
        <v>2025</v>
      </c>
      <c r="L2660" t="str">
        <f>TEXT(NetflixData[[#This Row],[date]],"mmm")</f>
        <v>Dec</v>
      </c>
      <c r="M2660" t="str">
        <f>TEXT(NetflixData[[#This Row],[date]],"mmm yyyy")</f>
        <v>Dec 2025</v>
      </c>
      <c r="N2660" t="str">
        <f t="shared" si="123"/>
        <v>Trading Day</v>
      </c>
      <c r="O2660" t="str">
        <f t="shared" si="124"/>
        <v>Negative</v>
      </c>
      <c r="P2660" t="str">
        <f t="shared" si="125"/>
        <v>Positive</v>
      </c>
    </row>
    <row r="2661" spans="1:16" x14ac:dyDescent="0.3">
      <c r="A2661" s="1">
        <v>46014</v>
      </c>
      <c r="B2661">
        <v>93.5</v>
      </c>
      <c r="C2661">
        <v>25896200</v>
      </c>
      <c r="D2661">
        <v>0.107</v>
      </c>
      <c r="E2661">
        <v>42</v>
      </c>
      <c r="F2661">
        <v>2.4300000000000002</v>
      </c>
      <c r="G2661">
        <v>0.18</v>
      </c>
      <c r="H2661">
        <v>0</v>
      </c>
      <c r="J2661">
        <v>1</v>
      </c>
      <c r="K2661">
        <f>YEAR(NetflixData[[#This Row],[date]])</f>
        <v>2025</v>
      </c>
      <c r="L2661" t="str">
        <f>TEXT(NetflixData[[#This Row],[date]],"mmm")</f>
        <v>Dec</v>
      </c>
      <c r="M2661" t="str">
        <f>TEXT(NetflixData[[#This Row],[date]],"mmm yyyy")</f>
        <v>Dec 2025</v>
      </c>
      <c r="N2661" t="str">
        <f t="shared" si="123"/>
        <v>Trading Day</v>
      </c>
      <c r="O2661" t="str">
        <f t="shared" si="124"/>
        <v>Positive</v>
      </c>
      <c r="P2661" t="str">
        <f t="shared" si="125"/>
        <v>Positive</v>
      </c>
    </row>
    <row r="2662" spans="1:16" x14ac:dyDescent="0.3">
      <c r="A2662" s="1">
        <v>46015</v>
      </c>
      <c r="B2662">
        <v>93.64</v>
      </c>
      <c r="C2662">
        <v>12427900</v>
      </c>
      <c r="D2662">
        <v>0.56899999999999995</v>
      </c>
      <c r="E2662">
        <v>35</v>
      </c>
      <c r="F2662">
        <v>3.17</v>
      </c>
      <c r="G2662">
        <v>0.22700000000000001</v>
      </c>
      <c r="H2662">
        <v>0</v>
      </c>
      <c r="J2662">
        <v>1</v>
      </c>
      <c r="K2662">
        <f>YEAR(NetflixData[[#This Row],[date]])</f>
        <v>2025</v>
      </c>
      <c r="L2662" t="str">
        <f>TEXT(NetflixData[[#This Row],[date]],"mmm")</f>
        <v>Dec</v>
      </c>
      <c r="M2662" t="str">
        <f>TEXT(NetflixData[[#This Row],[date]],"mmm yyyy")</f>
        <v>Dec 2025</v>
      </c>
      <c r="N2662" t="str">
        <f t="shared" si="123"/>
        <v>Non-Trading Day</v>
      </c>
      <c r="O2662" t="str">
        <f t="shared" si="124"/>
        <v>Positive</v>
      </c>
      <c r="P2662" t="str">
        <f t="shared" si="125"/>
        <v>Positive</v>
      </c>
    </row>
    <row r="2663" spans="1:16" x14ac:dyDescent="0.3">
      <c r="A2663" s="1">
        <v>46016</v>
      </c>
      <c r="B2663">
        <v>93.64</v>
      </c>
      <c r="C2663">
        <v>0</v>
      </c>
      <c r="D2663">
        <v>0</v>
      </c>
      <c r="E2663">
        <v>48</v>
      </c>
      <c r="F2663">
        <v>3.06</v>
      </c>
      <c r="G2663">
        <v>0.10340000000000001</v>
      </c>
      <c r="H2663">
        <v>0</v>
      </c>
      <c r="J2663">
        <v>0</v>
      </c>
      <c r="K2663">
        <f>YEAR(NetflixData[[#This Row],[date]])</f>
        <v>2025</v>
      </c>
      <c r="L2663" t="str">
        <f>TEXT(NetflixData[[#This Row],[date]],"mmm")</f>
        <v>Dec</v>
      </c>
      <c r="M2663" t="str">
        <f>TEXT(NetflixData[[#This Row],[date]],"mmm yyyy")</f>
        <v>Dec 2025</v>
      </c>
      <c r="N2663" t="str">
        <f t="shared" si="123"/>
        <v>Trading Day</v>
      </c>
      <c r="O2663" t="str">
        <f t="shared" si="124"/>
        <v>No Change</v>
      </c>
      <c r="P2663" t="str">
        <f t="shared" si="125"/>
        <v>Positive</v>
      </c>
    </row>
    <row r="2664" spans="1:16" x14ac:dyDescent="0.3">
      <c r="A2664" s="1">
        <v>46017</v>
      </c>
      <c r="B2664">
        <v>94.47</v>
      </c>
      <c r="C2664">
        <v>22068300</v>
      </c>
      <c r="D2664">
        <v>1.0589999999999999</v>
      </c>
      <c r="E2664">
        <v>55</v>
      </c>
      <c r="F2664">
        <v>2.4</v>
      </c>
      <c r="G2664">
        <v>3.6200000000000003E-2</v>
      </c>
      <c r="H2664">
        <v>0</v>
      </c>
      <c r="J2664">
        <v>1</v>
      </c>
      <c r="K2664">
        <f>YEAR(NetflixData[[#This Row],[date]])</f>
        <v>2025</v>
      </c>
      <c r="L2664" t="str">
        <f>TEXT(NetflixData[[#This Row],[date]],"mmm")</f>
        <v>Dec</v>
      </c>
      <c r="M2664" t="str">
        <f>TEXT(NetflixData[[#This Row],[date]],"mmm yyyy")</f>
        <v>Dec 2025</v>
      </c>
      <c r="N2664" t="str">
        <f t="shared" si="123"/>
        <v>Non-Trading Day</v>
      </c>
      <c r="O2664" t="str">
        <f t="shared" si="124"/>
        <v>Positive</v>
      </c>
      <c r="P2664" t="str">
        <f t="shared" si="125"/>
        <v>Neutral</v>
      </c>
    </row>
    <row r="2665" spans="1:16" x14ac:dyDescent="0.3">
      <c r="A2665" s="1">
        <v>46018</v>
      </c>
      <c r="B2665">
        <v>94.47</v>
      </c>
      <c r="C2665">
        <v>0</v>
      </c>
      <c r="D2665">
        <v>0</v>
      </c>
      <c r="E2665">
        <v>60</v>
      </c>
      <c r="F2665">
        <v>3.22</v>
      </c>
      <c r="G2665">
        <v>0.19350000000000001</v>
      </c>
      <c r="H2665">
        <v>0</v>
      </c>
      <c r="J2665">
        <v>0</v>
      </c>
      <c r="K2665">
        <f>YEAR(NetflixData[[#This Row],[date]])</f>
        <v>2025</v>
      </c>
      <c r="L2665" t="str">
        <f>TEXT(NetflixData[[#This Row],[date]],"mmm")</f>
        <v>Dec</v>
      </c>
      <c r="M2665" t="str">
        <f>TEXT(NetflixData[[#This Row],[date]],"mmm yyyy")</f>
        <v>Dec 2025</v>
      </c>
      <c r="N2665" t="str">
        <f t="shared" si="123"/>
        <v>Non-Trading Day</v>
      </c>
      <c r="O2665" t="str">
        <f t="shared" si="124"/>
        <v>No Change</v>
      </c>
      <c r="P2665" t="str">
        <f t="shared" si="125"/>
        <v>Positive</v>
      </c>
    </row>
    <row r="2666" spans="1:16" x14ac:dyDescent="0.3">
      <c r="A2666" s="1">
        <v>46019</v>
      </c>
      <c r="B2666">
        <v>94.47</v>
      </c>
      <c r="C2666">
        <v>0</v>
      </c>
      <c r="D2666">
        <v>0</v>
      </c>
      <c r="E2666">
        <v>42</v>
      </c>
      <c r="F2666">
        <v>2.98</v>
      </c>
      <c r="G2666">
        <v>0.1996</v>
      </c>
      <c r="H2666">
        <v>0</v>
      </c>
      <c r="J2666">
        <v>0</v>
      </c>
      <c r="K2666">
        <f>YEAR(NetflixData[[#This Row],[date]])</f>
        <v>2025</v>
      </c>
      <c r="L2666" t="str">
        <f>TEXT(NetflixData[[#This Row],[date]],"mmm")</f>
        <v>Dec</v>
      </c>
      <c r="M2666" t="str">
        <f>TEXT(NetflixData[[#This Row],[date]],"mmm yyyy")</f>
        <v>Dec 2025</v>
      </c>
      <c r="N2666" t="str">
        <f t="shared" si="123"/>
        <v>Trading Day</v>
      </c>
      <c r="O2666" t="str">
        <f t="shared" si="124"/>
        <v>No Change</v>
      </c>
      <c r="P2666" t="str">
        <f t="shared" si="125"/>
        <v>Positive</v>
      </c>
    </row>
    <row r="2667" spans="1:16" x14ac:dyDescent="0.3">
      <c r="A2667" s="1">
        <v>46020</v>
      </c>
      <c r="B2667">
        <v>94.15</v>
      </c>
      <c r="C2667">
        <v>24493700</v>
      </c>
      <c r="D2667">
        <v>0.17</v>
      </c>
      <c r="E2667">
        <v>43</v>
      </c>
      <c r="F2667">
        <v>2.93</v>
      </c>
      <c r="G2667">
        <v>0.12590000000000001</v>
      </c>
      <c r="H2667">
        <v>0</v>
      </c>
      <c r="J2667">
        <v>1</v>
      </c>
      <c r="K2667">
        <f>YEAR(NetflixData[[#This Row],[date]])</f>
        <v>2025</v>
      </c>
      <c r="L2667" t="str">
        <f>TEXT(NetflixData[[#This Row],[date]],"mmm")</f>
        <v>Dec</v>
      </c>
      <c r="M2667" t="str">
        <f>TEXT(NetflixData[[#This Row],[date]],"mmm yyyy")</f>
        <v>Dec 2025</v>
      </c>
      <c r="N2667" t="str">
        <f t="shared" si="123"/>
        <v>Trading Day</v>
      </c>
      <c r="O2667" t="str">
        <f t="shared" si="124"/>
        <v>Positive</v>
      </c>
      <c r="P2667" t="str">
        <f t="shared" si="125"/>
        <v>Positive</v>
      </c>
    </row>
    <row r="2668" spans="1:16" x14ac:dyDescent="0.3">
      <c r="A2668" s="1">
        <v>46021</v>
      </c>
      <c r="B2668">
        <v>93.78</v>
      </c>
      <c r="C2668">
        <v>23422000</v>
      </c>
      <c r="D2668">
        <v>0.27800000000000002</v>
      </c>
      <c r="E2668">
        <v>53</v>
      </c>
      <c r="F2668">
        <v>2.6</v>
      </c>
      <c r="G2668">
        <v>0.1145</v>
      </c>
      <c r="H2668">
        <v>0</v>
      </c>
      <c r="J2668">
        <v>1</v>
      </c>
      <c r="K2668">
        <f>YEAR(NetflixData[[#This Row],[date]])</f>
        <v>2025</v>
      </c>
      <c r="L2668" t="str">
        <f>TEXT(NetflixData[[#This Row],[date]],"mmm")</f>
        <v>Dec</v>
      </c>
      <c r="M2668" t="str">
        <f>TEXT(NetflixData[[#This Row],[date]],"mmm yyyy")</f>
        <v>Dec 2025</v>
      </c>
      <c r="N2668" t="str">
        <f t="shared" si="123"/>
        <v>Trading Day</v>
      </c>
      <c r="O2668" t="str">
        <f t="shared" si="124"/>
        <v>Positive</v>
      </c>
      <c r="P2668" t="str">
        <f t="shared" si="125"/>
        <v>Positive</v>
      </c>
    </row>
    <row r="2669" spans="1:16" x14ac:dyDescent="0.3">
      <c r="A2669" s="1">
        <v>46022</v>
      </c>
      <c r="B2669">
        <v>93.76</v>
      </c>
      <c r="C2669">
        <v>23495200</v>
      </c>
      <c r="D2669">
        <v>0.17100000000000001</v>
      </c>
      <c r="E2669">
        <v>43</v>
      </c>
      <c r="F2669">
        <v>3.05</v>
      </c>
      <c r="G2669">
        <v>0.14430000000000001</v>
      </c>
      <c r="H2669">
        <v>0</v>
      </c>
      <c r="J2669">
        <v>1</v>
      </c>
      <c r="K2669">
        <f>YEAR(NetflixData[[#This Row],[date]])</f>
        <v>2025</v>
      </c>
      <c r="L2669" t="str">
        <f>TEXT(NetflixData[[#This Row],[date]],"mmm")</f>
        <v>Dec</v>
      </c>
      <c r="M2669" t="str">
        <f>TEXT(NetflixData[[#This Row],[date]],"mmm yyyy")</f>
        <v>Dec 2025</v>
      </c>
      <c r="N2669" t="str">
        <f t="shared" si="123"/>
        <v>Non-Trading Day</v>
      </c>
      <c r="O2669" t="str">
        <f t="shared" si="124"/>
        <v>Positive</v>
      </c>
      <c r="P2669" t="str">
        <f t="shared" si="125"/>
        <v>Positive</v>
      </c>
    </row>
    <row r="2670" spans="1:16" x14ac:dyDescent="0.3">
      <c r="A2670" s="1">
        <v>46023</v>
      </c>
      <c r="B2670">
        <v>93.76</v>
      </c>
      <c r="C2670">
        <v>0</v>
      </c>
      <c r="D2670">
        <v>0</v>
      </c>
      <c r="E2670">
        <v>46</v>
      </c>
      <c r="F2670">
        <v>3.02</v>
      </c>
      <c r="G2670">
        <v>0.16930000000000001</v>
      </c>
      <c r="H2670">
        <v>0</v>
      </c>
      <c r="J2670">
        <v>0</v>
      </c>
      <c r="K2670">
        <f>YEAR(NetflixData[[#This Row],[date]])</f>
        <v>2026</v>
      </c>
      <c r="L2670" t="str">
        <f>TEXT(NetflixData[[#This Row],[date]],"mmm")</f>
        <v>Jan</v>
      </c>
      <c r="M2670" t="str">
        <f>TEXT(NetflixData[[#This Row],[date]],"mmm yyyy")</f>
        <v>Jan 2026</v>
      </c>
      <c r="N2670" t="str">
        <f t="shared" si="123"/>
        <v>Trading Day</v>
      </c>
      <c r="O2670" t="str">
        <f t="shared" si="124"/>
        <v>No Change</v>
      </c>
      <c r="P2670" t="str">
        <f t="shared" si="125"/>
        <v>Positive</v>
      </c>
    </row>
    <row r="2671" spans="1:16" x14ac:dyDescent="0.3">
      <c r="A2671" s="1">
        <v>46024</v>
      </c>
      <c r="B2671">
        <v>90.99</v>
      </c>
      <c r="C2671">
        <v>41155400</v>
      </c>
      <c r="D2671">
        <v>-3.3359999999999999</v>
      </c>
      <c r="E2671">
        <v>47</v>
      </c>
      <c r="F2671">
        <v>3.45</v>
      </c>
      <c r="G2671">
        <v>0.23400000000000001</v>
      </c>
      <c r="H2671">
        <v>0</v>
      </c>
      <c r="J2671">
        <v>1</v>
      </c>
      <c r="K2671">
        <f>YEAR(NetflixData[[#This Row],[date]])</f>
        <v>2026</v>
      </c>
      <c r="L2671" t="str">
        <f>TEXT(NetflixData[[#This Row],[date]],"mmm")</f>
        <v>Jan</v>
      </c>
      <c r="M2671" t="str">
        <f>TEXT(NetflixData[[#This Row],[date]],"mmm yyyy")</f>
        <v>Jan 2026</v>
      </c>
      <c r="N2671" t="str">
        <f t="shared" si="123"/>
        <v>Non-Trading Day</v>
      </c>
      <c r="O2671" t="str">
        <f t="shared" si="124"/>
        <v>Negative</v>
      </c>
      <c r="P2671" t="str">
        <f t="shared" si="125"/>
        <v>Positive</v>
      </c>
    </row>
    <row r="2672" spans="1:16" x14ac:dyDescent="0.3">
      <c r="A2672" s="1">
        <v>46025</v>
      </c>
      <c r="B2672">
        <v>90.99</v>
      </c>
      <c r="C2672">
        <v>0</v>
      </c>
      <c r="D2672">
        <v>0</v>
      </c>
      <c r="E2672">
        <v>39</v>
      </c>
      <c r="F2672">
        <v>2.56</v>
      </c>
      <c r="G2672">
        <v>0.17449999999999999</v>
      </c>
      <c r="H2672">
        <v>0</v>
      </c>
      <c r="J2672">
        <v>0</v>
      </c>
      <c r="K2672">
        <f>YEAR(NetflixData[[#This Row],[date]])</f>
        <v>2026</v>
      </c>
      <c r="L2672" t="str">
        <f>TEXT(NetflixData[[#This Row],[date]],"mmm")</f>
        <v>Jan</v>
      </c>
      <c r="M2672" t="str">
        <f>TEXT(NetflixData[[#This Row],[date]],"mmm yyyy")</f>
        <v>Jan 2026</v>
      </c>
      <c r="N2672" t="str">
        <f t="shared" si="123"/>
        <v>Non-Trading Day</v>
      </c>
      <c r="O2672" t="str">
        <f t="shared" si="124"/>
        <v>No Change</v>
      </c>
      <c r="P2672" t="str">
        <f t="shared" si="125"/>
        <v>Positive</v>
      </c>
    </row>
    <row r="2673" spans="1:16" x14ac:dyDescent="0.3">
      <c r="A2673" s="1">
        <v>46026</v>
      </c>
      <c r="B2673">
        <v>90.99</v>
      </c>
      <c r="C2673">
        <v>0</v>
      </c>
      <c r="D2673">
        <v>0</v>
      </c>
      <c r="E2673">
        <v>62</v>
      </c>
      <c r="F2673">
        <v>2.95</v>
      </c>
      <c r="G2673">
        <v>0.22459999999999999</v>
      </c>
      <c r="H2673">
        <v>0</v>
      </c>
      <c r="J2673">
        <v>0</v>
      </c>
      <c r="K2673">
        <f>YEAR(NetflixData[[#This Row],[date]])</f>
        <v>2026</v>
      </c>
      <c r="L2673" t="str">
        <f>TEXT(NetflixData[[#This Row],[date]],"mmm")</f>
        <v>Jan</v>
      </c>
      <c r="M2673" t="str">
        <f>TEXT(NetflixData[[#This Row],[date]],"mmm yyyy")</f>
        <v>Jan 2026</v>
      </c>
      <c r="N2673" t="str">
        <f t="shared" si="123"/>
        <v>Trading Day</v>
      </c>
      <c r="O2673" t="str">
        <f t="shared" si="124"/>
        <v>No Change</v>
      </c>
      <c r="P2673" t="str">
        <f t="shared" si="125"/>
        <v>Positive</v>
      </c>
    </row>
    <row r="2674" spans="1:16" x14ac:dyDescent="0.3">
      <c r="A2674" s="1">
        <v>46027</v>
      </c>
      <c r="B2674">
        <v>91.46</v>
      </c>
      <c r="C2674">
        <v>39183300</v>
      </c>
      <c r="D2674">
        <v>0.59399999999999997</v>
      </c>
      <c r="E2674">
        <v>41</v>
      </c>
      <c r="F2674">
        <v>2.9</v>
      </c>
      <c r="G2674">
        <v>0.2175</v>
      </c>
      <c r="H2674">
        <v>0</v>
      </c>
      <c r="J2674">
        <v>1</v>
      </c>
      <c r="K2674">
        <f>YEAR(NetflixData[[#This Row],[date]])</f>
        <v>2026</v>
      </c>
      <c r="L2674" t="str">
        <f>TEXT(NetflixData[[#This Row],[date]],"mmm")</f>
        <v>Jan</v>
      </c>
      <c r="M2674" t="str">
        <f>TEXT(NetflixData[[#This Row],[date]],"mmm yyyy")</f>
        <v>Jan 2026</v>
      </c>
      <c r="N2674" t="str">
        <f t="shared" si="123"/>
        <v>Trading Day</v>
      </c>
      <c r="O2674" t="str">
        <f t="shared" si="124"/>
        <v>Positive</v>
      </c>
      <c r="P2674" t="str">
        <f t="shared" si="125"/>
        <v>Positive</v>
      </c>
    </row>
    <row r="2675" spans="1:16" x14ac:dyDescent="0.3">
      <c r="A2675" s="1">
        <v>46028</v>
      </c>
      <c r="B2675">
        <v>90.65</v>
      </c>
      <c r="C2675">
        <v>43331000</v>
      </c>
      <c r="D2675">
        <v>-0.97199999999999998</v>
      </c>
      <c r="E2675">
        <v>55</v>
      </c>
      <c r="F2675">
        <v>3.27</v>
      </c>
      <c r="G2675">
        <v>7.0699999999999999E-2</v>
      </c>
      <c r="H2675">
        <v>0</v>
      </c>
      <c r="J2675">
        <v>1</v>
      </c>
      <c r="K2675">
        <f>YEAR(NetflixData[[#This Row],[date]])</f>
        <v>2026</v>
      </c>
      <c r="L2675" t="str">
        <f>TEXT(NetflixData[[#This Row],[date]],"mmm")</f>
        <v>Jan</v>
      </c>
      <c r="M2675" t="str">
        <f>TEXT(NetflixData[[#This Row],[date]],"mmm yyyy")</f>
        <v>Jan 2026</v>
      </c>
      <c r="N2675" t="str">
        <f t="shared" si="123"/>
        <v>Trading Day</v>
      </c>
      <c r="O2675" t="str">
        <f t="shared" si="124"/>
        <v>Negative</v>
      </c>
      <c r="P2675" t="str">
        <f t="shared" si="125"/>
        <v>Neutral</v>
      </c>
    </row>
    <row r="2676" spans="1:16" x14ac:dyDescent="0.3">
      <c r="A2676" s="1">
        <v>46029</v>
      </c>
      <c r="B2676">
        <v>90.73</v>
      </c>
      <c r="C2676">
        <v>36525700</v>
      </c>
      <c r="D2676">
        <v>-0.90700000000000003</v>
      </c>
      <c r="E2676">
        <v>31</v>
      </c>
      <c r="F2676">
        <v>3</v>
      </c>
      <c r="G2676">
        <v>0.1273</v>
      </c>
      <c r="H2676">
        <v>0</v>
      </c>
      <c r="J2676">
        <v>1</v>
      </c>
      <c r="K2676">
        <f>YEAR(NetflixData[[#This Row],[date]])</f>
        <v>2026</v>
      </c>
      <c r="L2676" t="str">
        <f>TEXT(NetflixData[[#This Row],[date]],"mmm")</f>
        <v>Jan</v>
      </c>
      <c r="M2676" t="str">
        <f>TEXT(NetflixData[[#This Row],[date]],"mmm yyyy")</f>
        <v>Jan 2026</v>
      </c>
      <c r="N2676" t="str">
        <f t="shared" si="123"/>
        <v>Trading Day</v>
      </c>
      <c r="O2676" t="str">
        <f t="shared" si="124"/>
        <v>Negative</v>
      </c>
      <c r="P2676" t="str">
        <f t="shared" si="125"/>
        <v>Positive</v>
      </c>
    </row>
    <row r="2677" spans="1:16" x14ac:dyDescent="0.3">
      <c r="A2677" s="1">
        <v>46030</v>
      </c>
      <c r="B2677">
        <v>90.53</v>
      </c>
      <c r="C2677">
        <v>40068700</v>
      </c>
      <c r="D2677">
        <v>8.7999999999999995E-2</v>
      </c>
      <c r="E2677">
        <v>54</v>
      </c>
      <c r="F2677">
        <v>3.31</v>
      </c>
      <c r="G2677">
        <v>0.2079</v>
      </c>
      <c r="H2677">
        <v>0</v>
      </c>
      <c r="J2677">
        <v>1</v>
      </c>
      <c r="K2677">
        <f>YEAR(NetflixData[[#This Row],[date]])</f>
        <v>2026</v>
      </c>
      <c r="L2677" t="str">
        <f>TEXT(NetflixData[[#This Row],[date]],"mmm")</f>
        <v>Jan</v>
      </c>
      <c r="M2677" t="str">
        <f>TEXT(NetflixData[[#This Row],[date]],"mmm yyyy")</f>
        <v>Jan 2026</v>
      </c>
      <c r="N2677" t="str">
        <f t="shared" si="123"/>
        <v>Trading Day</v>
      </c>
      <c r="O2677" t="str">
        <f t="shared" si="124"/>
        <v>Positive</v>
      </c>
      <c r="P2677" t="str">
        <f t="shared" si="125"/>
        <v>Positive</v>
      </c>
    </row>
    <row r="2678" spans="1:16" x14ac:dyDescent="0.3">
      <c r="A2678" s="1">
        <v>46031</v>
      </c>
      <c r="B2678">
        <v>89.46</v>
      </c>
      <c r="C2678">
        <v>55579500</v>
      </c>
      <c r="D2678">
        <v>-0.63300000000000001</v>
      </c>
      <c r="E2678">
        <v>52</v>
      </c>
      <c r="F2678">
        <v>3</v>
      </c>
      <c r="G2678">
        <v>0.13739999999999999</v>
      </c>
      <c r="H2678">
        <v>0</v>
      </c>
      <c r="J2678">
        <v>1</v>
      </c>
      <c r="K2678">
        <f>YEAR(NetflixData[[#This Row],[date]])</f>
        <v>2026</v>
      </c>
      <c r="L2678" t="str">
        <f>TEXT(NetflixData[[#This Row],[date]],"mmm")</f>
        <v>Jan</v>
      </c>
      <c r="M2678" t="str">
        <f>TEXT(NetflixData[[#This Row],[date]],"mmm yyyy")</f>
        <v>Jan 2026</v>
      </c>
      <c r="N2678" t="str">
        <f t="shared" si="123"/>
        <v>Non-Trading Day</v>
      </c>
      <c r="O2678" t="str">
        <f t="shared" si="124"/>
        <v>Negative</v>
      </c>
      <c r="P2678" t="str">
        <f t="shared" si="125"/>
        <v>Positive</v>
      </c>
    </row>
    <row r="2679" spans="1:16" x14ac:dyDescent="0.3">
      <c r="A2679" s="1">
        <v>46032</v>
      </c>
      <c r="B2679">
        <v>89.46</v>
      </c>
      <c r="C2679">
        <v>0</v>
      </c>
      <c r="D2679">
        <v>0</v>
      </c>
      <c r="E2679">
        <v>52</v>
      </c>
      <c r="F2679">
        <v>3.25</v>
      </c>
      <c r="G2679">
        <v>0.2104</v>
      </c>
      <c r="H2679">
        <v>0</v>
      </c>
      <c r="J2679">
        <v>0</v>
      </c>
      <c r="K2679">
        <f>YEAR(NetflixData[[#This Row],[date]])</f>
        <v>2026</v>
      </c>
      <c r="L2679" t="str">
        <f>TEXT(NetflixData[[#This Row],[date]],"mmm")</f>
        <v>Jan</v>
      </c>
      <c r="M2679" t="str">
        <f>TEXT(NetflixData[[#This Row],[date]],"mmm yyyy")</f>
        <v>Jan 2026</v>
      </c>
      <c r="N2679" t="str">
        <f t="shared" si="123"/>
        <v>Non-Trading Day</v>
      </c>
      <c r="O2679" t="str">
        <f t="shared" si="124"/>
        <v>No Change</v>
      </c>
      <c r="P2679" t="str">
        <f t="shared" si="125"/>
        <v>Positive</v>
      </c>
    </row>
    <row r="2680" spans="1:16" x14ac:dyDescent="0.3">
      <c r="A2680" s="1">
        <v>46033</v>
      </c>
      <c r="B2680">
        <v>89.46</v>
      </c>
      <c r="C2680">
        <v>0</v>
      </c>
      <c r="D2680">
        <v>0</v>
      </c>
      <c r="E2680">
        <v>49</v>
      </c>
      <c r="F2680">
        <v>3</v>
      </c>
      <c r="G2680">
        <v>0.2223</v>
      </c>
      <c r="H2680">
        <v>0</v>
      </c>
      <c r="J2680">
        <v>0</v>
      </c>
      <c r="K2680">
        <f>YEAR(NetflixData[[#This Row],[date]])</f>
        <v>2026</v>
      </c>
      <c r="L2680" t="str">
        <f>TEXT(NetflixData[[#This Row],[date]],"mmm")</f>
        <v>Jan</v>
      </c>
      <c r="M2680" t="str">
        <f>TEXT(NetflixData[[#This Row],[date]],"mmm yyyy")</f>
        <v>Jan 2026</v>
      </c>
      <c r="N2680" t="str">
        <f t="shared" si="123"/>
        <v>Trading Day</v>
      </c>
      <c r="O2680" t="str">
        <f t="shared" si="124"/>
        <v>No Change</v>
      </c>
      <c r="P2680" t="str">
        <f t="shared" si="125"/>
        <v>Positive</v>
      </c>
    </row>
    <row r="2681" spans="1:16" x14ac:dyDescent="0.3">
      <c r="A2681" s="1">
        <v>46034</v>
      </c>
      <c r="B2681">
        <v>89.41</v>
      </c>
      <c r="C2681">
        <v>36290600</v>
      </c>
      <c r="D2681">
        <v>-0.312</v>
      </c>
      <c r="E2681">
        <v>40</v>
      </c>
      <c r="F2681">
        <v>3.5</v>
      </c>
      <c r="G2681">
        <v>0.22109999999999999</v>
      </c>
      <c r="H2681">
        <v>0</v>
      </c>
      <c r="J2681">
        <v>1</v>
      </c>
      <c r="K2681">
        <f>YEAR(NetflixData[[#This Row],[date]])</f>
        <v>2026</v>
      </c>
      <c r="L2681" t="str">
        <f>TEXT(NetflixData[[#This Row],[date]],"mmm")</f>
        <v>Jan</v>
      </c>
      <c r="M2681" t="str">
        <f>TEXT(NetflixData[[#This Row],[date]],"mmm yyyy")</f>
        <v>Jan 2026</v>
      </c>
      <c r="N2681" t="str">
        <f t="shared" si="123"/>
        <v>Trading Day</v>
      </c>
      <c r="O2681" t="str">
        <f t="shared" si="124"/>
        <v>Negative</v>
      </c>
      <c r="P2681" t="str">
        <f t="shared" si="125"/>
        <v>Positive</v>
      </c>
    </row>
    <row r="2682" spans="1:16" x14ac:dyDescent="0.3">
      <c r="A2682" s="1">
        <v>46035</v>
      </c>
      <c r="B2682">
        <v>90.32</v>
      </c>
      <c r="C2682">
        <v>45221100</v>
      </c>
      <c r="D2682">
        <v>0.98399999999999999</v>
      </c>
      <c r="E2682">
        <v>46</v>
      </c>
      <c r="F2682">
        <v>3.35</v>
      </c>
      <c r="G2682">
        <v>0.24640000000000001</v>
      </c>
      <c r="H2682">
        <v>0</v>
      </c>
      <c r="J2682">
        <v>1</v>
      </c>
      <c r="K2682">
        <f>YEAR(NetflixData[[#This Row],[date]])</f>
        <v>2026</v>
      </c>
      <c r="L2682" t="str">
        <f>TEXT(NetflixData[[#This Row],[date]],"mmm")</f>
        <v>Jan</v>
      </c>
      <c r="M2682" t="str">
        <f>TEXT(NetflixData[[#This Row],[date]],"mmm yyyy")</f>
        <v>Jan 2026</v>
      </c>
      <c r="N2682" t="str">
        <f t="shared" si="123"/>
        <v>Trading Day</v>
      </c>
      <c r="O2682" t="str">
        <f t="shared" si="124"/>
        <v>Positive</v>
      </c>
      <c r="P2682" t="str">
        <f t="shared" si="125"/>
        <v>Positive</v>
      </c>
    </row>
    <row r="2683" spans="1:16" x14ac:dyDescent="0.3">
      <c r="A2683" s="1">
        <v>46036</v>
      </c>
      <c r="B2683">
        <v>88.55</v>
      </c>
      <c r="C2683">
        <v>49737700</v>
      </c>
      <c r="D2683">
        <v>-2.948</v>
      </c>
      <c r="E2683">
        <v>35</v>
      </c>
      <c r="F2683">
        <v>3.03</v>
      </c>
      <c r="G2683">
        <v>0.1283</v>
      </c>
      <c r="H2683">
        <v>0</v>
      </c>
      <c r="J2683">
        <v>1</v>
      </c>
      <c r="K2683">
        <f>YEAR(NetflixData[[#This Row],[date]])</f>
        <v>2026</v>
      </c>
      <c r="L2683" t="str">
        <f>TEXT(NetflixData[[#This Row],[date]],"mmm")</f>
        <v>Jan</v>
      </c>
      <c r="M2683" t="str">
        <f>TEXT(NetflixData[[#This Row],[date]],"mmm yyyy")</f>
        <v>Jan 2026</v>
      </c>
      <c r="N2683" t="str">
        <f t="shared" si="123"/>
        <v>Trading Day</v>
      </c>
      <c r="O2683" t="str">
        <f t="shared" si="124"/>
        <v>Negative</v>
      </c>
      <c r="P2683" t="str">
        <f t="shared" si="125"/>
        <v>Positive</v>
      </c>
    </row>
    <row r="2684" spans="1:16" x14ac:dyDescent="0.3">
      <c r="A2684" s="1">
        <v>46037</v>
      </c>
      <c r="B2684">
        <v>88.05</v>
      </c>
      <c r="C2684">
        <v>36945100</v>
      </c>
      <c r="D2684">
        <v>-1.0900000000000001</v>
      </c>
      <c r="E2684">
        <v>31</v>
      </c>
      <c r="F2684">
        <v>3.45</v>
      </c>
      <c r="G2684">
        <v>0.2576</v>
      </c>
      <c r="H2684">
        <v>0</v>
      </c>
      <c r="J2684">
        <v>1</v>
      </c>
      <c r="K2684">
        <f>YEAR(NetflixData[[#This Row],[date]])</f>
        <v>2026</v>
      </c>
      <c r="L2684" t="str">
        <f>TEXT(NetflixData[[#This Row],[date]],"mmm")</f>
        <v>Jan</v>
      </c>
      <c r="M2684" t="str">
        <f>TEXT(NetflixData[[#This Row],[date]],"mmm yyyy")</f>
        <v>Jan 2026</v>
      </c>
      <c r="N2684" t="str">
        <f t="shared" si="123"/>
        <v>Trading Day</v>
      </c>
      <c r="O2684" t="str">
        <f t="shared" si="124"/>
        <v>Negative</v>
      </c>
      <c r="P2684" t="str">
        <f t="shared" si="125"/>
        <v>Positive</v>
      </c>
    </row>
    <row r="2685" spans="1:16" x14ac:dyDescent="0.3">
      <c r="A2685" s="1">
        <v>46038</v>
      </c>
      <c r="B2685">
        <v>88</v>
      </c>
      <c r="C2685">
        <v>48130500</v>
      </c>
      <c r="D2685">
        <v>-0.38500000000000001</v>
      </c>
      <c r="E2685">
        <v>34</v>
      </c>
      <c r="F2685">
        <v>3.15</v>
      </c>
      <c r="G2685">
        <v>0.15340000000000001</v>
      </c>
      <c r="H2685">
        <v>0</v>
      </c>
      <c r="J2685">
        <v>1</v>
      </c>
      <c r="K2685">
        <f>YEAR(NetflixData[[#This Row],[date]])</f>
        <v>2026</v>
      </c>
      <c r="L2685" t="str">
        <f>TEXT(NetflixData[[#This Row],[date]],"mmm")</f>
        <v>Jan</v>
      </c>
      <c r="M2685" t="str">
        <f>TEXT(NetflixData[[#This Row],[date]],"mmm yyyy")</f>
        <v>Jan 2026</v>
      </c>
      <c r="N2685" t="str">
        <f t="shared" si="123"/>
        <v>Non-Trading Day</v>
      </c>
      <c r="O2685" t="str">
        <f t="shared" si="124"/>
        <v>Negative</v>
      </c>
      <c r="P2685" t="str">
        <f t="shared" si="125"/>
        <v>Positive</v>
      </c>
    </row>
    <row r="2686" spans="1:16" x14ac:dyDescent="0.3">
      <c r="A2686" s="1">
        <v>46039</v>
      </c>
      <c r="B2686">
        <v>88</v>
      </c>
      <c r="C2686">
        <v>0</v>
      </c>
      <c r="D2686">
        <v>0</v>
      </c>
      <c r="E2686">
        <v>39</v>
      </c>
      <c r="F2686">
        <v>2.97</v>
      </c>
      <c r="G2686">
        <v>0.31109999999999999</v>
      </c>
      <c r="H2686">
        <v>0</v>
      </c>
      <c r="J2686">
        <v>0</v>
      </c>
      <c r="K2686">
        <f>YEAR(NetflixData[[#This Row],[date]])</f>
        <v>2026</v>
      </c>
      <c r="L2686" t="str">
        <f>TEXT(NetflixData[[#This Row],[date]],"mmm")</f>
        <v>Jan</v>
      </c>
      <c r="M2686" t="str">
        <f>TEXT(NetflixData[[#This Row],[date]],"mmm yyyy")</f>
        <v>Jan 2026</v>
      </c>
      <c r="N2686" t="str">
        <f t="shared" si="123"/>
        <v>Non-Trading Day</v>
      </c>
      <c r="O2686" t="str">
        <f t="shared" si="124"/>
        <v>No Change</v>
      </c>
      <c r="P2686" t="str">
        <f t="shared" si="125"/>
        <v>Positive</v>
      </c>
    </row>
    <row r="2687" spans="1:16" x14ac:dyDescent="0.3">
      <c r="A2687" s="1">
        <v>46040</v>
      </c>
      <c r="B2687">
        <v>88</v>
      </c>
      <c r="C2687">
        <v>0</v>
      </c>
      <c r="D2687">
        <v>0</v>
      </c>
      <c r="E2687">
        <v>50</v>
      </c>
      <c r="F2687">
        <v>3.48</v>
      </c>
      <c r="G2687">
        <v>0.2878</v>
      </c>
      <c r="H2687">
        <v>0</v>
      </c>
      <c r="J2687">
        <v>0</v>
      </c>
      <c r="K2687">
        <f>YEAR(NetflixData[[#This Row],[date]])</f>
        <v>2026</v>
      </c>
      <c r="L2687" t="str">
        <f>TEXT(NetflixData[[#This Row],[date]],"mmm")</f>
        <v>Jan</v>
      </c>
      <c r="M2687" t="str">
        <f>TEXT(NetflixData[[#This Row],[date]],"mmm yyyy")</f>
        <v>Jan 2026</v>
      </c>
      <c r="N2687" t="str">
        <f t="shared" si="123"/>
        <v>Non-Trading Day</v>
      </c>
      <c r="O2687" t="str">
        <f t="shared" si="124"/>
        <v>No Change</v>
      </c>
      <c r="P2687" t="str">
        <f t="shared" si="125"/>
        <v>Positive</v>
      </c>
    </row>
    <row r="2688" spans="1:16" x14ac:dyDescent="0.3">
      <c r="A2688" s="1">
        <v>46041</v>
      </c>
      <c r="B2688">
        <v>88</v>
      </c>
      <c r="C2688">
        <v>0</v>
      </c>
      <c r="D2688">
        <v>0</v>
      </c>
      <c r="E2688">
        <v>39</v>
      </c>
      <c r="F2688">
        <v>2.9</v>
      </c>
      <c r="G2688">
        <v>0.21340000000000001</v>
      </c>
      <c r="H2688">
        <v>0</v>
      </c>
      <c r="J2688">
        <v>0</v>
      </c>
      <c r="K2688">
        <f>YEAR(NetflixData[[#This Row],[date]])</f>
        <v>2026</v>
      </c>
      <c r="L2688" t="str">
        <f>TEXT(NetflixData[[#This Row],[date]],"mmm")</f>
        <v>Jan</v>
      </c>
      <c r="M2688" t="str">
        <f>TEXT(NetflixData[[#This Row],[date]],"mmm yyyy")</f>
        <v>Jan 2026</v>
      </c>
      <c r="N2688" t="str">
        <f t="shared" si="123"/>
        <v>Trading Day</v>
      </c>
      <c r="O2688" t="str">
        <f t="shared" si="124"/>
        <v>No Change</v>
      </c>
      <c r="P2688" t="str">
        <f t="shared" si="125"/>
        <v>Positive</v>
      </c>
    </row>
    <row r="2689" spans="1:16" x14ac:dyDescent="0.3">
      <c r="A2689" s="1">
        <v>46042</v>
      </c>
      <c r="B2689">
        <v>87.26</v>
      </c>
      <c r="C2689">
        <v>109729700</v>
      </c>
      <c r="D2689">
        <v>-1.9219999999999999</v>
      </c>
      <c r="E2689">
        <v>37</v>
      </c>
      <c r="F2689">
        <v>2.62</v>
      </c>
      <c r="G2689">
        <v>0.15490000000000001</v>
      </c>
      <c r="H2689">
        <v>0</v>
      </c>
      <c r="J2689">
        <v>1</v>
      </c>
      <c r="K2689">
        <f>YEAR(NetflixData[[#This Row],[date]])</f>
        <v>2026</v>
      </c>
      <c r="L2689" t="str">
        <f>TEXT(NetflixData[[#This Row],[date]],"mmm")</f>
        <v>Jan</v>
      </c>
      <c r="M2689" t="str">
        <f>TEXT(NetflixData[[#This Row],[date]],"mmm yyyy")</f>
        <v>Jan 2026</v>
      </c>
      <c r="N2689" t="str">
        <f t="shared" si="123"/>
        <v>Trading Day</v>
      </c>
      <c r="O2689" t="str">
        <f t="shared" si="124"/>
        <v>Negative</v>
      </c>
      <c r="P2689" t="str">
        <f t="shared" si="125"/>
        <v>Positive</v>
      </c>
    </row>
    <row r="2690" spans="1:16" x14ac:dyDescent="0.3">
      <c r="A2690" s="1">
        <v>46043</v>
      </c>
      <c r="B2690">
        <v>85.36</v>
      </c>
      <c r="C2690">
        <v>127940700</v>
      </c>
      <c r="D2690">
        <v>3.4420000000000002</v>
      </c>
      <c r="E2690">
        <v>40</v>
      </c>
      <c r="F2690">
        <v>2.98</v>
      </c>
      <c r="G2690">
        <v>0.17829999999999999</v>
      </c>
      <c r="H2690">
        <v>0</v>
      </c>
      <c r="J2690">
        <v>1</v>
      </c>
      <c r="K2690">
        <f>YEAR(NetflixData[[#This Row],[date]])</f>
        <v>2026</v>
      </c>
      <c r="L2690" t="str">
        <f>TEXT(NetflixData[[#This Row],[date]],"mmm")</f>
        <v>Jan</v>
      </c>
      <c r="M2690" t="str">
        <f>TEXT(NetflixData[[#This Row],[date]],"mmm yyyy")</f>
        <v>Jan 2026</v>
      </c>
      <c r="N2690" t="str">
        <f t="shared" ref="N2690:N2753" si="126">IF(J2691=1,"Trading Day","Non-Trading Day")</f>
        <v>Trading Day</v>
      </c>
      <c r="O2690" t="str">
        <f t="shared" ref="O2690:O2753" si="127">IF(D2690&gt;0,"Positive",IF(D2690&lt;0,"Negative","No Change"))</f>
        <v>Positive</v>
      </c>
      <c r="P2690" t="str">
        <f t="shared" ref="P2690:P2753" si="128">IF(G2690&gt;0.1,"Positive",IF(G2690&lt;-0.1,"Negative","Neutral"))</f>
        <v>Positive</v>
      </c>
    </row>
    <row r="2691" spans="1:16" x14ac:dyDescent="0.3">
      <c r="A2691" s="1">
        <v>46044</v>
      </c>
      <c r="B2691">
        <v>83.54</v>
      </c>
      <c r="C2691">
        <v>69113300</v>
      </c>
      <c r="D2691">
        <v>-1.7410000000000001</v>
      </c>
      <c r="E2691">
        <v>31</v>
      </c>
      <c r="F2691">
        <v>3.32</v>
      </c>
      <c r="G2691">
        <v>0.20569999999999999</v>
      </c>
      <c r="H2691">
        <v>0</v>
      </c>
      <c r="J2691">
        <v>1</v>
      </c>
      <c r="K2691">
        <f>YEAR(NetflixData[[#This Row],[date]])</f>
        <v>2026</v>
      </c>
      <c r="L2691" t="str">
        <f>TEXT(NetflixData[[#This Row],[date]],"mmm")</f>
        <v>Jan</v>
      </c>
      <c r="M2691" t="str">
        <f>TEXT(NetflixData[[#This Row],[date]],"mmm yyyy")</f>
        <v>Jan 2026</v>
      </c>
      <c r="N2691" t="str">
        <f t="shared" si="126"/>
        <v>Trading Day</v>
      </c>
      <c r="O2691" t="str">
        <f t="shared" si="127"/>
        <v>Negative</v>
      </c>
      <c r="P2691" t="str">
        <f t="shared" si="128"/>
        <v>Positive</v>
      </c>
    </row>
    <row r="2692" spans="1:16" x14ac:dyDescent="0.3">
      <c r="A2692" s="1">
        <v>46045</v>
      </c>
      <c r="B2692">
        <v>86.12</v>
      </c>
      <c r="C2692">
        <v>64520400</v>
      </c>
      <c r="D2692">
        <v>3.2240000000000002</v>
      </c>
      <c r="E2692">
        <v>37</v>
      </c>
      <c r="F2692">
        <v>3.14</v>
      </c>
      <c r="G2692">
        <v>0.20830000000000001</v>
      </c>
      <c r="H2692">
        <v>0</v>
      </c>
      <c r="J2692">
        <v>1</v>
      </c>
      <c r="K2692">
        <f>YEAR(NetflixData[[#This Row],[date]])</f>
        <v>2026</v>
      </c>
      <c r="L2692" t="str">
        <f>TEXT(NetflixData[[#This Row],[date]],"mmm")</f>
        <v>Jan</v>
      </c>
      <c r="M2692" t="str">
        <f>TEXT(NetflixData[[#This Row],[date]],"mmm yyyy")</f>
        <v>Jan 2026</v>
      </c>
      <c r="N2692" t="str">
        <f t="shared" si="126"/>
        <v>Non-Trading Day</v>
      </c>
      <c r="O2692" t="str">
        <f t="shared" si="127"/>
        <v>Positive</v>
      </c>
      <c r="P2692" t="str">
        <f t="shared" si="128"/>
        <v>Positive</v>
      </c>
    </row>
    <row r="2693" spans="1:16" x14ac:dyDescent="0.3">
      <c r="A2693" s="1">
        <v>46046</v>
      </c>
      <c r="B2693">
        <v>86.12</v>
      </c>
      <c r="C2693">
        <v>0</v>
      </c>
      <c r="D2693">
        <v>0</v>
      </c>
      <c r="E2693">
        <v>35</v>
      </c>
      <c r="F2693">
        <v>3.11</v>
      </c>
      <c r="G2693">
        <v>0.26989999999999997</v>
      </c>
      <c r="H2693">
        <v>0</v>
      </c>
      <c r="J2693">
        <v>0</v>
      </c>
      <c r="K2693">
        <f>YEAR(NetflixData[[#This Row],[date]])</f>
        <v>2026</v>
      </c>
      <c r="L2693" t="str">
        <f>TEXT(NetflixData[[#This Row],[date]],"mmm")</f>
        <v>Jan</v>
      </c>
      <c r="M2693" t="str">
        <f>TEXT(NetflixData[[#This Row],[date]],"mmm yyyy")</f>
        <v>Jan 2026</v>
      </c>
      <c r="N2693" t="str">
        <f t="shared" si="126"/>
        <v>Non-Trading Day</v>
      </c>
      <c r="O2693" t="str">
        <f t="shared" si="127"/>
        <v>No Change</v>
      </c>
      <c r="P2693" t="str">
        <f t="shared" si="128"/>
        <v>Positive</v>
      </c>
    </row>
    <row r="2694" spans="1:16" x14ac:dyDescent="0.3">
      <c r="A2694" s="1">
        <v>46047</v>
      </c>
      <c r="B2694">
        <v>86.12</v>
      </c>
      <c r="C2694">
        <v>0</v>
      </c>
      <c r="D2694">
        <v>0</v>
      </c>
      <c r="E2694">
        <v>47</v>
      </c>
      <c r="F2694">
        <v>3.6</v>
      </c>
      <c r="G2694">
        <v>0.2296</v>
      </c>
      <c r="H2694">
        <v>0</v>
      </c>
      <c r="J2694">
        <v>0</v>
      </c>
      <c r="K2694">
        <f>YEAR(NetflixData[[#This Row],[date]])</f>
        <v>2026</v>
      </c>
      <c r="L2694" t="str">
        <f>TEXT(NetflixData[[#This Row],[date]],"mmm")</f>
        <v>Jan</v>
      </c>
      <c r="M2694" t="str">
        <f>TEXT(NetflixData[[#This Row],[date]],"mmm yyyy")</f>
        <v>Jan 2026</v>
      </c>
      <c r="N2694" t="str">
        <f t="shared" si="126"/>
        <v>Trading Day</v>
      </c>
      <c r="O2694" t="str">
        <f t="shared" si="127"/>
        <v>No Change</v>
      </c>
      <c r="P2694" t="str">
        <f t="shared" si="128"/>
        <v>Positive</v>
      </c>
    </row>
    <row r="2695" spans="1:16" x14ac:dyDescent="0.3">
      <c r="A2695" s="1">
        <v>46048</v>
      </c>
      <c r="B2695">
        <v>85.7</v>
      </c>
      <c r="C2695">
        <v>40941900</v>
      </c>
      <c r="D2695">
        <v>-1.4039999999999999</v>
      </c>
      <c r="E2695">
        <v>40</v>
      </c>
      <c r="F2695">
        <v>3.15</v>
      </c>
      <c r="G2695">
        <v>0.23430000000000001</v>
      </c>
      <c r="H2695">
        <v>0</v>
      </c>
      <c r="J2695">
        <v>1</v>
      </c>
      <c r="K2695">
        <f>YEAR(NetflixData[[#This Row],[date]])</f>
        <v>2026</v>
      </c>
      <c r="L2695" t="str">
        <f>TEXT(NetflixData[[#This Row],[date]],"mmm")</f>
        <v>Jan</v>
      </c>
      <c r="M2695" t="str">
        <f>TEXT(NetflixData[[#This Row],[date]],"mmm yyyy")</f>
        <v>Jan 2026</v>
      </c>
      <c r="N2695" t="str">
        <f t="shared" si="126"/>
        <v>Trading Day</v>
      </c>
      <c r="O2695" t="str">
        <f t="shared" si="127"/>
        <v>Negative</v>
      </c>
      <c r="P2695" t="str">
        <f t="shared" si="128"/>
        <v>Positive</v>
      </c>
    </row>
    <row r="2696" spans="1:16" x14ac:dyDescent="0.3">
      <c r="A2696" s="1">
        <v>46049</v>
      </c>
      <c r="B2696">
        <v>85.58</v>
      </c>
      <c r="C2696">
        <v>37790800</v>
      </c>
      <c r="D2696">
        <v>0.35199999999999998</v>
      </c>
      <c r="E2696">
        <v>40</v>
      </c>
      <c r="F2696">
        <v>3.4</v>
      </c>
      <c r="G2696">
        <v>0.21859999999999999</v>
      </c>
      <c r="H2696">
        <v>0</v>
      </c>
      <c r="J2696">
        <v>1</v>
      </c>
      <c r="K2696">
        <f>YEAR(NetflixData[[#This Row],[date]])</f>
        <v>2026</v>
      </c>
      <c r="L2696" t="str">
        <f>TEXT(NetflixData[[#This Row],[date]],"mmm")</f>
        <v>Jan</v>
      </c>
      <c r="M2696" t="str">
        <f>TEXT(NetflixData[[#This Row],[date]],"mmm yyyy")</f>
        <v>Jan 2026</v>
      </c>
      <c r="N2696" t="str">
        <f t="shared" si="126"/>
        <v>Trading Day</v>
      </c>
      <c r="O2696" t="str">
        <f t="shared" si="127"/>
        <v>Positive</v>
      </c>
      <c r="P2696" t="str">
        <f t="shared" si="128"/>
        <v>Positive</v>
      </c>
    </row>
    <row r="2697" spans="1:16" x14ac:dyDescent="0.3">
      <c r="A2697" s="1">
        <v>46050</v>
      </c>
      <c r="B2697">
        <v>84.64</v>
      </c>
      <c r="C2697">
        <v>37762600</v>
      </c>
      <c r="D2697">
        <v>-1.1559999999999999</v>
      </c>
      <c r="E2697">
        <v>56</v>
      </c>
      <c r="F2697">
        <v>3.29</v>
      </c>
      <c r="G2697">
        <v>0.24099999999999999</v>
      </c>
      <c r="H2697">
        <v>0</v>
      </c>
      <c r="J2697">
        <v>1</v>
      </c>
      <c r="K2697">
        <f>YEAR(NetflixData[[#This Row],[date]])</f>
        <v>2026</v>
      </c>
      <c r="L2697" t="str">
        <f>TEXT(NetflixData[[#This Row],[date]],"mmm")</f>
        <v>Jan</v>
      </c>
      <c r="M2697" t="str">
        <f>TEXT(NetflixData[[#This Row],[date]],"mmm yyyy")</f>
        <v>Jan 2026</v>
      </c>
      <c r="N2697" t="str">
        <f t="shared" si="126"/>
        <v>Trading Day</v>
      </c>
      <c r="O2697" t="str">
        <f t="shared" si="127"/>
        <v>Negative</v>
      </c>
      <c r="P2697" t="str">
        <f t="shared" si="128"/>
        <v>Positive</v>
      </c>
    </row>
    <row r="2698" spans="1:16" x14ac:dyDescent="0.3">
      <c r="A2698" s="1">
        <v>46051</v>
      </c>
      <c r="B2698">
        <v>83.16</v>
      </c>
      <c r="C2698">
        <v>42278100</v>
      </c>
      <c r="D2698">
        <v>-1.3640000000000001</v>
      </c>
      <c r="E2698">
        <v>42</v>
      </c>
      <c r="F2698">
        <v>3.43</v>
      </c>
      <c r="G2698">
        <v>0.20519999999999999</v>
      </c>
      <c r="H2698">
        <v>0</v>
      </c>
      <c r="J2698">
        <v>1</v>
      </c>
      <c r="K2698">
        <f>YEAR(NetflixData[[#This Row],[date]])</f>
        <v>2026</v>
      </c>
      <c r="L2698" t="str">
        <f>TEXT(NetflixData[[#This Row],[date]],"mmm")</f>
        <v>Jan</v>
      </c>
      <c r="M2698" t="str">
        <f>TEXT(NetflixData[[#This Row],[date]],"mmm yyyy")</f>
        <v>Jan 2026</v>
      </c>
      <c r="N2698" t="str">
        <f t="shared" si="126"/>
        <v>Trading Day</v>
      </c>
      <c r="O2698" t="str">
        <f t="shared" si="127"/>
        <v>Negative</v>
      </c>
      <c r="P2698" t="str">
        <f t="shared" si="128"/>
        <v>Positive</v>
      </c>
    </row>
    <row r="2699" spans="1:16" x14ac:dyDescent="0.3">
      <c r="A2699" s="1">
        <v>46052</v>
      </c>
      <c r="B2699">
        <v>83.49</v>
      </c>
      <c r="C2699">
        <v>45755000</v>
      </c>
      <c r="D2699">
        <v>0.46899999999999997</v>
      </c>
      <c r="E2699">
        <v>58</v>
      </c>
      <c r="F2699">
        <v>3.24</v>
      </c>
      <c r="G2699">
        <v>0.16550000000000001</v>
      </c>
      <c r="H2699">
        <v>0</v>
      </c>
      <c r="J2699">
        <v>1</v>
      </c>
      <c r="K2699">
        <f>YEAR(NetflixData[[#This Row],[date]])</f>
        <v>2026</v>
      </c>
      <c r="L2699" t="str">
        <f>TEXT(NetflixData[[#This Row],[date]],"mmm")</f>
        <v>Jan</v>
      </c>
      <c r="M2699" t="str">
        <f>TEXT(NetflixData[[#This Row],[date]],"mmm yyyy")</f>
        <v>Jan 2026</v>
      </c>
      <c r="N2699" t="str">
        <f t="shared" si="126"/>
        <v>Non-Trading Day</v>
      </c>
      <c r="O2699" t="str">
        <f t="shared" si="127"/>
        <v>Positive</v>
      </c>
      <c r="P2699" t="str">
        <f t="shared" si="128"/>
        <v>Positive</v>
      </c>
    </row>
    <row r="2700" spans="1:16" x14ac:dyDescent="0.3">
      <c r="A2700" s="1">
        <v>46053</v>
      </c>
      <c r="B2700">
        <v>83.49</v>
      </c>
      <c r="C2700">
        <v>0</v>
      </c>
      <c r="D2700">
        <v>0</v>
      </c>
      <c r="E2700">
        <v>47</v>
      </c>
      <c r="F2700">
        <v>3.4</v>
      </c>
      <c r="G2700">
        <v>0.1484</v>
      </c>
      <c r="H2700">
        <v>0</v>
      </c>
      <c r="J2700">
        <v>0</v>
      </c>
      <c r="K2700">
        <f>YEAR(NetflixData[[#This Row],[date]])</f>
        <v>2026</v>
      </c>
      <c r="L2700" t="str">
        <f>TEXT(NetflixData[[#This Row],[date]],"mmm")</f>
        <v>Jan</v>
      </c>
      <c r="M2700" t="str">
        <f>TEXT(NetflixData[[#This Row],[date]],"mmm yyyy")</f>
        <v>Jan 2026</v>
      </c>
      <c r="N2700" t="str">
        <f t="shared" si="126"/>
        <v>Non-Trading Day</v>
      </c>
      <c r="O2700" t="str">
        <f t="shared" si="127"/>
        <v>No Change</v>
      </c>
      <c r="P2700" t="str">
        <f t="shared" si="128"/>
        <v>Positive</v>
      </c>
    </row>
    <row r="2701" spans="1:16" x14ac:dyDescent="0.3">
      <c r="A2701" s="1">
        <v>46054</v>
      </c>
      <c r="B2701">
        <v>83.49</v>
      </c>
      <c r="C2701">
        <v>0</v>
      </c>
      <c r="D2701">
        <v>0</v>
      </c>
      <c r="E2701">
        <v>57</v>
      </c>
      <c r="F2701">
        <v>2.86</v>
      </c>
      <c r="G2701">
        <v>0.11550000000000001</v>
      </c>
      <c r="H2701">
        <v>0</v>
      </c>
      <c r="J2701">
        <v>0</v>
      </c>
      <c r="K2701">
        <f>YEAR(NetflixData[[#This Row],[date]])</f>
        <v>2026</v>
      </c>
      <c r="L2701" t="str">
        <f>TEXT(NetflixData[[#This Row],[date]],"mmm")</f>
        <v>Feb</v>
      </c>
      <c r="M2701" t="str">
        <f>TEXT(NetflixData[[#This Row],[date]],"mmm yyyy")</f>
        <v>Feb 2026</v>
      </c>
      <c r="N2701" t="str">
        <f t="shared" si="126"/>
        <v>Trading Day</v>
      </c>
      <c r="O2701" t="str">
        <f t="shared" si="127"/>
        <v>No Change</v>
      </c>
      <c r="P2701" t="str">
        <f t="shared" si="128"/>
        <v>Positive</v>
      </c>
    </row>
    <row r="2702" spans="1:16" x14ac:dyDescent="0.3">
      <c r="A2702" s="1">
        <v>46055</v>
      </c>
      <c r="B2702">
        <v>82.76</v>
      </c>
      <c r="C2702">
        <v>41445300</v>
      </c>
      <c r="D2702">
        <v>-0.92200000000000004</v>
      </c>
      <c r="E2702">
        <v>36</v>
      </c>
      <c r="F2702">
        <v>3.31</v>
      </c>
      <c r="G2702">
        <v>0.2979</v>
      </c>
      <c r="H2702">
        <v>0</v>
      </c>
      <c r="J2702">
        <v>1</v>
      </c>
      <c r="K2702">
        <f>YEAR(NetflixData[[#This Row],[date]])</f>
        <v>2026</v>
      </c>
      <c r="L2702" t="str">
        <f>TEXT(NetflixData[[#This Row],[date]],"mmm")</f>
        <v>Feb</v>
      </c>
      <c r="M2702" t="str">
        <f>TEXT(NetflixData[[#This Row],[date]],"mmm yyyy")</f>
        <v>Feb 2026</v>
      </c>
      <c r="N2702" t="str">
        <f t="shared" si="126"/>
        <v>Trading Day</v>
      </c>
      <c r="O2702" t="str">
        <f t="shared" si="127"/>
        <v>Negative</v>
      </c>
      <c r="P2702" t="str">
        <f t="shared" si="128"/>
        <v>Positive</v>
      </c>
    </row>
    <row r="2703" spans="1:16" x14ac:dyDescent="0.3">
      <c r="A2703" s="1">
        <v>46056</v>
      </c>
      <c r="B2703">
        <v>79.94</v>
      </c>
      <c r="C2703">
        <v>49789000</v>
      </c>
      <c r="D2703">
        <v>-2.7850000000000001</v>
      </c>
      <c r="E2703">
        <v>45</v>
      </c>
      <c r="F2703">
        <v>3.51</v>
      </c>
      <c r="G2703">
        <v>0.32679999999999998</v>
      </c>
      <c r="H2703">
        <v>0</v>
      </c>
      <c r="J2703">
        <v>1</v>
      </c>
      <c r="K2703">
        <f>YEAR(NetflixData[[#This Row],[date]])</f>
        <v>2026</v>
      </c>
      <c r="L2703" t="str">
        <f>TEXT(NetflixData[[#This Row],[date]],"mmm")</f>
        <v>Feb</v>
      </c>
      <c r="M2703" t="str">
        <f>TEXT(NetflixData[[#This Row],[date]],"mmm yyyy")</f>
        <v>Feb 2026</v>
      </c>
      <c r="N2703" t="str">
        <f t="shared" si="126"/>
        <v>Trading Day</v>
      </c>
      <c r="O2703" t="str">
        <f t="shared" si="127"/>
        <v>Negative</v>
      </c>
      <c r="P2703" t="str">
        <f t="shared" si="128"/>
        <v>Positive</v>
      </c>
    </row>
    <row r="2704" spans="1:16" x14ac:dyDescent="0.3">
      <c r="A2704" s="1">
        <v>46057</v>
      </c>
      <c r="B2704">
        <v>80.16</v>
      </c>
      <c r="C2704">
        <v>48963200</v>
      </c>
      <c r="D2704">
        <v>0.21299999999999999</v>
      </c>
      <c r="E2704">
        <v>41</v>
      </c>
      <c r="F2704">
        <v>3.39</v>
      </c>
      <c r="G2704">
        <v>0.247</v>
      </c>
      <c r="H2704">
        <v>0</v>
      </c>
      <c r="J2704">
        <v>1</v>
      </c>
      <c r="K2704">
        <f>YEAR(NetflixData[[#This Row],[date]])</f>
        <v>2026</v>
      </c>
      <c r="L2704" t="str">
        <f>TEXT(NetflixData[[#This Row],[date]],"mmm")</f>
        <v>Feb</v>
      </c>
      <c r="M2704" t="str">
        <f>TEXT(NetflixData[[#This Row],[date]],"mmm yyyy")</f>
        <v>Feb 2026</v>
      </c>
      <c r="N2704" t="str">
        <f t="shared" si="126"/>
        <v>Trading Day</v>
      </c>
      <c r="O2704" t="str">
        <f t="shared" si="127"/>
        <v>Positive</v>
      </c>
      <c r="P2704" t="str">
        <f t="shared" si="128"/>
        <v>Positive</v>
      </c>
    </row>
    <row r="2705" spans="1:16" x14ac:dyDescent="0.3">
      <c r="A2705" s="1">
        <v>46058</v>
      </c>
      <c r="B2705">
        <v>80.87</v>
      </c>
      <c r="C2705">
        <v>54805700</v>
      </c>
      <c r="D2705">
        <v>-0.76100000000000001</v>
      </c>
      <c r="E2705">
        <v>33</v>
      </c>
      <c r="F2705">
        <v>3.42</v>
      </c>
      <c r="G2705">
        <v>0.17369999999999999</v>
      </c>
      <c r="H2705">
        <v>0</v>
      </c>
      <c r="J2705">
        <v>1</v>
      </c>
      <c r="K2705">
        <f>YEAR(NetflixData[[#This Row],[date]])</f>
        <v>2026</v>
      </c>
      <c r="L2705" t="str">
        <f>TEXT(NetflixData[[#This Row],[date]],"mmm")</f>
        <v>Feb</v>
      </c>
      <c r="M2705" t="str">
        <f>TEXT(NetflixData[[#This Row],[date]],"mmm yyyy")</f>
        <v>Feb 2026</v>
      </c>
      <c r="N2705" t="str">
        <f t="shared" si="126"/>
        <v>Trading Day</v>
      </c>
      <c r="O2705" t="str">
        <f t="shared" si="127"/>
        <v>Negative</v>
      </c>
      <c r="P2705" t="str">
        <f t="shared" si="128"/>
        <v>Positive</v>
      </c>
    </row>
    <row r="2706" spans="1:16" x14ac:dyDescent="0.3">
      <c r="A2706" s="1">
        <v>46059</v>
      </c>
      <c r="B2706">
        <v>82.2</v>
      </c>
      <c r="C2706">
        <v>46154100</v>
      </c>
      <c r="D2706">
        <v>1.456</v>
      </c>
      <c r="E2706">
        <v>44</v>
      </c>
      <c r="F2706">
        <v>2.36</v>
      </c>
      <c r="G2706">
        <v>-2.93E-2</v>
      </c>
      <c r="H2706">
        <v>0</v>
      </c>
      <c r="J2706">
        <v>1</v>
      </c>
      <c r="K2706">
        <f>YEAR(NetflixData[[#This Row],[date]])</f>
        <v>2026</v>
      </c>
      <c r="L2706" t="str">
        <f>TEXT(NetflixData[[#This Row],[date]],"mmm")</f>
        <v>Feb</v>
      </c>
      <c r="M2706" t="str">
        <f>TEXT(NetflixData[[#This Row],[date]],"mmm yyyy")</f>
        <v>Feb 2026</v>
      </c>
      <c r="N2706" t="str">
        <f t="shared" si="126"/>
        <v>Non-Trading Day</v>
      </c>
      <c r="O2706" t="str">
        <f t="shared" si="127"/>
        <v>Positive</v>
      </c>
      <c r="P2706" t="str">
        <f t="shared" si="128"/>
        <v>Neutral</v>
      </c>
    </row>
    <row r="2707" spans="1:16" x14ac:dyDescent="0.3">
      <c r="A2707" s="1">
        <v>46060</v>
      </c>
      <c r="B2707">
        <v>82.2</v>
      </c>
      <c r="C2707">
        <v>0</v>
      </c>
      <c r="D2707">
        <v>0</v>
      </c>
      <c r="E2707">
        <v>41</v>
      </c>
      <c r="F2707">
        <v>3.2</v>
      </c>
      <c r="G2707">
        <v>0.33850000000000002</v>
      </c>
      <c r="H2707">
        <v>0</v>
      </c>
      <c r="J2707">
        <v>0</v>
      </c>
      <c r="K2707">
        <f>YEAR(NetflixData[[#This Row],[date]])</f>
        <v>2026</v>
      </c>
      <c r="L2707" t="str">
        <f>TEXT(NetflixData[[#This Row],[date]],"mmm")</f>
        <v>Feb</v>
      </c>
      <c r="M2707" t="str">
        <f>TEXT(NetflixData[[#This Row],[date]],"mmm yyyy")</f>
        <v>Feb 2026</v>
      </c>
      <c r="N2707" t="str">
        <f t="shared" si="126"/>
        <v>Non-Trading Day</v>
      </c>
      <c r="O2707" t="str">
        <f t="shared" si="127"/>
        <v>No Change</v>
      </c>
      <c r="P2707" t="str">
        <f t="shared" si="128"/>
        <v>Positive</v>
      </c>
    </row>
    <row r="2708" spans="1:16" x14ac:dyDescent="0.3">
      <c r="A2708" s="1">
        <v>46061</v>
      </c>
      <c r="B2708">
        <v>82.2</v>
      </c>
      <c r="C2708">
        <v>0</v>
      </c>
      <c r="D2708">
        <v>0</v>
      </c>
      <c r="E2708">
        <v>47</v>
      </c>
      <c r="F2708">
        <v>3.43</v>
      </c>
      <c r="G2708">
        <v>0.14349999999999999</v>
      </c>
      <c r="H2708">
        <v>0</v>
      </c>
      <c r="J2708">
        <v>0</v>
      </c>
      <c r="K2708">
        <f>YEAR(NetflixData[[#This Row],[date]])</f>
        <v>2026</v>
      </c>
      <c r="L2708" t="str">
        <f>TEXT(NetflixData[[#This Row],[date]],"mmm")</f>
        <v>Feb</v>
      </c>
      <c r="M2708" t="str">
        <f>TEXT(NetflixData[[#This Row],[date]],"mmm yyyy")</f>
        <v>Feb 2026</v>
      </c>
      <c r="N2708" t="str">
        <f t="shared" si="126"/>
        <v>Trading Day</v>
      </c>
      <c r="O2708" t="str">
        <f t="shared" si="127"/>
        <v>No Change</v>
      </c>
      <c r="P2708" t="str">
        <f t="shared" si="128"/>
        <v>Positive</v>
      </c>
    </row>
    <row r="2709" spans="1:16" x14ac:dyDescent="0.3">
      <c r="A2709" s="1">
        <v>46062</v>
      </c>
      <c r="B2709">
        <v>81.47</v>
      </c>
      <c r="C2709">
        <v>42200200</v>
      </c>
      <c r="D2709">
        <v>-0.86399999999999999</v>
      </c>
      <c r="E2709">
        <v>44</v>
      </c>
      <c r="F2709">
        <v>3.16</v>
      </c>
      <c r="G2709">
        <v>0.12529999999999999</v>
      </c>
      <c r="H2709">
        <v>0</v>
      </c>
      <c r="J2709">
        <v>1</v>
      </c>
      <c r="K2709">
        <f>YEAR(NetflixData[[#This Row],[date]])</f>
        <v>2026</v>
      </c>
      <c r="L2709" t="str">
        <f>TEXT(NetflixData[[#This Row],[date]],"mmm")</f>
        <v>Feb</v>
      </c>
      <c r="M2709" t="str">
        <f>TEXT(NetflixData[[#This Row],[date]],"mmm yyyy")</f>
        <v>Feb 2026</v>
      </c>
      <c r="N2709" t="str">
        <f t="shared" si="126"/>
        <v>Trading Day</v>
      </c>
      <c r="O2709" t="str">
        <f t="shared" si="127"/>
        <v>Negative</v>
      </c>
      <c r="P2709" t="str">
        <f t="shared" si="128"/>
        <v>Positive</v>
      </c>
    </row>
    <row r="2710" spans="1:16" x14ac:dyDescent="0.3">
      <c r="A2710" s="1">
        <v>46063</v>
      </c>
      <c r="B2710">
        <v>82.21</v>
      </c>
      <c r="C2710">
        <v>43595800</v>
      </c>
      <c r="D2710">
        <v>-0.61699999999999999</v>
      </c>
      <c r="E2710">
        <v>44</v>
      </c>
      <c r="F2710">
        <v>3.68</v>
      </c>
      <c r="G2710">
        <v>0.2422</v>
      </c>
      <c r="H2710">
        <v>0</v>
      </c>
      <c r="J2710">
        <v>1</v>
      </c>
      <c r="K2710">
        <f>YEAR(NetflixData[[#This Row],[date]])</f>
        <v>2026</v>
      </c>
      <c r="L2710" t="str">
        <f>TEXT(NetflixData[[#This Row],[date]],"mmm")</f>
        <v>Feb</v>
      </c>
      <c r="M2710" t="str">
        <f>TEXT(NetflixData[[#This Row],[date]],"mmm yyyy")</f>
        <v>Feb 2026</v>
      </c>
      <c r="N2710" t="str">
        <f t="shared" si="126"/>
        <v>Trading Day</v>
      </c>
      <c r="O2710" t="str">
        <f t="shared" si="127"/>
        <v>Negative</v>
      </c>
      <c r="P2710" t="str">
        <f t="shared" si="128"/>
        <v>Positive</v>
      </c>
    </row>
    <row r="2711" spans="1:16" x14ac:dyDescent="0.3">
      <c r="A2711" s="1">
        <v>46064</v>
      </c>
      <c r="B2711">
        <v>79.62</v>
      </c>
      <c r="C2711">
        <v>40840300</v>
      </c>
      <c r="D2711">
        <v>-2.855</v>
      </c>
      <c r="E2711">
        <v>25</v>
      </c>
      <c r="F2711">
        <v>3.52</v>
      </c>
      <c r="G2711">
        <v>0.2356</v>
      </c>
      <c r="H2711">
        <v>0</v>
      </c>
      <c r="J2711">
        <v>1</v>
      </c>
      <c r="K2711">
        <f>YEAR(NetflixData[[#This Row],[date]])</f>
        <v>2026</v>
      </c>
      <c r="L2711" t="str">
        <f>TEXT(NetflixData[[#This Row],[date]],"mmm")</f>
        <v>Feb</v>
      </c>
      <c r="M2711" t="str">
        <f>TEXT(NetflixData[[#This Row],[date]],"mmm yyyy")</f>
        <v>Feb 2026</v>
      </c>
      <c r="N2711" t="str">
        <f t="shared" si="126"/>
        <v>Trading Day</v>
      </c>
      <c r="O2711" t="str">
        <f t="shared" si="127"/>
        <v>Negative</v>
      </c>
      <c r="P2711" t="str">
        <f t="shared" si="128"/>
        <v>Positive</v>
      </c>
    </row>
    <row r="2712" spans="1:16" x14ac:dyDescent="0.3">
      <c r="A2712" s="1">
        <v>46065</v>
      </c>
      <c r="B2712">
        <v>75.86</v>
      </c>
      <c r="C2712">
        <v>73516100</v>
      </c>
      <c r="D2712">
        <v>-4.1079999999999997</v>
      </c>
      <c r="E2712">
        <v>34</v>
      </c>
      <c r="F2712">
        <v>2.97</v>
      </c>
      <c r="G2712">
        <v>0.17080000000000001</v>
      </c>
      <c r="H2712">
        <v>0</v>
      </c>
      <c r="J2712">
        <v>1</v>
      </c>
      <c r="K2712">
        <f>YEAR(NetflixData[[#This Row],[date]])</f>
        <v>2026</v>
      </c>
      <c r="L2712" t="str">
        <f>TEXT(NetflixData[[#This Row],[date]],"mmm")</f>
        <v>Feb</v>
      </c>
      <c r="M2712" t="str">
        <f>TEXT(NetflixData[[#This Row],[date]],"mmm yyyy")</f>
        <v>Feb 2026</v>
      </c>
      <c r="N2712" t="str">
        <f t="shared" si="126"/>
        <v>Trading Day</v>
      </c>
      <c r="O2712" t="str">
        <f t="shared" si="127"/>
        <v>Negative</v>
      </c>
      <c r="P2712" t="str">
        <f t="shared" si="128"/>
        <v>Positive</v>
      </c>
    </row>
    <row r="2713" spans="1:16" x14ac:dyDescent="0.3">
      <c r="A2713" s="1">
        <v>46066</v>
      </c>
      <c r="B2713">
        <v>76.87</v>
      </c>
      <c r="C2713">
        <v>42292100</v>
      </c>
      <c r="D2713">
        <v>0.95899999999999996</v>
      </c>
      <c r="E2713">
        <v>26</v>
      </c>
      <c r="F2713">
        <v>3.92</v>
      </c>
      <c r="G2713">
        <v>0.22500000000000001</v>
      </c>
      <c r="H2713">
        <v>0</v>
      </c>
      <c r="J2713">
        <v>1</v>
      </c>
      <c r="K2713">
        <f>YEAR(NetflixData[[#This Row],[date]])</f>
        <v>2026</v>
      </c>
      <c r="L2713" t="str">
        <f>TEXT(NetflixData[[#This Row],[date]],"mmm")</f>
        <v>Feb</v>
      </c>
      <c r="M2713" t="str">
        <f>TEXT(NetflixData[[#This Row],[date]],"mmm yyyy")</f>
        <v>Feb 2026</v>
      </c>
      <c r="N2713" t="str">
        <f t="shared" si="126"/>
        <v>Non-Trading Day</v>
      </c>
      <c r="O2713" t="str">
        <f t="shared" si="127"/>
        <v>Positive</v>
      </c>
      <c r="P2713" t="str">
        <f t="shared" si="128"/>
        <v>Positive</v>
      </c>
    </row>
    <row r="2714" spans="1:16" x14ac:dyDescent="0.3">
      <c r="A2714" s="1">
        <v>46067</v>
      </c>
      <c r="B2714">
        <v>76.87</v>
      </c>
      <c r="C2714">
        <v>0</v>
      </c>
      <c r="D2714">
        <v>0</v>
      </c>
      <c r="E2714">
        <v>33</v>
      </c>
      <c r="F2714">
        <v>3.76</v>
      </c>
      <c r="G2714">
        <v>0.2147</v>
      </c>
      <c r="H2714">
        <v>0</v>
      </c>
      <c r="J2714">
        <v>0</v>
      </c>
      <c r="K2714">
        <f>YEAR(NetflixData[[#This Row],[date]])</f>
        <v>2026</v>
      </c>
      <c r="L2714" t="str">
        <f>TEXT(NetflixData[[#This Row],[date]],"mmm")</f>
        <v>Feb</v>
      </c>
      <c r="M2714" t="str">
        <f>TEXT(NetflixData[[#This Row],[date]],"mmm yyyy")</f>
        <v>Feb 2026</v>
      </c>
      <c r="N2714" t="str">
        <f t="shared" si="126"/>
        <v>Non-Trading Day</v>
      </c>
      <c r="O2714" t="str">
        <f t="shared" si="127"/>
        <v>No Change</v>
      </c>
      <c r="P2714" t="str">
        <f t="shared" si="128"/>
        <v>Positive</v>
      </c>
    </row>
    <row r="2715" spans="1:16" x14ac:dyDescent="0.3">
      <c r="A2715" s="1">
        <v>46068</v>
      </c>
      <c r="B2715">
        <v>76.87</v>
      </c>
      <c r="C2715">
        <v>0</v>
      </c>
      <c r="D2715">
        <v>0</v>
      </c>
      <c r="E2715">
        <v>44</v>
      </c>
      <c r="F2715">
        <v>3.27</v>
      </c>
      <c r="G2715">
        <v>0.20519999999999999</v>
      </c>
      <c r="H2715">
        <v>0</v>
      </c>
      <c r="J2715">
        <v>0</v>
      </c>
      <c r="K2715">
        <f>YEAR(NetflixData[[#This Row],[date]])</f>
        <v>2026</v>
      </c>
      <c r="L2715" t="str">
        <f>TEXT(NetflixData[[#This Row],[date]],"mmm")</f>
        <v>Feb</v>
      </c>
      <c r="M2715" t="str">
        <f>TEXT(NetflixData[[#This Row],[date]],"mmm yyyy")</f>
        <v>Feb 2026</v>
      </c>
      <c r="N2715" t="str">
        <f t="shared" si="126"/>
        <v>Non-Trading Day</v>
      </c>
      <c r="O2715" t="str">
        <f t="shared" si="127"/>
        <v>No Change</v>
      </c>
      <c r="P2715" t="str">
        <f t="shared" si="128"/>
        <v>Positive</v>
      </c>
    </row>
    <row r="2716" spans="1:16" x14ac:dyDescent="0.3">
      <c r="A2716" s="1">
        <v>46069</v>
      </c>
      <c r="B2716">
        <v>76.87</v>
      </c>
      <c r="C2716">
        <v>0</v>
      </c>
      <c r="D2716">
        <v>0</v>
      </c>
      <c r="E2716">
        <v>36</v>
      </c>
      <c r="F2716">
        <v>3.56</v>
      </c>
      <c r="G2716">
        <v>0.26790000000000003</v>
      </c>
      <c r="H2716">
        <v>0</v>
      </c>
      <c r="J2716">
        <v>0</v>
      </c>
      <c r="K2716">
        <f>YEAR(NetflixData[[#This Row],[date]])</f>
        <v>2026</v>
      </c>
      <c r="L2716" t="str">
        <f>TEXT(NetflixData[[#This Row],[date]],"mmm")</f>
        <v>Feb</v>
      </c>
      <c r="M2716" t="str">
        <f>TEXT(NetflixData[[#This Row],[date]],"mmm yyyy")</f>
        <v>Feb 2026</v>
      </c>
      <c r="N2716" t="str">
        <f t="shared" si="126"/>
        <v>Trading Day</v>
      </c>
      <c r="O2716" t="str">
        <f t="shared" si="127"/>
        <v>No Change</v>
      </c>
      <c r="P2716" t="str">
        <f t="shared" si="128"/>
        <v>Positive</v>
      </c>
    </row>
    <row r="2717" spans="1:16" x14ac:dyDescent="0.3">
      <c r="A2717" s="1">
        <v>46070</v>
      </c>
      <c r="B2717">
        <v>77</v>
      </c>
      <c r="C2717">
        <v>35961500</v>
      </c>
      <c r="D2717">
        <v>0.104</v>
      </c>
      <c r="E2717">
        <v>43</v>
      </c>
      <c r="F2717">
        <v>3.35</v>
      </c>
      <c r="G2717">
        <v>0.25819999999999999</v>
      </c>
      <c r="H2717">
        <v>0</v>
      </c>
      <c r="J2717">
        <v>1</v>
      </c>
      <c r="K2717">
        <f>YEAR(NetflixData[[#This Row],[date]])</f>
        <v>2026</v>
      </c>
      <c r="L2717" t="str">
        <f>TEXT(NetflixData[[#This Row],[date]],"mmm")</f>
        <v>Feb</v>
      </c>
      <c r="M2717" t="str">
        <f>TEXT(NetflixData[[#This Row],[date]],"mmm yyyy")</f>
        <v>Feb 2026</v>
      </c>
      <c r="N2717" t="str">
        <f t="shared" si="126"/>
        <v>Trading Day</v>
      </c>
      <c r="O2717" t="str">
        <f t="shared" si="127"/>
        <v>Positive</v>
      </c>
      <c r="P2717" t="str">
        <f t="shared" si="128"/>
        <v>Positive</v>
      </c>
    </row>
    <row r="2718" spans="1:16" x14ac:dyDescent="0.3">
      <c r="A2718" s="1">
        <v>46071</v>
      </c>
      <c r="B2718">
        <v>77.989999999999995</v>
      </c>
      <c r="C2718">
        <v>29883100</v>
      </c>
      <c r="D2718">
        <v>0.86699999999999999</v>
      </c>
      <c r="E2718">
        <v>40</v>
      </c>
      <c r="F2718">
        <v>2.2799999999999998</v>
      </c>
      <c r="G2718">
        <v>-1.8200000000000001E-2</v>
      </c>
      <c r="H2718">
        <v>0</v>
      </c>
      <c r="J2718">
        <v>1</v>
      </c>
      <c r="K2718">
        <f>YEAR(NetflixData[[#This Row],[date]])</f>
        <v>2026</v>
      </c>
      <c r="L2718" t="str">
        <f>TEXT(NetflixData[[#This Row],[date]],"mmm")</f>
        <v>Feb</v>
      </c>
      <c r="M2718" t="str">
        <f>TEXT(NetflixData[[#This Row],[date]],"mmm yyyy")</f>
        <v>Feb 2026</v>
      </c>
      <c r="N2718" t="str">
        <f t="shared" si="126"/>
        <v>Trading Day</v>
      </c>
      <c r="O2718" t="str">
        <f t="shared" si="127"/>
        <v>Positive</v>
      </c>
      <c r="P2718" t="str">
        <f t="shared" si="128"/>
        <v>Neutral</v>
      </c>
    </row>
    <row r="2719" spans="1:16" x14ac:dyDescent="0.3">
      <c r="A2719" s="1">
        <v>46072</v>
      </c>
      <c r="B2719">
        <v>77</v>
      </c>
      <c r="C2719">
        <v>30139200</v>
      </c>
      <c r="D2719">
        <v>-0.96499999999999997</v>
      </c>
      <c r="E2719">
        <v>51</v>
      </c>
      <c r="F2719">
        <v>3.29</v>
      </c>
      <c r="G2719">
        <v>0.1027</v>
      </c>
      <c r="H2719">
        <v>0</v>
      </c>
      <c r="J2719">
        <v>1</v>
      </c>
      <c r="K2719">
        <f>YEAR(NetflixData[[#This Row],[date]])</f>
        <v>2026</v>
      </c>
      <c r="L2719" t="str">
        <f>TEXT(NetflixData[[#This Row],[date]],"mmm")</f>
        <v>Feb</v>
      </c>
      <c r="M2719" t="str">
        <f>TEXT(NetflixData[[#This Row],[date]],"mmm yyyy")</f>
        <v>Feb 2026</v>
      </c>
      <c r="N2719" t="str">
        <f t="shared" si="126"/>
        <v>Trading Day</v>
      </c>
      <c r="O2719" t="str">
        <f t="shared" si="127"/>
        <v>Negative</v>
      </c>
      <c r="P2719" t="str">
        <f t="shared" si="128"/>
        <v>Positive</v>
      </c>
    </row>
    <row r="2720" spans="1:16" x14ac:dyDescent="0.3">
      <c r="A2720" s="1">
        <v>46073</v>
      </c>
      <c r="B2720">
        <v>78.67</v>
      </c>
      <c r="C2720">
        <v>32411300</v>
      </c>
      <c r="D2720">
        <v>2.6890000000000001</v>
      </c>
      <c r="E2720">
        <v>37</v>
      </c>
      <c r="F2720">
        <v>3.41</v>
      </c>
      <c r="G2720">
        <v>0.2833</v>
      </c>
      <c r="H2720">
        <v>0</v>
      </c>
      <c r="J2720">
        <v>1</v>
      </c>
      <c r="K2720">
        <f>YEAR(NetflixData[[#This Row],[date]])</f>
        <v>2026</v>
      </c>
      <c r="L2720" t="str">
        <f>TEXT(NetflixData[[#This Row],[date]],"mmm")</f>
        <v>Feb</v>
      </c>
      <c r="M2720" t="str">
        <f>TEXT(NetflixData[[#This Row],[date]],"mmm yyyy")</f>
        <v>Feb 2026</v>
      </c>
      <c r="N2720" t="str">
        <f t="shared" si="126"/>
        <v>Non-Trading Day</v>
      </c>
      <c r="O2720" t="str">
        <f t="shared" si="127"/>
        <v>Positive</v>
      </c>
      <c r="P2720" t="str">
        <f t="shared" si="128"/>
        <v>Positive</v>
      </c>
    </row>
    <row r="2721" spans="1:16" x14ac:dyDescent="0.3">
      <c r="A2721" s="1">
        <v>46074</v>
      </c>
      <c r="B2721">
        <v>78.67</v>
      </c>
      <c r="C2721">
        <v>0</v>
      </c>
      <c r="D2721">
        <v>0</v>
      </c>
      <c r="E2721">
        <v>40</v>
      </c>
      <c r="F2721">
        <v>2.42</v>
      </c>
      <c r="G2721">
        <v>6.9900000000000004E-2</v>
      </c>
      <c r="H2721">
        <v>0</v>
      </c>
      <c r="J2721">
        <v>0</v>
      </c>
      <c r="K2721">
        <f>YEAR(NetflixData[[#This Row],[date]])</f>
        <v>2026</v>
      </c>
      <c r="L2721" t="str">
        <f>TEXT(NetflixData[[#This Row],[date]],"mmm")</f>
        <v>Feb</v>
      </c>
      <c r="M2721" t="str">
        <f>TEXT(NetflixData[[#This Row],[date]],"mmm yyyy")</f>
        <v>Feb 2026</v>
      </c>
      <c r="N2721" t="str">
        <f t="shared" si="126"/>
        <v>Non-Trading Day</v>
      </c>
      <c r="O2721" t="str">
        <f t="shared" si="127"/>
        <v>No Change</v>
      </c>
      <c r="P2721" t="str">
        <f t="shared" si="128"/>
        <v>Neutral</v>
      </c>
    </row>
    <row r="2722" spans="1:16" x14ac:dyDescent="0.3">
      <c r="A2722" s="1">
        <v>46075</v>
      </c>
      <c r="B2722">
        <v>78.67</v>
      </c>
      <c r="C2722">
        <v>0</v>
      </c>
      <c r="D2722">
        <v>0</v>
      </c>
      <c r="E2722">
        <v>46</v>
      </c>
      <c r="F2722">
        <v>3.33</v>
      </c>
      <c r="G2722">
        <v>0.23599999999999999</v>
      </c>
      <c r="H2722">
        <v>0</v>
      </c>
      <c r="J2722">
        <v>0</v>
      </c>
      <c r="K2722">
        <f>YEAR(NetflixData[[#This Row],[date]])</f>
        <v>2026</v>
      </c>
      <c r="L2722" t="str">
        <f>TEXT(NetflixData[[#This Row],[date]],"mmm")</f>
        <v>Feb</v>
      </c>
      <c r="M2722" t="str">
        <f>TEXT(NetflixData[[#This Row],[date]],"mmm yyyy")</f>
        <v>Feb 2026</v>
      </c>
      <c r="N2722" t="str">
        <f t="shared" si="126"/>
        <v>Trading Day</v>
      </c>
      <c r="O2722" t="str">
        <f t="shared" si="127"/>
        <v>No Change</v>
      </c>
      <c r="P2722" t="str">
        <f t="shared" si="128"/>
        <v>Positive</v>
      </c>
    </row>
    <row r="2723" spans="1:16" x14ac:dyDescent="0.3">
      <c r="A2723" s="1">
        <v>46076</v>
      </c>
      <c r="B2723">
        <v>76.02</v>
      </c>
      <c r="C2723">
        <v>38363000</v>
      </c>
      <c r="D2723">
        <v>-2.2749999999999999</v>
      </c>
      <c r="E2723">
        <v>42</v>
      </c>
      <c r="F2723">
        <v>3.43</v>
      </c>
      <c r="G2723">
        <v>0.23699999999999999</v>
      </c>
      <c r="H2723">
        <v>0</v>
      </c>
      <c r="J2723">
        <v>1</v>
      </c>
      <c r="K2723">
        <f>YEAR(NetflixData[[#This Row],[date]])</f>
        <v>2026</v>
      </c>
      <c r="L2723" t="str">
        <f>TEXT(NetflixData[[#This Row],[date]],"mmm")</f>
        <v>Feb</v>
      </c>
      <c r="M2723" t="str">
        <f>TEXT(NetflixData[[#This Row],[date]],"mmm yyyy")</f>
        <v>Feb 2026</v>
      </c>
      <c r="N2723" t="str">
        <f t="shared" si="126"/>
        <v>Trading Day</v>
      </c>
      <c r="O2723" t="str">
        <f t="shared" si="127"/>
        <v>Negative</v>
      </c>
      <c r="P2723" t="str">
        <f t="shared" si="128"/>
        <v>Positive</v>
      </c>
    </row>
    <row r="2724" spans="1:16" x14ac:dyDescent="0.3">
      <c r="A2724" s="1">
        <v>46077</v>
      </c>
      <c r="B2724">
        <v>78.040000000000006</v>
      </c>
      <c r="C2724">
        <v>33079100</v>
      </c>
      <c r="D2724">
        <v>3.05</v>
      </c>
      <c r="E2724">
        <v>49</v>
      </c>
      <c r="F2724">
        <v>3.69</v>
      </c>
      <c r="G2724">
        <v>0.28110000000000002</v>
      </c>
      <c r="H2724">
        <v>0</v>
      </c>
      <c r="J2724">
        <v>1</v>
      </c>
      <c r="K2724">
        <f>YEAR(NetflixData[[#This Row],[date]])</f>
        <v>2026</v>
      </c>
      <c r="L2724" t="str">
        <f>TEXT(NetflixData[[#This Row],[date]],"mmm")</f>
        <v>Feb</v>
      </c>
      <c r="M2724" t="str">
        <f>TEXT(NetflixData[[#This Row],[date]],"mmm yyyy")</f>
        <v>Feb 2026</v>
      </c>
      <c r="N2724" t="str">
        <f t="shared" si="126"/>
        <v>Trading Day</v>
      </c>
      <c r="O2724" t="str">
        <f t="shared" si="127"/>
        <v>Positive</v>
      </c>
      <c r="P2724" t="str">
        <f t="shared" si="128"/>
        <v>Positive</v>
      </c>
    </row>
    <row r="2725" spans="1:16" x14ac:dyDescent="0.3">
      <c r="A2725" s="1">
        <v>46078</v>
      </c>
      <c r="B2725">
        <v>82.7</v>
      </c>
      <c r="C2725">
        <v>69319300</v>
      </c>
      <c r="D2725">
        <v>4.117</v>
      </c>
      <c r="E2725">
        <v>42</v>
      </c>
      <c r="F2725">
        <v>3.43</v>
      </c>
      <c r="G2725">
        <v>0.29680000000000001</v>
      </c>
      <c r="H2725">
        <v>0</v>
      </c>
      <c r="J2725">
        <v>1</v>
      </c>
      <c r="K2725">
        <f>YEAR(NetflixData[[#This Row],[date]])</f>
        <v>2026</v>
      </c>
      <c r="L2725" t="str">
        <f>TEXT(NetflixData[[#This Row],[date]],"mmm")</f>
        <v>Feb</v>
      </c>
      <c r="M2725" t="str">
        <f>TEXT(NetflixData[[#This Row],[date]],"mmm yyyy")</f>
        <v>Feb 2026</v>
      </c>
      <c r="N2725" t="str">
        <f t="shared" si="126"/>
        <v>Trading Day</v>
      </c>
      <c r="O2725" t="str">
        <f t="shared" si="127"/>
        <v>Positive</v>
      </c>
      <c r="P2725" t="str">
        <f t="shared" si="128"/>
        <v>Positive</v>
      </c>
    </row>
    <row r="2726" spans="1:16" x14ac:dyDescent="0.3">
      <c r="A2726" s="1">
        <v>46079</v>
      </c>
      <c r="B2726">
        <v>84.59</v>
      </c>
      <c r="C2726">
        <v>85642500</v>
      </c>
      <c r="D2726">
        <v>1.671</v>
      </c>
      <c r="E2726">
        <v>31</v>
      </c>
      <c r="F2726">
        <v>3</v>
      </c>
      <c r="G2726">
        <v>0.1205</v>
      </c>
      <c r="H2726">
        <v>0</v>
      </c>
      <c r="J2726">
        <v>1</v>
      </c>
      <c r="K2726">
        <f>YEAR(NetflixData[[#This Row],[date]])</f>
        <v>2026</v>
      </c>
      <c r="L2726" t="str">
        <f>TEXT(NetflixData[[#This Row],[date]],"mmm")</f>
        <v>Feb</v>
      </c>
      <c r="M2726" t="str">
        <f>TEXT(NetflixData[[#This Row],[date]],"mmm yyyy")</f>
        <v>Feb 2026</v>
      </c>
      <c r="N2726" t="str">
        <f t="shared" si="126"/>
        <v>Trading Day</v>
      </c>
      <c r="O2726" t="str">
        <f t="shared" si="127"/>
        <v>Positive</v>
      </c>
      <c r="P2726" t="str">
        <f t="shared" si="128"/>
        <v>Positive</v>
      </c>
    </row>
    <row r="2727" spans="1:16" x14ac:dyDescent="0.3">
      <c r="A2727" s="1">
        <v>46080</v>
      </c>
      <c r="B2727">
        <v>96.24</v>
      </c>
      <c r="C2727">
        <v>200767000</v>
      </c>
      <c r="D2727">
        <v>2.0569999999999999</v>
      </c>
      <c r="E2727">
        <v>34</v>
      </c>
      <c r="F2727">
        <v>4.0599999999999996</v>
      </c>
      <c r="G2727">
        <v>0.28339999999999999</v>
      </c>
      <c r="H2727">
        <v>0</v>
      </c>
      <c r="J2727">
        <v>1</v>
      </c>
      <c r="K2727">
        <f>YEAR(NetflixData[[#This Row],[date]])</f>
        <v>2026</v>
      </c>
      <c r="L2727" t="str">
        <f>TEXT(NetflixData[[#This Row],[date]],"mmm")</f>
        <v>Feb</v>
      </c>
      <c r="M2727" t="str">
        <f>TEXT(NetflixData[[#This Row],[date]],"mmm yyyy")</f>
        <v>Feb 2026</v>
      </c>
      <c r="N2727" t="str">
        <f t="shared" si="126"/>
        <v>Non-Trading Day</v>
      </c>
      <c r="O2727" t="str">
        <f t="shared" si="127"/>
        <v>Positive</v>
      </c>
      <c r="P2727" t="str">
        <f t="shared" si="128"/>
        <v>Positive</v>
      </c>
    </row>
    <row r="2728" spans="1:16" x14ac:dyDescent="0.3">
      <c r="A2728" s="1">
        <v>46081</v>
      </c>
      <c r="B2728">
        <v>96.24</v>
      </c>
      <c r="C2728">
        <v>0</v>
      </c>
      <c r="D2728">
        <v>0</v>
      </c>
      <c r="E2728">
        <v>38</v>
      </c>
      <c r="F2728">
        <v>2.89</v>
      </c>
      <c r="G2728">
        <v>0.23810000000000001</v>
      </c>
      <c r="H2728">
        <v>0</v>
      </c>
      <c r="J2728">
        <v>0</v>
      </c>
      <c r="K2728">
        <f>YEAR(NetflixData[[#This Row],[date]])</f>
        <v>2026</v>
      </c>
      <c r="L2728" t="str">
        <f>TEXT(NetflixData[[#This Row],[date]],"mmm")</f>
        <v>Feb</v>
      </c>
      <c r="M2728" t="str">
        <f>TEXT(NetflixData[[#This Row],[date]],"mmm yyyy")</f>
        <v>Feb 2026</v>
      </c>
      <c r="N2728" t="str">
        <f t="shared" si="126"/>
        <v>Non-Trading Day</v>
      </c>
      <c r="O2728" t="str">
        <f t="shared" si="127"/>
        <v>No Change</v>
      </c>
      <c r="P2728" t="str">
        <f t="shared" si="128"/>
        <v>Positive</v>
      </c>
    </row>
    <row r="2729" spans="1:16" x14ac:dyDescent="0.3">
      <c r="A2729" s="1">
        <v>46082</v>
      </c>
      <c r="B2729">
        <v>96.24</v>
      </c>
      <c r="C2729">
        <v>0</v>
      </c>
      <c r="D2729">
        <v>0</v>
      </c>
      <c r="E2729">
        <v>55</v>
      </c>
      <c r="F2729">
        <v>3.24</v>
      </c>
      <c r="G2729">
        <v>0.2137</v>
      </c>
      <c r="H2729">
        <v>0</v>
      </c>
      <c r="J2729">
        <v>0</v>
      </c>
      <c r="K2729">
        <f>YEAR(NetflixData[[#This Row],[date]])</f>
        <v>2026</v>
      </c>
      <c r="L2729" t="str">
        <f>TEXT(NetflixData[[#This Row],[date]],"mmm")</f>
        <v>Mar</v>
      </c>
      <c r="M2729" t="str">
        <f>TEXT(NetflixData[[#This Row],[date]],"mmm yyyy")</f>
        <v>Mar 2026</v>
      </c>
      <c r="N2729" t="str">
        <f t="shared" si="126"/>
        <v>Trading Day</v>
      </c>
      <c r="O2729" t="str">
        <f t="shared" si="127"/>
        <v>No Change</v>
      </c>
      <c r="P2729" t="str">
        <f t="shared" si="128"/>
        <v>Positive</v>
      </c>
    </row>
    <row r="2730" spans="1:16" x14ac:dyDescent="0.3">
      <c r="A2730" s="1">
        <v>46083</v>
      </c>
      <c r="B2730">
        <v>97.09</v>
      </c>
      <c r="C2730">
        <v>79915400</v>
      </c>
      <c r="D2730">
        <v>1.921</v>
      </c>
      <c r="E2730">
        <v>45</v>
      </c>
      <c r="F2730">
        <v>3.51</v>
      </c>
      <c r="G2730">
        <v>0.29699999999999999</v>
      </c>
      <c r="H2730">
        <v>0</v>
      </c>
      <c r="J2730">
        <v>1</v>
      </c>
      <c r="K2730">
        <f>YEAR(NetflixData[[#This Row],[date]])</f>
        <v>2026</v>
      </c>
      <c r="L2730" t="str">
        <f>TEXT(NetflixData[[#This Row],[date]],"mmm")</f>
        <v>Mar</v>
      </c>
      <c r="M2730" t="str">
        <f>TEXT(NetflixData[[#This Row],[date]],"mmm yyyy")</f>
        <v>Mar 2026</v>
      </c>
      <c r="N2730" t="str">
        <f t="shared" si="126"/>
        <v>Trading Day</v>
      </c>
      <c r="O2730" t="str">
        <f t="shared" si="127"/>
        <v>Positive</v>
      </c>
      <c r="P2730" t="str">
        <f t="shared" si="128"/>
        <v>Positive</v>
      </c>
    </row>
    <row r="2731" spans="1:16" x14ac:dyDescent="0.3">
      <c r="A2731" s="1">
        <v>46084</v>
      </c>
      <c r="B2731">
        <v>97.7</v>
      </c>
      <c r="C2731">
        <v>59149000</v>
      </c>
      <c r="D2731">
        <v>1.76</v>
      </c>
      <c r="E2731">
        <v>46</v>
      </c>
      <c r="F2731">
        <v>3.28</v>
      </c>
      <c r="G2731">
        <v>0.2291</v>
      </c>
      <c r="H2731">
        <v>0</v>
      </c>
      <c r="J2731">
        <v>1</v>
      </c>
      <c r="K2731">
        <f>YEAR(NetflixData[[#This Row],[date]])</f>
        <v>2026</v>
      </c>
      <c r="L2731" t="str">
        <f>TEXT(NetflixData[[#This Row],[date]],"mmm")</f>
        <v>Mar</v>
      </c>
      <c r="M2731" t="str">
        <f>TEXT(NetflixData[[#This Row],[date]],"mmm yyyy")</f>
        <v>Mar 2026</v>
      </c>
      <c r="N2731" t="str">
        <f t="shared" si="126"/>
        <v>Trading Day</v>
      </c>
      <c r="O2731" t="str">
        <f t="shared" si="127"/>
        <v>Positive</v>
      </c>
      <c r="P2731" t="str">
        <f t="shared" si="128"/>
        <v>Positive</v>
      </c>
    </row>
    <row r="2732" spans="1:16" x14ac:dyDescent="0.3">
      <c r="A2732" s="1">
        <v>46085</v>
      </c>
      <c r="B2732">
        <v>98.66</v>
      </c>
      <c r="C2732">
        <v>52604300</v>
      </c>
      <c r="D2732">
        <v>1.5960000000000001</v>
      </c>
      <c r="E2732">
        <v>47</v>
      </c>
      <c r="F2732">
        <v>3.28</v>
      </c>
      <c r="G2732">
        <v>0.23219999999999999</v>
      </c>
      <c r="H2732">
        <v>0</v>
      </c>
      <c r="J2732">
        <v>1</v>
      </c>
      <c r="K2732">
        <f>YEAR(NetflixData[[#This Row],[date]])</f>
        <v>2026</v>
      </c>
      <c r="L2732" t="str">
        <f>TEXT(NetflixData[[#This Row],[date]],"mmm")</f>
        <v>Mar</v>
      </c>
      <c r="M2732" t="str">
        <f>TEXT(NetflixData[[#This Row],[date]],"mmm yyyy")</f>
        <v>Mar 2026</v>
      </c>
      <c r="N2732" t="str">
        <f t="shared" si="126"/>
        <v>Trading Day</v>
      </c>
      <c r="O2732" t="str">
        <f t="shared" si="127"/>
        <v>Positive</v>
      </c>
      <c r="P2732" t="str">
        <f t="shared" si="128"/>
        <v>Positive</v>
      </c>
    </row>
    <row r="2733" spans="1:16" x14ac:dyDescent="0.3">
      <c r="A2733" s="1">
        <v>46086</v>
      </c>
      <c r="B2733">
        <v>99.17</v>
      </c>
      <c r="C2733">
        <v>53403000</v>
      </c>
      <c r="D2733">
        <v>0.68</v>
      </c>
      <c r="E2733">
        <v>246</v>
      </c>
      <c r="F2733">
        <v>2.12</v>
      </c>
      <c r="G2733">
        <v>1.6E-2</v>
      </c>
      <c r="H2733">
        <v>0</v>
      </c>
      <c r="J2733">
        <v>1</v>
      </c>
      <c r="K2733">
        <f>YEAR(NetflixData[[#This Row],[date]])</f>
        <v>2026</v>
      </c>
      <c r="L2733" t="str">
        <f>TEXT(NetflixData[[#This Row],[date]],"mmm")</f>
        <v>Mar</v>
      </c>
      <c r="M2733" t="str">
        <f>TEXT(NetflixData[[#This Row],[date]],"mmm yyyy")</f>
        <v>Mar 2026</v>
      </c>
      <c r="N2733" t="str">
        <f t="shared" si="126"/>
        <v>Trading Day</v>
      </c>
      <c r="O2733" t="str">
        <f t="shared" si="127"/>
        <v>Positive</v>
      </c>
      <c r="P2733" t="str">
        <f t="shared" si="128"/>
        <v>Neutral</v>
      </c>
    </row>
    <row r="2734" spans="1:16" x14ac:dyDescent="0.3">
      <c r="A2734" s="1">
        <v>46087</v>
      </c>
      <c r="B2734">
        <v>99.02</v>
      </c>
      <c r="C2734">
        <v>41196300</v>
      </c>
      <c r="D2734">
        <v>-0.312</v>
      </c>
      <c r="E2734">
        <v>44</v>
      </c>
      <c r="F2734">
        <v>3.66</v>
      </c>
      <c r="G2734">
        <v>0.34710000000000002</v>
      </c>
      <c r="H2734">
        <v>0</v>
      </c>
      <c r="J2734">
        <v>1</v>
      </c>
      <c r="K2734">
        <f>YEAR(NetflixData[[#This Row],[date]])</f>
        <v>2026</v>
      </c>
      <c r="L2734" t="str">
        <f>TEXT(NetflixData[[#This Row],[date]],"mmm")</f>
        <v>Mar</v>
      </c>
      <c r="M2734" t="str">
        <f>TEXT(NetflixData[[#This Row],[date]],"mmm yyyy")</f>
        <v>Mar 2026</v>
      </c>
      <c r="N2734" t="str">
        <f t="shared" si="126"/>
        <v>Non-Trading Day</v>
      </c>
      <c r="O2734" t="str">
        <f t="shared" si="127"/>
        <v>Negative</v>
      </c>
      <c r="P2734" t="str">
        <f t="shared" si="128"/>
        <v>Positive</v>
      </c>
    </row>
    <row r="2735" spans="1:16" x14ac:dyDescent="0.3">
      <c r="A2735" s="1">
        <v>46088</v>
      </c>
      <c r="B2735">
        <v>99.02</v>
      </c>
      <c r="C2735">
        <v>0</v>
      </c>
      <c r="D2735">
        <v>0</v>
      </c>
      <c r="E2735">
        <v>39</v>
      </c>
      <c r="F2735">
        <v>3.21</v>
      </c>
      <c r="G2735">
        <v>0.16889999999999999</v>
      </c>
      <c r="H2735">
        <v>0</v>
      </c>
      <c r="J2735">
        <v>0</v>
      </c>
      <c r="K2735">
        <f>YEAR(NetflixData[[#This Row],[date]])</f>
        <v>2026</v>
      </c>
      <c r="L2735" t="str">
        <f>TEXT(NetflixData[[#This Row],[date]],"mmm")</f>
        <v>Mar</v>
      </c>
      <c r="M2735" t="str">
        <f>TEXT(NetflixData[[#This Row],[date]],"mmm yyyy")</f>
        <v>Mar 2026</v>
      </c>
      <c r="N2735" t="str">
        <f t="shared" si="126"/>
        <v>Non-Trading Day</v>
      </c>
      <c r="O2735" t="str">
        <f t="shared" si="127"/>
        <v>No Change</v>
      </c>
      <c r="P2735" t="str">
        <f t="shared" si="128"/>
        <v>Positive</v>
      </c>
    </row>
    <row r="2736" spans="1:16" x14ac:dyDescent="0.3">
      <c r="A2736" s="1">
        <v>46089</v>
      </c>
      <c r="B2736">
        <v>99.02</v>
      </c>
      <c r="C2736">
        <v>0</v>
      </c>
      <c r="D2736">
        <v>0</v>
      </c>
      <c r="E2736">
        <v>48</v>
      </c>
      <c r="F2736">
        <v>3.48</v>
      </c>
      <c r="G2736">
        <v>0.16600000000000001</v>
      </c>
      <c r="H2736">
        <v>0</v>
      </c>
      <c r="J2736">
        <v>0</v>
      </c>
      <c r="K2736">
        <f>YEAR(NetflixData[[#This Row],[date]])</f>
        <v>2026</v>
      </c>
      <c r="L2736" t="str">
        <f>TEXT(NetflixData[[#This Row],[date]],"mmm")</f>
        <v>Mar</v>
      </c>
      <c r="M2736" t="str">
        <f>TEXT(NetflixData[[#This Row],[date]],"mmm yyyy")</f>
        <v>Mar 2026</v>
      </c>
      <c r="N2736" t="str">
        <f t="shared" si="126"/>
        <v>Trading Day</v>
      </c>
      <c r="O2736" t="str">
        <f t="shared" si="127"/>
        <v>No Change</v>
      </c>
      <c r="P2736" t="str">
        <f t="shared" si="128"/>
        <v>Positive</v>
      </c>
    </row>
    <row r="2737" spans="1:16" x14ac:dyDescent="0.3">
      <c r="A2737" s="1">
        <v>46090</v>
      </c>
      <c r="B2737">
        <v>98.32</v>
      </c>
      <c r="C2737">
        <v>48589000</v>
      </c>
      <c r="D2737">
        <v>0.63500000000000001</v>
      </c>
      <c r="E2737">
        <v>32</v>
      </c>
      <c r="F2737">
        <v>2.84</v>
      </c>
      <c r="G2737">
        <v>6.2199999999999998E-2</v>
      </c>
      <c r="H2737">
        <v>0</v>
      </c>
      <c r="J2737">
        <v>1</v>
      </c>
      <c r="K2737">
        <f>YEAR(NetflixData[[#This Row],[date]])</f>
        <v>2026</v>
      </c>
      <c r="L2737" t="str">
        <f>TEXT(NetflixData[[#This Row],[date]],"mmm")</f>
        <v>Mar</v>
      </c>
      <c r="M2737" t="str">
        <f>TEXT(NetflixData[[#This Row],[date]],"mmm yyyy")</f>
        <v>Mar 2026</v>
      </c>
      <c r="N2737" t="str">
        <f t="shared" si="126"/>
        <v>Trading Day</v>
      </c>
      <c r="O2737" t="str">
        <f t="shared" si="127"/>
        <v>Positive</v>
      </c>
      <c r="P2737" t="str">
        <f t="shared" si="128"/>
        <v>Neutral</v>
      </c>
    </row>
    <row r="2738" spans="1:16" x14ac:dyDescent="0.3">
      <c r="A2738" s="1">
        <v>46091</v>
      </c>
      <c r="B2738">
        <v>96.94</v>
      </c>
      <c r="C2738">
        <v>41027200</v>
      </c>
      <c r="D2738">
        <v>-0.88900000000000001</v>
      </c>
      <c r="E2738">
        <v>38</v>
      </c>
      <c r="F2738">
        <v>3.32</v>
      </c>
      <c r="G2738">
        <v>0.22470000000000001</v>
      </c>
      <c r="H2738">
        <v>0</v>
      </c>
      <c r="J2738">
        <v>1</v>
      </c>
      <c r="K2738">
        <f>YEAR(NetflixData[[#This Row],[date]])</f>
        <v>2026</v>
      </c>
      <c r="L2738" t="str">
        <f>TEXT(NetflixData[[#This Row],[date]],"mmm")</f>
        <v>Mar</v>
      </c>
      <c r="M2738" t="str">
        <f>TEXT(NetflixData[[#This Row],[date]],"mmm yyyy")</f>
        <v>Mar 2026</v>
      </c>
      <c r="N2738" t="str">
        <f t="shared" si="126"/>
        <v>Trading Day</v>
      </c>
      <c r="O2738" t="str">
        <f t="shared" si="127"/>
        <v>Negative</v>
      </c>
      <c r="P2738" t="str">
        <f t="shared" si="128"/>
        <v>Positive</v>
      </c>
    </row>
    <row r="2739" spans="1:16" x14ac:dyDescent="0.3">
      <c r="A2739" s="1">
        <v>46092</v>
      </c>
      <c r="B2739">
        <v>94.89</v>
      </c>
      <c r="C2739">
        <v>33962900</v>
      </c>
      <c r="D2739">
        <v>-2.5870000000000002</v>
      </c>
      <c r="E2739">
        <v>46</v>
      </c>
      <c r="F2739">
        <v>2.89</v>
      </c>
      <c r="G2739">
        <v>0.15190000000000001</v>
      </c>
      <c r="H2739">
        <v>0</v>
      </c>
      <c r="J2739">
        <v>1</v>
      </c>
      <c r="K2739">
        <f>YEAR(NetflixData[[#This Row],[date]])</f>
        <v>2026</v>
      </c>
      <c r="L2739" t="str">
        <f>TEXT(NetflixData[[#This Row],[date]],"mmm")</f>
        <v>Mar</v>
      </c>
      <c r="M2739" t="str">
        <f>TEXT(NetflixData[[#This Row],[date]],"mmm yyyy")</f>
        <v>Mar 2026</v>
      </c>
      <c r="N2739" t="str">
        <f t="shared" si="126"/>
        <v>Trading Day</v>
      </c>
      <c r="O2739" t="str">
        <f t="shared" si="127"/>
        <v>Negative</v>
      </c>
      <c r="P2739" t="str">
        <f t="shared" si="128"/>
        <v>Positive</v>
      </c>
    </row>
    <row r="2740" spans="1:16" x14ac:dyDescent="0.3">
      <c r="A2740" s="1">
        <v>46093</v>
      </c>
      <c r="B2740">
        <v>94.31</v>
      </c>
      <c r="C2740">
        <v>34206900</v>
      </c>
      <c r="D2740">
        <v>-0.57999999999999996</v>
      </c>
      <c r="E2740">
        <v>47</v>
      </c>
      <c r="F2740">
        <v>3.51</v>
      </c>
      <c r="G2740">
        <v>0.2044</v>
      </c>
      <c r="H2740">
        <v>0</v>
      </c>
      <c r="J2740">
        <v>1</v>
      </c>
      <c r="K2740">
        <f>YEAR(NetflixData[[#This Row],[date]])</f>
        <v>2026</v>
      </c>
      <c r="L2740" t="str">
        <f>TEXT(NetflixData[[#This Row],[date]],"mmm")</f>
        <v>Mar</v>
      </c>
      <c r="M2740" t="str">
        <f>TEXT(NetflixData[[#This Row],[date]],"mmm yyyy")</f>
        <v>Mar 2026</v>
      </c>
      <c r="N2740" t="str">
        <f t="shared" si="126"/>
        <v>Trading Day</v>
      </c>
      <c r="O2740" t="str">
        <f t="shared" si="127"/>
        <v>Negative</v>
      </c>
      <c r="P2740" t="str">
        <f t="shared" si="128"/>
        <v>Positive</v>
      </c>
    </row>
    <row r="2741" spans="1:16" x14ac:dyDescent="0.3">
      <c r="A2741" s="1">
        <v>46094</v>
      </c>
      <c r="B2741">
        <v>95.31</v>
      </c>
      <c r="C2741">
        <v>29876700</v>
      </c>
      <c r="D2741">
        <v>0.70799999999999996</v>
      </c>
      <c r="E2741">
        <v>35</v>
      </c>
      <c r="F2741">
        <v>2.91</v>
      </c>
      <c r="G2741">
        <v>0.13400000000000001</v>
      </c>
      <c r="H2741">
        <v>0</v>
      </c>
      <c r="J2741">
        <v>1</v>
      </c>
      <c r="K2741">
        <f>YEAR(NetflixData[[#This Row],[date]])</f>
        <v>2026</v>
      </c>
      <c r="L2741" t="str">
        <f>TEXT(NetflixData[[#This Row],[date]],"mmm")</f>
        <v>Mar</v>
      </c>
      <c r="M2741" t="str">
        <f>TEXT(NetflixData[[#This Row],[date]],"mmm yyyy")</f>
        <v>Mar 2026</v>
      </c>
      <c r="N2741" t="str">
        <f t="shared" si="126"/>
        <v>Non-Trading Day</v>
      </c>
      <c r="O2741" t="str">
        <f t="shared" si="127"/>
        <v>Positive</v>
      </c>
      <c r="P2741" t="str">
        <f t="shared" si="128"/>
        <v>Positive</v>
      </c>
    </row>
    <row r="2742" spans="1:16" x14ac:dyDescent="0.3">
      <c r="A2742" s="1">
        <v>46095</v>
      </c>
      <c r="B2742">
        <v>95.31</v>
      </c>
      <c r="C2742">
        <v>0</v>
      </c>
      <c r="D2742">
        <v>0</v>
      </c>
      <c r="E2742">
        <v>47</v>
      </c>
      <c r="F2742">
        <v>3.4</v>
      </c>
      <c r="G2742">
        <v>0.24640000000000001</v>
      </c>
      <c r="H2742">
        <v>0</v>
      </c>
      <c r="J2742">
        <v>0</v>
      </c>
      <c r="K2742">
        <f>YEAR(NetflixData[[#This Row],[date]])</f>
        <v>2026</v>
      </c>
      <c r="L2742" t="str">
        <f>TEXT(NetflixData[[#This Row],[date]],"mmm")</f>
        <v>Mar</v>
      </c>
      <c r="M2742" t="str">
        <f>TEXT(NetflixData[[#This Row],[date]],"mmm yyyy")</f>
        <v>Mar 2026</v>
      </c>
      <c r="N2742" t="str">
        <f t="shared" si="126"/>
        <v>Non-Trading Day</v>
      </c>
      <c r="O2742" t="str">
        <f t="shared" si="127"/>
        <v>No Change</v>
      </c>
      <c r="P2742" t="str">
        <f t="shared" si="128"/>
        <v>Positive</v>
      </c>
    </row>
    <row r="2743" spans="1:16" x14ac:dyDescent="0.3">
      <c r="A2743" s="1">
        <v>46096</v>
      </c>
      <c r="B2743">
        <v>95.31</v>
      </c>
      <c r="C2743">
        <v>0</v>
      </c>
      <c r="D2743">
        <v>0</v>
      </c>
      <c r="E2743">
        <v>52</v>
      </c>
      <c r="F2743">
        <v>3.31</v>
      </c>
      <c r="G2743">
        <v>0.188</v>
      </c>
      <c r="H2743">
        <v>0</v>
      </c>
      <c r="J2743">
        <v>0</v>
      </c>
      <c r="K2743">
        <f>YEAR(NetflixData[[#This Row],[date]])</f>
        <v>2026</v>
      </c>
      <c r="L2743" t="str">
        <f>TEXT(NetflixData[[#This Row],[date]],"mmm")</f>
        <v>Mar</v>
      </c>
      <c r="M2743" t="str">
        <f>TEXT(NetflixData[[#This Row],[date]],"mmm yyyy")</f>
        <v>Mar 2026</v>
      </c>
      <c r="N2743" t="str">
        <f t="shared" si="126"/>
        <v>Trading Day</v>
      </c>
      <c r="O2743" t="str">
        <f t="shared" si="127"/>
        <v>No Change</v>
      </c>
      <c r="P2743" t="str">
        <f t="shared" si="128"/>
        <v>Positive</v>
      </c>
    </row>
    <row r="2744" spans="1:16" x14ac:dyDescent="0.3">
      <c r="A2744" s="1">
        <v>46097</v>
      </c>
      <c r="B2744">
        <v>95.2</v>
      </c>
      <c r="C2744">
        <v>34931800</v>
      </c>
      <c r="D2744">
        <v>-0.39800000000000002</v>
      </c>
      <c r="E2744">
        <v>32</v>
      </c>
      <c r="F2744">
        <v>3.06</v>
      </c>
      <c r="G2744">
        <v>0.19550000000000001</v>
      </c>
      <c r="H2744">
        <v>0</v>
      </c>
      <c r="J2744">
        <v>1</v>
      </c>
      <c r="K2744">
        <f>YEAR(NetflixData[[#This Row],[date]])</f>
        <v>2026</v>
      </c>
      <c r="L2744" t="str">
        <f>TEXT(NetflixData[[#This Row],[date]],"mmm")</f>
        <v>Mar</v>
      </c>
      <c r="M2744" t="str">
        <f>TEXT(NetflixData[[#This Row],[date]],"mmm yyyy")</f>
        <v>Mar 2026</v>
      </c>
      <c r="N2744" t="str">
        <f t="shared" si="126"/>
        <v>Trading Day</v>
      </c>
      <c r="O2744" t="str">
        <f t="shared" si="127"/>
        <v>Negative</v>
      </c>
      <c r="P2744" t="str">
        <f t="shared" si="128"/>
        <v>Positive</v>
      </c>
    </row>
    <row r="2745" spans="1:16" x14ac:dyDescent="0.3">
      <c r="A2745" s="1">
        <v>46098</v>
      </c>
      <c r="B2745">
        <v>94.36</v>
      </c>
      <c r="C2745">
        <v>26434500</v>
      </c>
      <c r="D2745">
        <v>-0.98599999999999999</v>
      </c>
      <c r="E2745">
        <v>61</v>
      </c>
      <c r="F2745">
        <v>3.13</v>
      </c>
      <c r="G2745">
        <v>0.1968</v>
      </c>
      <c r="H2745">
        <v>0</v>
      </c>
      <c r="J2745">
        <v>1</v>
      </c>
      <c r="K2745">
        <f>YEAR(NetflixData[[#This Row],[date]])</f>
        <v>2026</v>
      </c>
      <c r="L2745" t="str">
        <f>TEXT(NetflixData[[#This Row],[date]],"mmm")</f>
        <v>Mar</v>
      </c>
      <c r="M2745" t="str">
        <f>TEXT(NetflixData[[#This Row],[date]],"mmm yyyy")</f>
        <v>Mar 2026</v>
      </c>
      <c r="N2745" t="str">
        <f t="shared" si="126"/>
        <v>Trading Day</v>
      </c>
      <c r="O2745" t="str">
        <f t="shared" si="127"/>
        <v>Negative</v>
      </c>
      <c r="P2745" t="str">
        <f t="shared" si="128"/>
        <v>Positive</v>
      </c>
    </row>
    <row r="2746" spans="1:16" x14ac:dyDescent="0.3">
      <c r="A2746" s="1">
        <v>46099</v>
      </c>
      <c r="B2746">
        <v>94.7</v>
      </c>
      <c r="C2746">
        <v>27878300</v>
      </c>
      <c r="D2746">
        <v>0.26500000000000001</v>
      </c>
      <c r="E2746">
        <v>41</v>
      </c>
      <c r="F2746">
        <v>3.05</v>
      </c>
      <c r="G2746">
        <v>0.1578</v>
      </c>
      <c r="H2746">
        <v>0</v>
      </c>
      <c r="J2746">
        <v>1</v>
      </c>
      <c r="K2746">
        <f>YEAR(NetflixData[[#This Row],[date]])</f>
        <v>2026</v>
      </c>
      <c r="L2746" t="str">
        <f>TEXT(NetflixData[[#This Row],[date]],"mmm")</f>
        <v>Mar</v>
      </c>
      <c r="M2746" t="str">
        <f>TEXT(NetflixData[[#This Row],[date]],"mmm yyyy")</f>
        <v>Mar 2026</v>
      </c>
      <c r="N2746" t="str">
        <f t="shared" si="126"/>
        <v>Trading Day</v>
      </c>
      <c r="O2746" t="str">
        <f t="shared" si="127"/>
        <v>Positive</v>
      </c>
      <c r="P2746" t="str">
        <f t="shared" si="128"/>
        <v>Positive</v>
      </c>
    </row>
    <row r="2747" spans="1:16" x14ac:dyDescent="0.3">
      <c r="A2747" s="1">
        <v>46100</v>
      </c>
      <c r="B2747">
        <v>91.74</v>
      </c>
      <c r="C2747">
        <v>40169300</v>
      </c>
      <c r="D2747">
        <v>-2.7250000000000001</v>
      </c>
      <c r="E2747">
        <v>48</v>
      </c>
      <c r="F2747">
        <v>2.77</v>
      </c>
      <c r="G2747">
        <v>0.1022</v>
      </c>
      <c r="H2747">
        <v>0</v>
      </c>
      <c r="J2747">
        <v>1</v>
      </c>
      <c r="K2747">
        <f>YEAR(NetflixData[[#This Row],[date]])</f>
        <v>2026</v>
      </c>
      <c r="L2747" t="str">
        <f>TEXT(NetflixData[[#This Row],[date]],"mmm")</f>
        <v>Mar</v>
      </c>
      <c r="M2747" t="str">
        <f>TEXT(NetflixData[[#This Row],[date]],"mmm yyyy")</f>
        <v>Mar 2026</v>
      </c>
      <c r="N2747" t="str">
        <f t="shared" si="126"/>
        <v>Trading Day</v>
      </c>
      <c r="O2747" t="str">
        <f t="shared" si="127"/>
        <v>Negative</v>
      </c>
      <c r="P2747" t="str">
        <f t="shared" si="128"/>
        <v>Positive</v>
      </c>
    </row>
    <row r="2748" spans="1:16" x14ac:dyDescent="0.3">
      <c r="A2748" s="1">
        <v>46101</v>
      </c>
      <c r="B2748">
        <v>91.82</v>
      </c>
      <c r="C2748">
        <v>61678000</v>
      </c>
      <c r="D2748">
        <v>0.55900000000000005</v>
      </c>
      <c r="E2748">
        <v>48</v>
      </c>
      <c r="F2748">
        <v>3.65</v>
      </c>
      <c r="G2748">
        <v>0.30630000000000002</v>
      </c>
      <c r="H2748">
        <v>0</v>
      </c>
      <c r="J2748">
        <v>1</v>
      </c>
      <c r="K2748">
        <f>YEAR(NetflixData[[#This Row],[date]])</f>
        <v>2026</v>
      </c>
      <c r="L2748" t="str">
        <f>TEXT(NetflixData[[#This Row],[date]],"mmm")</f>
        <v>Mar</v>
      </c>
      <c r="M2748" t="str">
        <f>TEXT(NetflixData[[#This Row],[date]],"mmm yyyy")</f>
        <v>Mar 2026</v>
      </c>
      <c r="N2748" t="str">
        <f t="shared" si="126"/>
        <v>Non-Trading Day</v>
      </c>
      <c r="O2748" t="str">
        <f t="shared" si="127"/>
        <v>Positive</v>
      </c>
      <c r="P2748" t="str">
        <f t="shared" si="128"/>
        <v>Positive</v>
      </c>
    </row>
    <row r="2749" spans="1:16" x14ac:dyDescent="0.3">
      <c r="A2749" s="1">
        <v>46102</v>
      </c>
      <c r="B2749">
        <v>91.82</v>
      </c>
      <c r="C2749">
        <v>0</v>
      </c>
      <c r="D2749">
        <v>0</v>
      </c>
      <c r="E2749">
        <v>59</v>
      </c>
      <c r="F2749">
        <v>2.92</v>
      </c>
      <c r="G2749">
        <v>6.4399999999999999E-2</v>
      </c>
      <c r="H2749">
        <v>0</v>
      </c>
      <c r="J2749">
        <v>0</v>
      </c>
      <c r="K2749">
        <f>YEAR(NetflixData[[#This Row],[date]])</f>
        <v>2026</v>
      </c>
      <c r="L2749" t="str">
        <f>TEXT(NetflixData[[#This Row],[date]],"mmm")</f>
        <v>Mar</v>
      </c>
      <c r="M2749" t="str">
        <f>TEXT(NetflixData[[#This Row],[date]],"mmm yyyy")</f>
        <v>Mar 2026</v>
      </c>
      <c r="N2749" t="str">
        <f t="shared" si="126"/>
        <v>Non-Trading Day</v>
      </c>
      <c r="O2749" t="str">
        <f t="shared" si="127"/>
        <v>No Change</v>
      </c>
      <c r="P2749" t="str">
        <f t="shared" si="128"/>
        <v>Neutral</v>
      </c>
    </row>
    <row r="2750" spans="1:16" x14ac:dyDescent="0.3">
      <c r="A2750" s="1">
        <v>46103</v>
      </c>
      <c r="B2750">
        <v>91.82</v>
      </c>
      <c r="C2750">
        <v>0</v>
      </c>
      <c r="D2750">
        <v>0</v>
      </c>
      <c r="E2750">
        <v>53</v>
      </c>
      <c r="F2750">
        <v>3.51</v>
      </c>
      <c r="G2750">
        <v>0.2059</v>
      </c>
      <c r="H2750">
        <v>0</v>
      </c>
      <c r="J2750">
        <v>0</v>
      </c>
      <c r="K2750">
        <f>YEAR(NetflixData[[#This Row],[date]])</f>
        <v>2026</v>
      </c>
      <c r="L2750" t="str">
        <f>TEXT(NetflixData[[#This Row],[date]],"mmm")</f>
        <v>Mar</v>
      </c>
      <c r="M2750" t="str">
        <f>TEXT(NetflixData[[#This Row],[date]],"mmm yyyy")</f>
        <v>Mar 2026</v>
      </c>
      <c r="N2750" t="str">
        <f t="shared" si="126"/>
        <v>Trading Day</v>
      </c>
      <c r="O2750" t="str">
        <f t="shared" si="127"/>
        <v>No Change</v>
      </c>
      <c r="P2750" t="str">
        <f t="shared" si="128"/>
        <v>Positive</v>
      </c>
    </row>
    <row r="2751" spans="1:16" x14ac:dyDescent="0.3">
      <c r="A2751" s="1">
        <v>46104</v>
      </c>
      <c r="B2751">
        <v>93.38</v>
      </c>
      <c r="C2751">
        <v>34315900</v>
      </c>
      <c r="D2751">
        <v>1.456</v>
      </c>
      <c r="E2751">
        <v>30</v>
      </c>
      <c r="F2751">
        <v>3.6</v>
      </c>
      <c r="G2751">
        <v>0.2515</v>
      </c>
      <c r="H2751">
        <v>0</v>
      </c>
      <c r="J2751">
        <v>1</v>
      </c>
      <c r="K2751">
        <f>YEAR(NetflixData[[#This Row],[date]])</f>
        <v>2026</v>
      </c>
      <c r="L2751" t="str">
        <f>TEXT(NetflixData[[#This Row],[date]],"mmm")</f>
        <v>Mar</v>
      </c>
      <c r="M2751" t="str">
        <f>TEXT(NetflixData[[#This Row],[date]],"mmm yyyy")</f>
        <v>Mar 2026</v>
      </c>
      <c r="N2751" t="str">
        <f t="shared" si="126"/>
        <v>Trading Day</v>
      </c>
      <c r="O2751" t="str">
        <f t="shared" si="127"/>
        <v>Positive</v>
      </c>
      <c r="P2751" t="str">
        <f t="shared" si="128"/>
        <v>Positive</v>
      </c>
    </row>
    <row r="2752" spans="1:16" x14ac:dyDescent="0.3">
      <c r="A2752" s="1">
        <v>46105</v>
      </c>
      <c r="B2752">
        <v>90.92</v>
      </c>
      <c r="C2752">
        <v>28938000</v>
      </c>
      <c r="D2752">
        <v>-2.0150000000000001</v>
      </c>
      <c r="E2752">
        <v>57</v>
      </c>
      <c r="F2752">
        <v>2.84</v>
      </c>
      <c r="G2752">
        <v>9.3899999999999997E-2</v>
      </c>
      <c r="H2752">
        <v>0</v>
      </c>
      <c r="J2752">
        <v>1</v>
      </c>
      <c r="K2752">
        <f>YEAR(NetflixData[[#This Row],[date]])</f>
        <v>2026</v>
      </c>
      <c r="L2752" t="str">
        <f>TEXT(NetflixData[[#This Row],[date]],"mmm")</f>
        <v>Mar</v>
      </c>
      <c r="M2752" t="str">
        <f>TEXT(NetflixData[[#This Row],[date]],"mmm yyyy")</f>
        <v>Mar 2026</v>
      </c>
      <c r="N2752" t="str">
        <f t="shared" si="126"/>
        <v>Trading Day</v>
      </c>
      <c r="O2752" t="str">
        <f t="shared" si="127"/>
        <v>Negative</v>
      </c>
      <c r="P2752" t="str">
        <f t="shared" si="128"/>
        <v>Neutral</v>
      </c>
    </row>
    <row r="2753" spans="1:16" x14ac:dyDescent="0.3">
      <c r="A2753" s="1">
        <v>46106</v>
      </c>
      <c r="B2753">
        <v>92.28</v>
      </c>
      <c r="C2753">
        <v>29545600</v>
      </c>
      <c r="D2753">
        <v>0.622</v>
      </c>
      <c r="E2753">
        <v>41</v>
      </c>
      <c r="F2753">
        <v>3.27</v>
      </c>
      <c r="G2753">
        <v>0.27829999999999999</v>
      </c>
      <c r="H2753">
        <v>0</v>
      </c>
      <c r="J2753">
        <v>1</v>
      </c>
      <c r="K2753">
        <f>YEAR(NetflixData[[#This Row],[date]])</f>
        <v>2026</v>
      </c>
      <c r="L2753" t="str">
        <f>TEXT(NetflixData[[#This Row],[date]],"mmm")</f>
        <v>Mar</v>
      </c>
      <c r="M2753" t="str">
        <f>TEXT(NetflixData[[#This Row],[date]],"mmm yyyy")</f>
        <v>Mar 2026</v>
      </c>
      <c r="N2753" t="str">
        <f t="shared" si="126"/>
        <v>Trading Day</v>
      </c>
      <c r="O2753" t="str">
        <f t="shared" si="127"/>
        <v>Positive</v>
      </c>
      <c r="P2753" t="str">
        <f t="shared" si="128"/>
        <v>Positive</v>
      </c>
    </row>
    <row r="2754" spans="1:16" x14ac:dyDescent="0.3">
      <c r="A2754" s="1">
        <v>46107</v>
      </c>
      <c r="B2754">
        <v>93.32</v>
      </c>
      <c r="C2754">
        <v>59522000</v>
      </c>
      <c r="D2754">
        <v>1.9670000000000001</v>
      </c>
      <c r="E2754">
        <v>18</v>
      </c>
      <c r="F2754">
        <v>2.89</v>
      </c>
      <c r="G2754">
        <v>0.1978</v>
      </c>
      <c r="H2754">
        <v>0</v>
      </c>
      <c r="J2754">
        <v>1</v>
      </c>
      <c r="K2754">
        <f>YEAR(NetflixData[[#This Row],[date]])</f>
        <v>2026</v>
      </c>
      <c r="L2754" t="str">
        <f>TEXT(NetflixData[[#This Row],[date]],"mmm")</f>
        <v>Mar</v>
      </c>
      <c r="M2754" t="str">
        <f>TEXT(NetflixData[[#This Row],[date]],"mmm yyyy")</f>
        <v>Mar 2026</v>
      </c>
      <c r="N2754" t="str">
        <f t="shared" ref="N2754:N2781" si="129">IF(J2755=1,"Trading Day","Non-Trading Day")</f>
        <v>Trading Day</v>
      </c>
      <c r="O2754" t="str">
        <f t="shared" ref="O2754:O2781" si="130">IF(D2754&gt;0,"Positive",IF(D2754&lt;0,"Negative","No Change"))</f>
        <v>Positive</v>
      </c>
      <c r="P2754" t="str">
        <f t="shared" ref="P2754:P2781" si="131">IF(G2754&gt;0.1,"Positive",IF(G2754&lt;-0.1,"Negative","Neutral"))</f>
        <v>Positive</v>
      </c>
    </row>
    <row r="2755" spans="1:16" x14ac:dyDescent="0.3">
      <c r="A2755" s="1">
        <v>46108</v>
      </c>
      <c r="B2755">
        <v>93.43</v>
      </c>
      <c r="C2755">
        <v>44590700</v>
      </c>
      <c r="D2755">
        <v>-1.2050000000000001</v>
      </c>
      <c r="E2755">
        <v>28</v>
      </c>
      <c r="F2755">
        <v>2.82</v>
      </c>
      <c r="G2755">
        <v>0.1009</v>
      </c>
      <c r="H2755">
        <v>0</v>
      </c>
      <c r="J2755">
        <v>1</v>
      </c>
      <c r="K2755">
        <f>YEAR(NetflixData[[#This Row],[date]])</f>
        <v>2026</v>
      </c>
      <c r="L2755" t="str">
        <f>TEXT(NetflixData[[#This Row],[date]],"mmm")</f>
        <v>Mar</v>
      </c>
      <c r="M2755" t="str">
        <f>TEXT(NetflixData[[#This Row],[date]],"mmm yyyy")</f>
        <v>Mar 2026</v>
      </c>
      <c r="N2755" t="str">
        <f t="shared" si="129"/>
        <v>Non-Trading Day</v>
      </c>
      <c r="O2755" t="str">
        <f t="shared" si="130"/>
        <v>Negative</v>
      </c>
      <c r="P2755" t="str">
        <f t="shared" si="131"/>
        <v>Positive</v>
      </c>
    </row>
    <row r="2756" spans="1:16" x14ac:dyDescent="0.3">
      <c r="A2756" s="1">
        <v>46109</v>
      </c>
      <c r="B2756">
        <v>93.43</v>
      </c>
      <c r="C2756">
        <v>0</v>
      </c>
      <c r="D2756">
        <v>0</v>
      </c>
      <c r="E2756">
        <v>2</v>
      </c>
      <c r="F2756">
        <v>1.5</v>
      </c>
      <c r="G2756">
        <v>-0.32340000000000002</v>
      </c>
      <c r="H2756">
        <v>0</v>
      </c>
      <c r="J2756">
        <v>0</v>
      </c>
      <c r="K2756">
        <f>YEAR(NetflixData[[#This Row],[date]])</f>
        <v>2026</v>
      </c>
      <c r="L2756" t="str">
        <f>TEXT(NetflixData[[#This Row],[date]],"mmm")</f>
        <v>Mar</v>
      </c>
      <c r="M2756" t="str">
        <f>TEXT(NetflixData[[#This Row],[date]],"mmm yyyy")</f>
        <v>Mar 2026</v>
      </c>
      <c r="N2756" t="str">
        <f t="shared" si="129"/>
        <v>Non-Trading Day</v>
      </c>
      <c r="O2756" t="str">
        <f t="shared" si="130"/>
        <v>No Change</v>
      </c>
      <c r="P2756" t="str">
        <f t="shared" si="131"/>
        <v>Negative</v>
      </c>
    </row>
    <row r="2757" spans="1:16" x14ac:dyDescent="0.3">
      <c r="A2757" s="1">
        <v>46110</v>
      </c>
      <c r="B2757">
        <v>93.43</v>
      </c>
      <c r="C2757">
        <v>0</v>
      </c>
      <c r="D2757">
        <v>0</v>
      </c>
      <c r="E2757">
        <v>0</v>
      </c>
      <c r="H2757">
        <v>0</v>
      </c>
      <c r="J2757">
        <v>0</v>
      </c>
      <c r="K2757">
        <f>YEAR(NetflixData[[#This Row],[date]])</f>
        <v>2026</v>
      </c>
      <c r="L2757" t="str">
        <f>TEXT(NetflixData[[#This Row],[date]],"mmm")</f>
        <v>Mar</v>
      </c>
      <c r="M2757" t="str">
        <f>TEXT(NetflixData[[#This Row],[date]],"mmm yyyy")</f>
        <v>Mar 2026</v>
      </c>
      <c r="N2757" t="str">
        <f t="shared" si="129"/>
        <v>Trading Day</v>
      </c>
      <c r="O2757" t="str">
        <f t="shared" si="130"/>
        <v>No Change</v>
      </c>
      <c r="P2757" t="str">
        <f t="shared" si="131"/>
        <v>Neutral</v>
      </c>
    </row>
    <row r="2758" spans="1:16" x14ac:dyDescent="0.3">
      <c r="A2758" s="1">
        <v>46111</v>
      </c>
      <c r="B2758">
        <v>92.97</v>
      </c>
      <c r="C2758">
        <v>32375100</v>
      </c>
      <c r="D2758">
        <v>0.23699999999999999</v>
      </c>
      <c r="E2758">
        <v>145</v>
      </c>
      <c r="F2758">
        <v>1.47</v>
      </c>
      <c r="G2758">
        <v>-9.7199999999999995E-2</v>
      </c>
      <c r="H2758">
        <v>0</v>
      </c>
      <c r="J2758">
        <v>1</v>
      </c>
      <c r="K2758">
        <f>YEAR(NetflixData[[#This Row],[date]])</f>
        <v>2026</v>
      </c>
      <c r="L2758" t="str">
        <f>TEXT(NetflixData[[#This Row],[date]],"mmm")</f>
        <v>Mar</v>
      </c>
      <c r="M2758" t="str">
        <f>TEXT(NetflixData[[#This Row],[date]],"mmm yyyy")</f>
        <v>Mar 2026</v>
      </c>
      <c r="N2758" t="str">
        <f t="shared" si="129"/>
        <v>Trading Day</v>
      </c>
      <c r="O2758" t="str">
        <f t="shared" si="130"/>
        <v>Positive</v>
      </c>
      <c r="P2758" t="str">
        <f t="shared" si="131"/>
        <v>Neutral</v>
      </c>
    </row>
    <row r="2759" spans="1:16" x14ac:dyDescent="0.3">
      <c r="A2759" s="1">
        <v>46112</v>
      </c>
      <c r="B2759">
        <v>96.15</v>
      </c>
      <c r="C2759">
        <v>54270000</v>
      </c>
      <c r="D2759">
        <v>3.3540000000000001</v>
      </c>
      <c r="E2759">
        <v>216</v>
      </c>
      <c r="F2759">
        <v>1.36</v>
      </c>
      <c r="G2759">
        <v>-7.6300000000000007E-2</v>
      </c>
      <c r="H2759">
        <v>0</v>
      </c>
      <c r="J2759">
        <v>1</v>
      </c>
      <c r="K2759">
        <f>YEAR(NetflixData[[#This Row],[date]])</f>
        <v>2026</v>
      </c>
      <c r="L2759" t="str">
        <f>TEXT(NetflixData[[#This Row],[date]],"mmm")</f>
        <v>Mar</v>
      </c>
      <c r="M2759" t="str">
        <f>TEXT(NetflixData[[#This Row],[date]],"mmm yyyy")</f>
        <v>Mar 2026</v>
      </c>
      <c r="N2759" t="str">
        <f t="shared" si="129"/>
        <v>Trading Day</v>
      </c>
      <c r="O2759" t="str">
        <f t="shared" si="130"/>
        <v>Positive</v>
      </c>
      <c r="P2759" t="str">
        <f t="shared" si="131"/>
        <v>Neutral</v>
      </c>
    </row>
    <row r="2760" spans="1:16" x14ac:dyDescent="0.3">
      <c r="A2760" s="1">
        <v>46113</v>
      </c>
      <c r="B2760">
        <v>95.55</v>
      </c>
      <c r="C2760">
        <v>30439300</v>
      </c>
      <c r="D2760">
        <v>-0.95399999999999996</v>
      </c>
      <c r="E2760">
        <v>95</v>
      </c>
      <c r="F2760">
        <v>1.94</v>
      </c>
      <c r="G2760">
        <v>2.9100000000000001E-2</v>
      </c>
      <c r="H2760">
        <v>0</v>
      </c>
      <c r="J2760">
        <v>1</v>
      </c>
      <c r="K2760">
        <f>YEAR(NetflixData[[#This Row],[date]])</f>
        <v>2026</v>
      </c>
      <c r="L2760" t="str">
        <f>TEXT(NetflixData[[#This Row],[date]],"mmm")</f>
        <v>Apr</v>
      </c>
      <c r="M2760" t="str">
        <f>TEXT(NetflixData[[#This Row],[date]],"mmm yyyy")</f>
        <v>Apr 2026</v>
      </c>
      <c r="N2760" t="str">
        <f t="shared" si="129"/>
        <v>Trading Day</v>
      </c>
      <c r="O2760" t="str">
        <f t="shared" si="130"/>
        <v>Negative</v>
      </c>
      <c r="P2760" t="str">
        <f t="shared" si="131"/>
        <v>Neutral</v>
      </c>
    </row>
    <row r="2761" spans="1:16" x14ac:dyDescent="0.3">
      <c r="A2761" s="1">
        <v>46114</v>
      </c>
      <c r="B2761">
        <v>98.66</v>
      </c>
      <c r="C2761">
        <v>37068000</v>
      </c>
      <c r="D2761">
        <v>3.5579999999999998</v>
      </c>
      <c r="E2761">
        <v>86</v>
      </c>
      <c r="F2761">
        <v>2.19</v>
      </c>
      <c r="G2761">
        <v>2.1399999999999999E-2</v>
      </c>
      <c r="H2761">
        <v>0</v>
      </c>
      <c r="J2761">
        <v>1</v>
      </c>
      <c r="K2761">
        <f>YEAR(NetflixData[[#This Row],[date]])</f>
        <v>2026</v>
      </c>
      <c r="L2761" t="str">
        <f>TEXT(NetflixData[[#This Row],[date]],"mmm")</f>
        <v>Apr</v>
      </c>
      <c r="M2761" t="str">
        <f>TEXT(NetflixData[[#This Row],[date]],"mmm yyyy")</f>
        <v>Apr 2026</v>
      </c>
      <c r="N2761" t="str">
        <f t="shared" si="129"/>
        <v>Non-Trading Day</v>
      </c>
      <c r="O2761" t="str">
        <f t="shared" si="130"/>
        <v>Positive</v>
      </c>
      <c r="P2761" t="str">
        <f t="shared" si="131"/>
        <v>Neutral</v>
      </c>
    </row>
    <row r="2762" spans="1:16" x14ac:dyDescent="0.3">
      <c r="A2762" s="1">
        <v>46115</v>
      </c>
      <c r="B2762">
        <v>98.66</v>
      </c>
      <c r="C2762">
        <v>0</v>
      </c>
      <c r="D2762">
        <v>0</v>
      </c>
      <c r="E2762">
        <v>85</v>
      </c>
      <c r="F2762">
        <v>2.61</v>
      </c>
      <c r="G2762">
        <v>0.1636</v>
      </c>
      <c r="H2762">
        <v>0</v>
      </c>
      <c r="J2762">
        <v>0</v>
      </c>
      <c r="K2762">
        <f>YEAR(NetflixData[[#This Row],[date]])</f>
        <v>2026</v>
      </c>
      <c r="L2762" t="str">
        <f>TEXT(NetflixData[[#This Row],[date]],"mmm")</f>
        <v>Apr</v>
      </c>
      <c r="M2762" t="str">
        <f>TEXT(NetflixData[[#This Row],[date]],"mmm yyyy")</f>
        <v>Apr 2026</v>
      </c>
      <c r="N2762" t="str">
        <f t="shared" si="129"/>
        <v>Non-Trading Day</v>
      </c>
      <c r="O2762" t="str">
        <f t="shared" si="130"/>
        <v>No Change</v>
      </c>
      <c r="P2762" t="str">
        <f t="shared" si="131"/>
        <v>Positive</v>
      </c>
    </row>
    <row r="2763" spans="1:16" x14ac:dyDescent="0.3">
      <c r="A2763" s="1">
        <v>46116</v>
      </c>
      <c r="B2763">
        <v>98.66</v>
      </c>
      <c r="C2763">
        <v>0</v>
      </c>
      <c r="D2763">
        <v>0</v>
      </c>
      <c r="E2763">
        <v>61</v>
      </c>
      <c r="F2763">
        <v>2.84</v>
      </c>
      <c r="G2763">
        <v>0.16089999999999999</v>
      </c>
      <c r="H2763">
        <v>0</v>
      </c>
      <c r="J2763">
        <v>0</v>
      </c>
      <c r="K2763">
        <f>YEAR(NetflixData[[#This Row],[date]])</f>
        <v>2026</v>
      </c>
      <c r="L2763" t="str">
        <f>TEXT(NetflixData[[#This Row],[date]],"mmm")</f>
        <v>Apr</v>
      </c>
      <c r="M2763" t="str">
        <f>TEXT(NetflixData[[#This Row],[date]],"mmm yyyy")</f>
        <v>Apr 2026</v>
      </c>
      <c r="N2763" t="str">
        <f t="shared" si="129"/>
        <v>Non-Trading Day</v>
      </c>
      <c r="O2763" t="str">
        <f t="shared" si="130"/>
        <v>No Change</v>
      </c>
      <c r="P2763" t="str">
        <f t="shared" si="131"/>
        <v>Positive</v>
      </c>
    </row>
    <row r="2764" spans="1:16" x14ac:dyDescent="0.3">
      <c r="A2764" s="1">
        <v>46117</v>
      </c>
      <c r="B2764">
        <v>98.66</v>
      </c>
      <c r="C2764">
        <v>0</v>
      </c>
      <c r="D2764">
        <v>0</v>
      </c>
      <c r="E2764">
        <v>62</v>
      </c>
      <c r="F2764">
        <v>2.79</v>
      </c>
      <c r="G2764">
        <v>0.1545</v>
      </c>
      <c r="H2764">
        <v>0</v>
      </c>
      <c r="J2764">
        <v>0</v>
      </c>
      <c r="K2764">
        <f>YEAR(NetflixData[[#This Row],[date]])</f>
        <v>2026</v>
      </c>
      <c r="L2764" t="str">
        <f>TEXT(NetflixData[[#This Row],[date]],"mmm")</f>
        <v>Apr</v>
      </c>
      <c r="M2764" t="str">
        <f>TEXT(NetflixData[[#This Row],[date]],"mmm yyyy")</f>
        <v>Apr 2026</v>
      </c>
      <c r="N2764" t="str">
        <f t="shared" si="129"/>
        <v>Trading Day</v>
      </c>
      <c r="O2764" t="str">
        <f t="shared" si="130"/>
        <v>No Change</v>
      </c>
      <c r="P2764" t="str">
        <f t="shared" si="131"/>
        <v>Positive</v>
      </c>
    </row>
    <row r="2765" spans="1:16" x14ac:dyDescent="0.3">
      <c r="A2765" s="1">
        <v>46118</v>
      </c>
      <c r="B2765">
        <v>98.93</v>
      </c>
      <c r="C2765">
        <v>37029300</v>
      </c>
      <c r="D2765">
        <v>-2.0110000000000001</v>
      </c>
      <c r="E2765">
        <v>55</v>
      </c>
      <c r="F2765">
        <v>2.98</v>
      </c>
      <c r="G2765">
        <v>0.1474</v>
      </c>
      <c r="H2765">
        <v>0</v>
      </c>
      <c r="J2765">
        <v>1</v>
      </c>
      <c r="K2765">
        <f>YEAR(NetflixData[[#This Row],[date]])</f>
        <v>2026</v>
      </c>
      <c r="L2765" t="str">
        <f>TEXT(NetflixData[[#This Row],[date]],"mmm")</f>
        <v>Apr</v>
      </c>
      <c r="M2765" t="str">
        <f>TEXT(NetflixData[[#This Row],[date]],"mmm yyyy")</f>
        <v>Apr 2026</v>
      </c>
      <c r="N2765" t="str">
        <f t="shared" si="129"/>
        <v>Trading Day</v>
      </c>
      <c r="O2765" t="str">
        <f t="shared" si="130"/>
        <v>Negative</v>
      </c>
      <c r="P2765" t="str">
        <f t="shared" si="131"/>
        <v>Positive</v>
      </c>
    </row>
    <row r="2766" spans="1:16" x14ac:dyDescent="0.3">
      <c r="A2766" s="1">
        <v>46119</v>
      </c>
      <c r="B2766">
        <v>98.82</v>
      </c>
      <c r="C2766">
        <v>25016700</v>
      </c>
      <c r="D2766">
        <v>0.27400000000000002</v>
      </c>
      <c r="E2766">
        <v>40</v>
      </c>
      <c r="F2766">
        <v>3.1</v>
      </c>
      <c r="G2766">
        <v>0.1429</v>
      </c>
      <c r="H2766">
        <v>0</v>
      </c>
      <c r="J2766">
        <v>1</v>
      </c>
      <c r="K2766">
        <f>YEAR(NetflixData[[#This Row],[date]])</f>
        <v>2026</v>
      </c>
      <c r="L2766" t="str">
        <f>TEXT(NetflixData[[#This Row],[date]],"mmm")</f>
        <v>Apr</v>
      </c>
      <c r="M2766" t="str">
        <f>TEXT(NetflixData[[#This Row],[date]],"mmm yyyy")</f>
        <v>Apr 2026</v>
      </c>
      <c r="N2766" t="str">
        <f t="shared" si="129"/>
        <v>Trading Day</v>
      </c>
      <c r="O2766" t="str">
        <f t="shared" si="130"/>
        <v>Positive</v>
      </c>
      <c r="P2766" t="str">
        <f t="shared" si="131"/>
        <v>Positive</v>
      </c>
    </row>
    <row r="2767" spans="1:16" x14ac:dyDescent="0.3">
      <c r="A2767" s="1">
        <v>46120</v>
      </c>
      <c r="B2767">
        <v>99.39</v>
      </c>
      <c r="C2767">
        <v>30957600</v>
      </c>
      <c r="D2767">
        <v>-0.92700000000000005</v>
      </c>
      <c r="E2767">
        <v>41</v>
      </c>
      <c r="F2767">
        <v>3.34</v>
      </c>
      <c r="G2767">
        <v>5.9400000000000001E-2</v>
      </c>
      <c r="H2767">
        <v>0</v>
      </c>
      <c r="J2767">
        <v>1</v>
      </c>
      <c r="K2767">
        <f>YEAR(NetflixData[[#This Row],[date]])</f>
        <v>2026</v>
      </c>
      <c r="L2767" t="str">
        <f>TEXT(NetflixData[[#This Row],[date]],"mmm")</f>
        <v>Apr</v>
      </c>
      <c r="M2767" t="str">
        <f>TEXT(NetflixData[[#This Row],[date]],"mmm yyyy")</f>
        <v>Apr 2026</v>
      </c>
      <c r="N2767" t="str">
        <f t="shared" si="129"/>
        <v>Trading Day</v>
      </c>
      <c r="O2767" t="str">
        <f t="shared" si="130"/>
        <v>Negative</v>
      </c>
      <c r="P2767" t="str">
        <f t="shared" si="131"/>
        <v>Neutral</v>
      </c>
    </row>
    <row r="2768" spans="1:16" x14ac:dyDescent="0.3">
      <c r="A2768" s="1">
        <v>46121</v>
      </c>
      <c r="B2768">
        <v>102.05</v>
      </c>
      <c r="C2768">
        <v>35087800</v>
      </c>
      <c r="D2768">
        <v>2.4289999999999998</v>
      </c>
      <c r="E2768">
        <v>40</v>
      </c>
      <c r="F2768">
        <v>2.5499999999999998</v>
      </c>
      <c r="G2768">
        <v>4.5999999999999999E-3</v>
      </c>
      <c r="H2768">
        <v>0</v>
      </c>
      <c r="J2768">
        <v>1</v>
      </c>
      <c r="K2768">
        <f>YEAR(NetflixData[[#This Row],[date]])</f>
        <v>2026</v>
      </c>
      <c r="L2768" t="str">
        <f>TEXT(NetflixData[[#This Row],[date]],"mmm")</f>
        <v>Apr</v>
      </c>
      <c r="M2768" t="str">
        <f>TEXT(NetflixData[[#This Row],[date]],"mmm yyyy")</f>
        <v>Apr 2026</v>
      </c>
      <c r="N2768" t="str">
        <f t="shared" si="129"/>
        <v>Trading Day</v>
      </c>
      <c r="O2768" t="str">
        <f t="shared" si="130"/>
        <v>Positive</v>
      </c>
      <c r="P2768" t="str">
        <f t="shared" si="131"/>
        <v>Neutral</v>
      </c>
    </row>
    <row r="2769" spans="1:16" x14ac:dyDescent="0.3">
      <c r="A2769" s="1">
        <v>46122</v>
      </c>
      <c r="B2769">
        <v>103.01</v>
      </c>
      <c r="C2769">
        <v>25678900</v>
      </c>
      <c r="D2769">
        <v>0.52700000000000002</v>
      </c>
      <c r="E2769">
        <v>50</v>
      </c>
      <c r="F2769">
        <v>3.24</v>
      </c>
      <c r="G2769">
        <v>0.21410000000000001</v>
      </c>
      <c r="H2769">
        <v>0</v>
      </c>
      <c r="J2769">
        <v>1</v>
      </c>
      <c r="K2769">
        <f>YEAR(NetflixData[[#This Row],[date]])</f>
        <v>2026</v>
      </c>
      <c r="L2769" t="str">
        <f>TEXT(NetflixData[[#This Row],[date]],"mmm")</f>
        <v>Apr</v>
      </c>
      <c r="M2769" t="str">
        <f>TEXT(NetflixData[[#This Row],[date]],"mmm yyyy")</f>
        <v>Apr 2026</v>
      </c>
      <c r="N2769" t="str">
        <f t="shared" si="129"/>
        <v>Non-Trading Day</v>
      </c>
      <c r="O2769" t="str">
        <f t="shared" si="130"/>
        <v>Positive</v>
      </c>
      <c r="P2769" t="str">
        <f t="shared" si="131"/>
        <v>Positive</v>
      </c>
    </row>
    <row r="2770" spans="1:16" x14ac:dyDescent="0.3">
      <c r="A2770" s="1">
        <v>46123</v>
      </c>
      <c r="B2770">
        <v>103.01</v>
      </c>
      <c r="C2770">
        <v>0</v>
      </c>
      <c r="D2770">
        <v>0</v>
      </c>
      <c r="E2770">
        <v>43</v>
      </c>
      <c r="F2770">
        <v>2.4700000000000002</v>
      </c>
      <c r="G2770">
        <v>6.3E-3</v>
      </c>
      <c r="H2770">
        <v>0</v>
      </c>
      <c r="J2770">
        <v>0</v>
      </c>
      <c r="K2770">
        <f>YEAR(NetflixData[[#This Row],[date]])</f>
        <v>2026</v>
      </c>
      <c r="L2770" t="str">
        <f>TEXT(NetflixData[[#This Row],[date]],"mmm")</f>
        <v>Apr</v>
      </c>
      <c r="M2770" t="str">
        <f>TEXT(NetflixData[[#This Row],[date]],"mmm yyyy")</f>
        <v>Apr 2026</v>
      </c>
      <c r="N2770" t="str">
        <f t="shared" si="129"/>
        <v>Non-Trading Day</v>
      </c>
      <c r="O2770" t="str">
        <f t="shared" si="130"/>
        <v>No Change</v>
      </c>
      <c r="P2770" t="str">
        <f t="shared" si="131"/>
        <v>Neutral</v>
      </c>
    </row>
    <row r="2771" spans="1:16" x14ac:dyDescent="0.3">
      <c r="A2771" s="1">
        <v>46124</v>
      </c>
      <c r="B2771">
        <v>103.01</v>
      </c>
      <c r="C2771">
        <v>0</v>
      </c>
      <c r="D2771">
        <v>0</v>
      </c>
      <c r="E2771">
        <v>47</v>
      </c>
      <c r="F2771">
        <v>3.15</v>
      </c>
      <c r="G2771">
        <v>-5.5999999999999999E-3</v>
      </c>
      <c r="H2771">
        <v>0</v>
      </c>
      <c r="J2771">
        <v>0</v>
      </c>
      <c r="K2771">
        <f>YEAR(NetflixData[[#This Row],[date]])</f>
        <v>2026</v>
      </c>
      <c r="L2771" t="str">
        <f>TEXT(NetflixData[[#This Row],[date]],"mmm")</f>
        <v>Apr</v>
      </c>
      <c r="M2771" t="str">
        <f>TEXT(NetflixData[[#This Row],[date]],"mmm yyyy")</f>
        <v>Apr 2026</v>
      </c>
      <c r="N2771" t="str">
        <f t="shared" si="129"/>
        <v>Trading Day</v>
      </c>
      <c r="O2771" t="str">
        <f t="shared" si="130"/>
        <v>No Change</v>
      </c>
      <c r="P2771" t="str">
        <f t="shared" si="131"/>
        <v>Neutral</v>
      </c>
    </row>
    <row r="2772" spans="1:16" x14ac:dyDescent="0.3">
      <c r="A2772" s="1">
        <v>46125</v>
      </c>
      <c r="B2772">
        <v>103.03</v>
      </c>
      <c r="C2772">
        <v>9513740</v>
      </c>
      <c r="D2772">
        <v>-1E-3</v>
      </c>
      <c r="E2772">
        <v>43</v>
      </c>
      <c r="F2772">
        <v>2.91</v>
      </c>
      <c r="G2772">
        <v>0.1163</v>
      </c>
      <c r="H2772">
        <v>0</v>
      </c>
      <c r="J2772">
        <v>1</v>
      </c>
      <c r="K2772">
        <f>YEAR(NetflixData[[#This Row],[date]])</f>
        <v>2026</v>
      </c>
      <c r="L2772" t="str">
        <f>TEXT(NetflixData[[#This Row],[date]],"mmm")</f>
        <v>Apr</v>
      </c>
      <c r="M2772" t="str">
        <f>TEXT(NetflixData[[#This Row],[date]],"mmm yyyy")</f>
        <v>Apr 2026</v>
      </c>
      <c r="N2772" t="str">
        <f t="shared" si="129"/>
        <v>Trading Day</v>
      </c>
      <c r="O2772" t="str">
        <f t="shared" si="130"/>
        <v>Negative</v>
      </c>
      <c r="P2772" t="str">
        <f t="shared" si="131"/>
        <v>Positive</v>
      </c>
    </row>
    <row r="2773" spans="1:16" x14ac:dyDescent="0.3">
      <c r="A2773" s="1">
        <v>46280</v>
      </c>
      <c r="B2773">
        <v>77.900000000000006</v>
      </c>
      <c r="C2773">
        <v>28027400</v>
      </c>
      <c r="D2773">
        <v>-1.8640000000000001</v>
      </c>
      <c r="E2773">
        <v>383</v>
      </c>
      <c r="F2773">
        <v>4.2</v>
      </c>
      <c r="G2773">
        <v>0.37169999999999997</v>
      </c>
      <c r="H2773">
        <v>0</v>
      </c>
      <c r="J2773">
        <v>1</v>
      </c>
      <c r="K2773">
        <f>YEAR(NetflixData[[#This Row],[date]])</f>
        <v>2026</v>
      </c>
      <c r="L2773" t="str">
        <f>TEXT(NetflixData[[#This Row],[date]],"mmm")</f>
        <v>Sep</v>
      </c>
      <c r="M2773" t="str">
        <f>TEXT(NetflixData[[#This Row],[date]],"mmm yyyy")</f>
        <v>Sep 2026</v>
      </c>
      <c r="N2773" t="str">
        <f t="shared" si="129"/>
        <v>Trading Day</v>
      </c>
      <c r="O2773" t="str">
        <f t="shared" si="130"/>
        <v>Negative</v>
      </c>
      <c r="P2773" t="str">
        <f t="shared" si="131"/>
        <v>Positive</v>
      </c>
    </row>
    <row r="2774" spans="1:16" x14ac:dyDescent="0.3">
      <c r="A2774" s="1">
        <v>46281</v>
      </c>
      <c r="B2774">
        <v>76.41</v>
      </c>
      <c r="C2774">
        <v>25303100</v>
      </c>
      <c r="D2774">
        <v>-1.698</v>
      </c>
      <c r="E2774">
        <v>203</v>
      </c>
      <c r="F2774">
        <v>4.4000000000000004</v>
      </c>
      <c r="G2774">
        <v>0.41089999999999999</v>
      </c>
      <c r="H2774">
        <v>0</v>
      </c>
      <c r="J2774">
        <v>1</v>
      </c>
      <c r="K2774">
        <f>YEAR(NetflixData[[#This Row],[date]])</f>
        <v>2026</v>
      </c>
      <c r="L2774" t="str">
        <f>TEXT(NetflixData[[#This Row],[date]],"mmm")</f>
        <v>Sep</v>
      </c>
      <c r="M2774" t="str">
        <f>TEXT(NetflixData[[#This Row],[date]],"mmm yyyy")</f>
        <v>Sep 2026</v>
      </c>
      <c r="N2774" t="str">
        <f t="shared" si="129"/>
        <v>Trading Day</v>
      </c>
      <c r="O2774" t="str">
        <f t="shared" si="130"/>
        <v>Negative</v>
      </c>
      <c r="P2774" t="str">
        <f t="shared" si="131"/>
        <v>Positive</v>
      </c>
    </row>
    <row r="2775" spans="1:16" x14ac:dyDescent="0.3">
      <c r="A2775" s="1">
        <v>46282</v>
      </c>
      <c r="B2775">
        <v>75.31</v>
      </c>
      <c r="C2775">
        <v>28090300</v>
      </c>
      <c r="D2775">
        <v>-2.08</v>
      </c>
      <c r="E2775">
        <v>190</v>
      </c>
      <c r="F2775">
        <v>4.33</v>
      </c>
      <c r="G2775">
        <v>0.3836</v>
      </c>
      <c r="H2775">
        <v>0</v>
      </c>
      <c r="J2775">
        <v>1</v>
      </c>
      <c r="K2775">
        <f>YEAR(NetflixData[[#This Row],[date]])</f>
        <v>2026</v>
      </c>
      <c r="L2775" t="str">
        <f>TEXT(NetflixData[[#This Row],[date]],"mmm")</f>
        <v>Sep</v>
      </c>
      <c r="M2775" t="str">
        <f>TEXT(NetflixData[[#This Row],[date]],"mmm yyyy")</f>
        <v>Sep 2026</v>
      </c>
      <c r="N2775" t="str">
        <f t="shared" si="129"/>
        <v>Trading Day</v>
      </c>
      <c r="O2775" t="str">
        <f t="shared" si="130"/>
        <v>Negative</v>
      </c>
      <c r="P2775" t="str">
        <f t="shared" si="131"/>
        <v>Positive</v>
      </c>
    </row>
    <row r="2776" spans="1:16" x14ac:dyDescent="0.3">
      <c r="A2776" s="1">
        <v>46283</v>
      </c>
      <c r="B2776">
        <v>71.790000000000006</v>
      </c>
      <c r="C2776">
        <v>114273800</v>
      </c>
      <c r="D2776">
        <v>0.73</v>
      </c>
      <c r="E2776">
        <v>181</v>
      </c>
      <c r="F2776">
        <v>4.4800000000000004</v>
      </c>
      <c r="G2776">
        <v>0.41</v>
      </c>
      <c r="H2776">
        <v>0</v>
      </c>
      <c r="J2776">
        <v>1</v>
      </c>
      <c r="K2776">
        <f>YEAR(NetflixData[[#This Row],[date]])</f>
        <v>2026</v>
      </c>
      <c r="L2776" t="str">
        <f>TEXT(NetflixData[[#This Row],[date]],"mmm")</f>
        <v>Sep</v>
      </c>
      <c r="M2776" t="str">
        <f>TEXT(NetflixData[[#This Row],[date]],"mmm yyyy")</f>
        <v>Sep 2026</v>
      </c>
      <c r="N2776" t="str">
        <f t="shared" si="129"/>
        <v>Trading Day</v>
      </c>
      <c r="O2776" t="str">
        <f t="shared" si="130"/>
        <v>Positive</v>
      </c>
      <c r="P2776" t="str">
        <f t="shared" si="131"/>
        <v>Positive</v>
      </c>
    </row>
    <row r="2777" spans="1:16" x14ac:dyDescent="0.3">
      <c r="A2777" s="1">
        <v>46284</v>
      </c>
      <c r="B2777">
        <v>71.790000000000006</v>
      </c>
      <c r="C2777">
        <v>113606170</v>
      </c>
      <c r="D2777">
        <v>0.73</v>
      </c>
      <c r="E2777">
        <v>213</v>
      </c>
      <c r="F2777">
        <v>4.2699999999999996</v>
      </c>
      <c r="G2777">
        <v>0.3548</v>
      </c>
      <c r="H2777">
        <v>0</v>
      </c>
      <c r="J2777">
        <v>1</v>
      </c>
      <c r="K2777">
        <f>YEAR(NetflixData[[#This Row],[date]])</f>
        <v>2026</v>
      </c>
      <c r="L2777" t="str">
        <f>TEXT(NetflixData[[#This Row],[date]],"mmm")</f>
        <v>Sep</v>
      </c>
      <c r="M2777" t="str">
        <f>TEXT(NetflixData[[#This Row],[date]],"mmm yyyy")</f>
        <v>Sep 2026</v>
      </c>
      <c r="N2777" t="str">
        <f t="shared" si="129"/>
        <v>Non-Trading Day</v>
      </c>
      <c r="O2777" t="str">
        <f t="shared" si="130"/>
        <v>Positive</v>
      </c>
      <c r="P2777" t="str">
        <f t="shared" si="131"/>
        <v>Positive</v>
      </c>
    </row>
    <row r="2778" spans="1:16" x14ac:dyDescent="0.3">
      <c r="A2778" s="1">
        <v>46285</v>
      </c>
      <c r="B2778">
        <v>71.790000000000006</v>
      </c>
      <c r="C2778">
        <v>0</v>
      </c>
      <c r="D2778">
        <v>0</v>
      </c>
      <c r="E2778">
        <v>249</v>
      </c>
      <c r="F2778">
        <v>4.25</v>
      </c>
      <c r="G2778">
        <v>0.34329999999999999</v>
      </c>
      <c r="H2778">
        <v>0</v>
      </c>
      <c r="J2778">
        <v>0</v>
      </c>
      <c r="K2778">
        <f>YEAR(NetflixData[[#This Row],[date]])</f>
        <v>2026</v>
      </c>
      <c r="L2778" t="str">
        <f>TEXT(NetflixData[[#This Row],[date]],"mmm")</f>
        <v>Sep</v>
      </c>
      <c r="M2778" t="str">
        <f>TEXT(NetflixData[[#This Row],[date]],"mmm yyyy")</f>
        <v>Sep 2026</v>
      </c>
      <c r="N2778" t="str">
        <f t="shared" si="129"/>
        <v>Trading Day</v>
      </c>
      <c r="O2778" t="str">
        <f t="shared" si="130"/>
        <v>No Change</v>
      </c>
      <c r="P2778" t="str">
        <f t="shared" si="131"/>
        <v>Positive</v>
      </c>
    </row>
    <row r="2779" spans="1:16" x14ac:dyDescent="0.3">
      <c r="A2779" s="1">
        <v>46286</v>
      </c>
      <c r="B2779">
        <v>73.36</v>
      </c>
      <c r="C2779">
        <v>36898100</v>
      </c>
      <c r="D2779">
        <v>2.1440000000000001</v>
      </c>
      <c r="E2779">
        <v>185</v>
      </c>
      <c r="F2779">
        <v>4.26</v>
      </c>
      <c r="G2779">
        <v>0.38369999999999999</v>
      </c>
      <c r="H2779">
        <v>0</v>
      </c>
      <c r="J2779">
        <v>1</v>
      </c>
      <c r="K2779">
        <f>YEAR(NetflixData[[#This Row],[date]])</f>
        <v>2026</v>
      </c>
      <c r="L2779" t="str">
        <f>TEXT(NetflixData[[#This Row],[date]],"mmm")</f>
        <v>Sep</v>
      </c>
      <c r="M2779" t="str">
        <f>TEXT(NetflixData[[#This Row],[date]],"mmm yyyy")</f>
        <v>Sep 2026</v>
      </c>
      <c r="N2779" t="str">
        <f t="shared" si="129"/>
        <v>Trading Day</v>
      </c>
      <c r="O2779" t="str">
        <f t="shared" si="130"/>
        <v>Positive</v>
      </c>
      <c r="P2779" t="str">
        <f t="shared" si="131"/>
        <v>Positive</v>
      </c>
    </row>
    <row r="2780" spans="1:16" x14ac:dyDescent="0.3">
      <c r="A2780" s="1">
        <v>46287</v>
      </c>
      <c r="B2780">
        <v>72.16</v>
      </c>
      <c r="C2780">
        <v>34214890</v>
      </c>
      <c r="D2780">
        <v>-2.16</v>
      </c>
      <c r="E2780">
        <v>201</v>
      </c>
      <c r="F2780">
        <v>4.1900000000000004</v>
      </c>
      <c r="G2780">
        <v>0.39579999999999999</v>
      </c>
      <c r="H2780">
        <v>0</v>
      </c>
      <c r="J2780">
        <v>1</v>
      </c>
      <c r="K2780">
        <f>YEAR(NetflixData[[#This Row],[date]])</f>
        <v>2026</v>
      </c>
      <c r="L2780" t="str">
        <f>TEXT(NetflixData[[#This Row],[date]],"mmm")</f>
        <v>Sep</v>
      </c>
      <c r="M2780" t="str">
        <f>TEXT(NetflixData[[#This Row],[date]],"mmm yyyy")</f>
        <v>Sep 2026</v>
      </c>
      <c r="N2780" t="str">
        <f t="shared" si="129"/>
        <v>Trading Day</v>
      </c>
      <c r="O2780" t="str">
        <f t="shared" si="130"/>
        <v>Negative</v>
      </c>
      <c r="P2780" t="str">
        <f t="shared" si="131"/>
        <v>Positive</v>
      </c>
    </row>
    <row r="2781" spans="1:16" x14ac:dyDescent="0.3">
      <c r="A2781" s="1">
        <v>46288</v>
      </c>
      <c r="B2781">
        <v>71.36</v>
      </c>
      <c r="C2781">
        <v>32756600</v>
      </c>
      <c r="D2781">
        <v>-0.999</v>
      </c>
      <c r="E2781">
        <v>177</v>
      </c>
      <c r="F2781">
        <v>4.2699999999999996</v>
      </c>
      <c r="G2781">
        <v>0.43059999999999998</v>
      </c>
      <c r="H2781">
        <v>0</v>
      </c>
      <c r="J2781">
        <v>1</v>
      </c>
      <c r="K2781">
        <f>YEAR(NetflixData[[#This Row],[date]])</f>
        <v>2026</v>
      </c>
      <c r="L2781" t="str">
        <f>TEXT(NetflixData[[#This Row],[date]],"mmm")</f>
        <v>Sep</v>
      </c>
      <c r="M2781" t="str">
        <f>TEXT(NetflixData[[#This Row],[date]],"mmm yyyy")</f>
        <v>Sep 2026</v>
      </c>
      <c r="N2781" t="str">
        <f t="shared" si="129"/>
        <v>Non-Trading Day</v>
      </c>
      <c r="O2781" t="str">
        <f t="shared" si="130"/>
        <v>Negative</v>
      </c>
      <c r="P2781" t="str">
        <f t="shared" si="131"/>
        <v>Positive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0413-0A76-4E6C-980B-D674E8944BE7}">
  <dimension ref="A2:E26"/>
  <sheetViews>
    <sheetView workbookViewId="0">
      <selection activeCell="E23" sqref="E23"/>
    </sheetView>
  </sheetViews>
  <sheetFormatPr defaultRowHeight="14.4" x14ac:dyDescent="0.3"/>
  <cols>
    <col min="1" max="2" width="27.109375" bestFit="1" customWidth="1"/>
    <col min="4" max="4" width="12.5546875" bestFit="1" customWidth="1"/>
    <col min="5" max="5" width="29.88671875" bestFit="1" customWidth="1"/>
  </cols>
  <sheetData>
    <row r="2" spans="1:5" x14ac:dyDescent="0.3">
      <c r="A2" t="s">
        <v>17</v>
      </c>
    </row>
    <row r="3" spans="1:5" x14ac:dyDescent="0.3">
      <c r="A3" t="s">
        <v>10</v>
      </c>
      <c r="B3" t="s">
        <v>27</v>
      </c>
      <c r="D3" s="5" t="s">
        <v>28</v>
      </c>
      <c r="E3" t="s">
        <v>89</v>
      </c>
    </row>
    <row r="4" spans="1:5" x14ac:dyDescent="0.3">
      <c r="A4" t="s">
        <v>18</v>
      </c>
      <c r="B4" cm="1">
        <f t="array" ref="B4">LOOKUP(2,1/(NetflixData[stock_close]&lt;&gt;""),NetflixData[stock_close])</f>
        <v>71.36</v>
      </c>
      <c r="D4" s="6" t="s">
        <v>70</v>
      </c>
      <c r="E4" s="8">
        <v>944</v>
      </c>
    </row>
    <row r="5" spans="1:5" x14ac:dyDescent="0.3">
      <c r="A5" t="s">
        <v>19</v>
      </c>
      <c r="B5" s="2">
        <f>AVERAGE(NetflixData[stock_close])</f>
        <v>54.396928057553936</v>
      </c>
      <c r="D5" s="6" t="s">
        <v>71</v>
      </c>
      <c r="E5" s="8">
        <v>868</v>
      </c>
    </row>
    <row r="6" spans="1:5" x14ac:dyDescent="0.3">
      <c r="A6" t="s">
        <v>20</v>
      </c>
      <c r="B6" s="3">
        <f>AVERAGE(NetflixData[stock_daily_return_pct])</f>
        <v>3.0306834532374087E-2</v>
      </c>
      <c r="D6" s="6" t="s">
        <v>72</v>
      </c>
      <c r="E6" s="8">
        <v>968</v>
      </c>
    </row>
    <row r="7" spans="1:5" x14ac:dyDescent="0.3">
      <c r="A7" t="s">
        <v>21</v>
      </c>
      <c r="B7">
        <f>COUNTIF(NetflixData[stock_daily_return_pct],"&gt;0")</f>
        <v>968</v>
      </c>
      <c r="D7" s="6" t="s">
        <v>29</v>
      </c>
      <c r="E7" s="8">
        <v>2780</v>
      </c>
    </row>
    <row r="8" spans="1:5" x14ac:dyDescent="0.3">
      <c r="A8" t="s">
        <v>22</v>
      </c>
      <c r="B8" s="4">
        <f>SUM(NetflixData[reviews_count])</f>
        <v>151593</v>
      </c>
    </row>
    <row r="9" spans="1:5" x14ac:dyDescent="0.3">
      <c r="A9" t="s">
        <v>23</v>
      </c>
      <c r="B9" s="2">
        <f>AVERAGE(NetflixData[reviews_avg_rating])</f>
        <v>2.848682432432434</v>
      </c>
      <c r="E9">
        <f>GETPIVOTDATA("stock_daily_return_pct",$D$3,"StockReturn_Category","Positive")</f>
        <v>968</v>
      </c>
    </row>
    <row r="10" spans="1:5" x14ac:dyDescent="0.3">
      <c r="A10" t="s">
        <v>24</v>
      </c>
      <c r="B10">
        <f>SUM(NetflixData[titles_released_count])</f>
        <v>4868</v>
      </c>
    </row>
    <row r="11" spans="1:5" x14ac:dyDescent="0.3">
      <c r="A11" t="s">
        <v>25</v>
      </c>
      <c r="B11" s="2">
        <f>AVERAGE(NetflixData[titles_avg_imdb_score])</f>
        <v>6.3414945652173929</v>
      </c>
      <c r="E11" t="s">
        <v>74</v>
      </c>
    </row>
    <row r="12" spans="1:5" x14ac:dyDescent="0.3">
      <c r="A12" t="s">
        <v>26</v>
      </c>
      <c r="B12">
        <f>SUBTOTAL(109,NetflixData[is_trading_day])</f>
        <v>1913</v>
      </c>
      <c r="E12" s="8">
        <v>151593</v>
      </c>
    </row>
    <row r="13" spans="1:5" x14ac:dyDescent="0.3">
      <c r="E13">
        <f>GETPIVOTDATA("reviews_count",$E$11)</f>
        <v>151593</v>
      </c>
    </row>
    <row r="14" spans="1:5" x14ac:dyDescent="0.3">
      <c r="A14" t="s">
        <v>86</v>
      </c>
    </row>
    <row r="15" spans="1:5" x14ac:dyDescent="0.3">
      <c r="A15" s="8">
        <v>1913</v>
      </c>
      <c r="E15" t="s">
        <v>90</v>
      </c>
    </row>
    <row r="16" spans="1:5" x14ac:dyDescent="0.3">
      <c r="A16">
        <f>GETPIVOTDATA("is_trading_day",$A$14)</f>
        <v>1913</v>
      </c>
      <c r="E16" s="8">
        <v>4868</v>
      </c>
    </row>
    <row r="17" spans="1:5" x14ac:dyDescent="0.3">
      <c r="E17">
        <f>GETPIVOTDATA("titles_released_count",$E$15)</f>
        <v>4868</v>
      </c>
    </row>
    <row r="18" spans="1:5" x14ac:dyDescent="0.3">
      <c r="A18" t="s">
        <v>88</v>
      </c>
    </row>
    <row r="19" spans="1:5" x14ac:dyDescent="0.3">
      <c r="A19" s="8">
        <v>2780</v>
      </c>
      <c r="E19" t="s">
        <v>78</v>
      </c>
    </row>
    <row r="20" spans="1:5" x14ac:dyDescent="0.3">
      <c r="E20" s="2">
        <v>6.3414945652173929</v>
      </c>
    </row>
    <row r="21" spans="1:5" x14ac:dyDescent="0.3">
      <c r="A21">
        <f>GETPIVOTDATA("stock_volume",$A$18)</f>
        <v>2780</v>
      </c>
      <c r="E21" s="2">
        <f>GETPIVOTDATA("titles_avg_imdb_score",$E$19)</f>
        <v>6.3414945652173929</v>
      </c>
    </row>
    <row r="23" spans="1:5" x14ac:dyDescent="0.3">
      <c r="A23" t="s">
        <v>87</v>
      </c>
    </row>
    <row r="24" spans="1:5" x14ac:dyDescent="0.3">
      <c r="A24" s="2">
        <v>11.173999999999999</v>
      </c>
    </row>
    <row r="26" spans="1:5" x14ac:dyDescent="0.3">
      <c r="A26">
        <f>GETPIVOTDATA("stock_daily_return_pct",$A$23)</f>
        <v>11.173999999999999</v>
      </c>
    </row>
  </sheetData>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7BACF-F022-4435-AACC-978A9D92C241}">
  <dimension ref="A1"/>
  <sheetViews>
    <sheetView showGridLines="0" tabSelected="1" zoomScale="64" zoomScaleNormal="70" workbookViewId="0">
      <selection activeCell="AJ27" sqref="AJ27"/>
    </sheetView>
  </sheetViews>
  <sheetFormatPr defaultRowHeight="14.4" x14ac:dyDescent="0.3"/>
  <cols>
    <col min="38" max="38" width="8.88671875" customWidth="1"/>
    <col min="39" max="39" width="8"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netflix_daily_master</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Essampelly Vaishnavi</cp:lastModifiedBy>
  <dcterms:created xsi:type="dcterms:W3CDTF">2026-09-28T15:58:52Z</dcterms:created>
  <dcterms:modified xsi:type="dcterms:W3CDTF">2026-10-27T18:14:43Z</dcterms:modified>
</cp:coreProperties>
</file>